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projectfiles\excel\"/>
    </mc:Choice>
  </mc:AlternateContent>
  <xr:revisionPtr revIDLastSave="0" documentId="13_ncr:1_{02C36BCD-2D5C-403B-A276-31E0ACA3C732}" xr6:coauthVersionLast="47" xr6:coauthVersionMax="47" xr10:uidLastSave="{00000000-0000-0000-0000-000000000000}"/>
  <bookViews>
    <workbookView xWindow="-109" yWindow="-109" windowWidth="26301" windowHeight="14169" activeTab="2" xr2:uid="{30A6DB15-BEE6-4A8A-B4EF-2184740D059A}"/>
  </bookViews>
  <sheets>
    <sheet name="Sheet2" sheetId="3" r:id="rId1"/>
    <sheet name="AI_Impact_on_Jobs_2030" sheetId="2" r:id="rId2"/>
    <sheet name="Sheet3" sheetId="4" r:id="rId3"/>
  </sheets>
  <definedNames>
    <definedName name="ExternalData_1" localSheetId="1" hidden="1">AI_Impact_on_Jobs_2030!$A$1:$R$3001</definedName>
    <definedName name="Slicer_AI_Exposure_Index">#N/A</definedName>
    <definedName name="Slicer_Education_Level">#N/A</definedName>
    <definedName name="Slicer_Risk_Category">#N/A</definedName>
    <definedName name="Slicer_Years_Experien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9" i="2" l="1"/>
  <c r="AE10" i="2"/>
  <c r="AE11" i="2"/>
  <c r="AD9" i="2"/>
  <c r="AD10" i="2"/>
  <c r="AD11" i="2"/>
  <c r="AC9" i="2"/>
  <c r="AC10" i="2"/>
  <c r="AC11" i="2"/>
  <c r="AB9" i="2"/>
  <c r="AB10" i="2"/>
  <c r="AB11" i="2"/>
  <c r="AA9" i="2"/>
  <c r="AA10" i="2"/>
  <c r="AA11" i="2"/>
  <c r="Z9" i="2"/>
  <c r="Z10" i="2"/>
  <c r="Z11" i="2"/>
  <c r="Y9" i="2"/>
  <c r="X9" i="2"/>
  <c r="X10" i="2"/>
  <c r="X11" i="2"/>
  <c r="W9" i="2"/>
  <c r="W10" i="2"/>
  <c r="W11" i="2"/>
  <c r="V9" i="2"/>
  <c r="U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592A3D-6804-4D06-9EBC-019A87CB35C7}" keepAlive="1" name="Query - AI_Impact_on_Jobs_2030" description="Connection to the 'AI_Impact_on_Jobs_2030' query in the workbook." type="5" refreshedVersion="8" background="1" saveData="1">
    <dbPr connection="Provider=Microsoft.Mashup.OleDb.1;Data Source=$Workbook$;Location=AI_Impact_on_Jobs_2030;Extended Properties=&quot;&quot;" command="SELECT * FROM [AI_Impact_on_Jobs_2030]"/>
  </connection>
</connections>
</file>

<file path=xl/sharedStrings.xml><?xml version="1.0" encoding="utf-8"?>
<sst xmlns="http://schemas.openxmlformats.org/spreadsheetml/2006/main" count="9107" uniqueCount="66">
  <si>
    <t>Job_Title</t>
  </si>
  <si>
    <t>Average_Salary</t>
  </si>
  <si>
    <t>Years_Experience</t>
  </si>
  <si>
    <t>Education_Level</t>
  </si>
  <si>
    <t>AI_Exposure_Index</t>
  </si>
  <si>
    <t>Tech_Growth_Factor</t>
  </si>
  <si>
    <t>Automation_Probability_2030</t>
  </si>
  <si>
    <t>Risk_Category</t>
  </si>
  <si>
    <t>Security Guard</t>
  </si>
  <si>
    <t>Master's</t>
  </si>
  <si>
    <t>High</t>
  </si>
  <si>
    <t>Research Scientist</t>
  </si>
  <si>
    <t>PhD</t>
  </si>
  <si>
    <t>Low</t>
  </si>
  <si>
    <t>Construction Worker</t>
  </si>
  <si>
    <t>High School</t>
  </si>
  <si>
    <t>Software Engineer</t>
  </si>
  <si>
    <t>Medium</t>
  </si>
  <si>
    <t>Financial Analyst</t>
  </si>
  <si>
    <t>AI Engineer</t>
  </si>
  <si>
    <t>Mechanic</t>
  </si>
  <si>
    <t>Teacher</t>
  </si>
  <si>
    <t>HR Specialist</t>
  </si>
  <si>
    <t>Customer Support</t>
  </si>
  <si>
    <t>UX Researcher</t>
  </si>
  <si>
    <t>Lawyer</t>
  </si>
  <si>
    <t>Data Scientist</t>
  </si>
  <si>
    <t>Graphic Designer</t>
  </si>
  <si>
    <t>Bachelor's</t>
  </si>
  <si>
    <t>Retail Worker</t>
  </si>
  <si>
    <t>Doctor</t>
  </si>
  <si>
    <t>Truck Driver</t>
  </si>
  <si>
    <t>Chef</t>
  </si>
  <si>
    <t>Nurse</t>
  </si>
  <si>
    <t>Marketing Manager</t>
  </si>
  <si>
    <t>Column1</t>
  </si>
  <si>
    <t>Column2</t>
  </si>
  <si>
    <t>Column3</t>
  </si>
  <si>
    <t>Column4</t>
  </si>
  <si>
    <t>Column5</t>
  </si>
  <si>
    <t>Column6</t>
  </si>
  <si>
    <t>Column7</t>
  </si>
  <si>
    <t>Column8</t>
  </si>
  <si>
    <t>Column9</t>
  </si>
  <si>
    <t>Column10</t>
  </si>
  <si>
    <t>avg(avg_salry)</t>
  </si>
  <si>
    <t>avg aut risk</t>
  </si>
  <si>
    <t>max salry</t>
  </si>
  <si>
    <t>max autmtn risk</t>
  </si>
  <si>
    <t>avg tech grrowth</t>
  </si>
  <si>
    <t>count of high risk job</t>
  </si>
  <si>
    <t>med</t>
  </si>
  <si>
    <t>low</t>
  </si>
  <si>
    <t>avd_exp</t>
  </si>
  <si>
    <t>avg ai_expos index</t>
  </si>
  <si>
    <t>fast growing tech factor</t>
  </si>
  <si>
    <t>Row Labels</t>
  </si>
  <si>
    <t>Grand Total</t>
  </si>
  <si>
    <t>Sum of Automation_Probability_2030</t>
  </si>
  <si>
    <t>Sum of Average_Salary</t>
  </si>
  <si>
    <t>Sum of AI_Exposure_Index</t>
  </si>
  <si>
    <t>Count of Job_Title</t>
  </si>
  <si>
    <t>Average of AI_Exposure_Index</t>
  </si>
  <si>
    <t>Average of Automation_Probability_2030</t>
  </si>
  <si>
    <t>Average of Average_Salary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</si>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</sst>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2" fillId="2" borderId="1" xfId="0" applyFont="1" applyFill="1" applyBorder="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Retail Worker</c:v>
                </c:pt>
                <c:pt idx="1">
                  <c:v>Construction Worker</c:v>
                </c:pt>
                <c:pt idx="2">
                  <c:v>Security Guard</c:v>
                </c:pt>
                <c:pt idx="3">
                  <c:v>Truck Driver</c:v>
                </c:pt>
                <c:pt idx="4">
                  <c:v>Customer Support</c:v>
                </c:pt>
                <c:pt idx="5">
                  <c:v>Software Engineer</c:v>
                </c:pt>
                <c:pt idx="6">
                  <c:v>Graphic Designer</c:v>
                </c:pt>
                <c:pt idx="7">
                  <c:v>Data Scientist</c:v>
                </c:pt>
                <c:pt idx="8">
                  <c:v>UX Researcher</c:v>
                </c:pt>
                <c:pt idx="9">
                  <c:v>HR Specialist</c:v>
                </c:pt>
              </c:strCache>
            </c:strRef>
          </c:cat>
          <c:val>
            <c:numRef>
              <c:f>Sheet2!$B$4:$B$14</c:f>
              <c:numCache>
                <c:formatCode>General</c:formatCode>
                <c:ptCount val="10"/>
                <c:pt idx="0">
                  <c:v>129.37999999999997</c:v>
                </c:pt>
                <c:pt idx="1">
                  <c:v>128.84999999999997</c:v>
                </c:pt>
                <c:pt idx="2">
                  <c:v>128.29</c:v>
                </c:pt>
                <c:pt idx="3">
                  <c:v>125.25000000000001</c:v>
                </c:pt>
                <c:pt idx="4">
                  <c:v>109.76</c:v>
                </c:pt>
                <c:pt idx="5">
                  <c:v>89.02000000000001</c:v>
                </c:pt>
                <c:pt idx="6">
                  <c:v>84.639999999999958</c:v>
                </c:pt>
                <c:pt idx="7">
                  <c:v>82.880000000000024</c:v>
                </c:pt>
                <c:pt idx="8">
                  <c:v>82.229999999999961</c:v>
                </c:pt>
                <c:pt idx="9">
                  <c:v>77.05</c:v>
                </c:pt>
              </c:numCache>
            </c:numRef>
          </c:val>
          <c:extLst>
            <c:ext xmlns:c16="http://schemas.microsoft.com/office/drawing/2014/chart" uri="{C3380CC4-5D6E-409C-BE32-E72D297353CC}">
              <c16:uniqueId val="{00000000-C6F1-4AB5-91BA-98E59A715D27}"/>
            </c:ext>
          </c:extLst>
        </c:ser>
        <c:dLbls>
          <c:showLegendKey val="0"/>
          <c:showVal val="0"/>
          <c:showCatName val="0"/>
          <c:showSerName val="0"/>
          <c:showPercent val="0"/>
          <c:showBubbleSize val="0"/>
        </c:dLbls>
        <c:gapWidth val="182"/>
        <c:axId val="767478287"/>
        <c:axId val="767479247"/>
      </c:barChart>
      <c:catAx>
        <c:axId val="76747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479247"/>
        <c:crosses val="autoZero"/>
        <c:auto val="1"/>
        <c:lblAlgn val="ctr"/>
        <c:lblOffset val="100"/>
        <c:noMultiLvlLbl val="0"/>
      </c:catAx>
      <c:valAx>
        <c:axId val="767479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47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07507391514071"/>
          <c:y val="0.19486111111111112"/>
          <c:w val="0.79007348469975947"/>
          <c:h val="0.72125801983085447"/>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yVal>
            <c:numRef>
              <c:f>Sheet2!$H$6:$I$6</c:f>
              <c:numCache>
                <c:formatCode>General</c:formatCode>
                <c:ptCount val="2"/>
                <c:pt idx="0">
                  <c:v>1504.5099999999989</c:v>
                </c:pt>
                <c:pt idx="1">
                  <c:v>268116837</c:v>
                </c:pt>
              </c:numCache>
            </c:numRef>
          </c:yVal>
          <c:smooth val="0"/>
          <c:extLst>
            <c:ext xmlns:c16="http://schemas.microsoft.com/office/drawing/2014/chart" uri="{C3380CC4-5D6E-409C-BE32-E72D297353CC}">
              <c16:uniqueId val="{00000000-D049-4573-9CFC-390DEE0D236A}"/>
            </c:ext>
          </c:extLst>
        </c:ser>
        <c:dLbls>
          <c:showLegendKey val="0"/>
          <c:showVal val="0"/>
          <c:showCatName val="0"/>
          <c:showSerName val="0"/>
          <c:showPercent val="0"/>
          <c:showBubbleSize val="0"/>
        </c:dLbls>
        <c:axId val="187767199"/>
        <c:axId val="188197567"/>
      </c:scatterChart>
      <c:valAx>
        <c:axId val="1877671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97567"/>
        <c:crosses val="autoZero"/>
        <c:crossBetween val="midCat"/>
      </c:valAx>
      <c:valAx>
        <c:axId val="18819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67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Sheet2!$B$37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6D-46F6-824A-9B378133EA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6D-46F6-824A-9B378133EA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6D-46F6-824A-9B378133EAE8}"/>
              </c:ext>
            </c:extLst>
          </c:dPt>
          <c:cat>
            <c:strRef>
              <c:f>Sheet2!$A$38:$A$41</c:f>
              <c:strCache>
                <c:ptCount val="3"/>
                <c:pt idx="0">
                  <c:v>High</c:v>
                </c:pt>
                <c:pt idx="1">
                  <c:v>Low</c:v>
                </c:pt>
                <c:pt idx="2">
                  <c:v>Medium</c:v>
                </c:pt>
              </c:strCache>
            </c:strRef>
          </c:cat>
          <c:val>
            <c:numRef>
              <c:f>Sheet2!$B$38:$B$41</c:f>
              <c:numCache>
                <c:formatCode>General</c:formatCode>
                <c:ptCount val="3"/>
                <c:pt idx="0">
                  <c:v>740</c:v>
                </c:pt>
                <c:pt idx="1">
                  <c:v>739</c:v>
                </c:pt>
                <c:pt idx="2">
                  <c:v>1521</c:v>
                </c:pt>
              </c:numCache>
            </c:numRef>
          </c:val>
          <c:extLst>
            <c:ext xmlns:c16="http://schemas.microsoft.com/office/drawing/2014/chart" uri="{C3380CC4-5D6E-409C-BE32-E72D297353CC}">
              <c16:uniqueId val="{00000007-5D42-4403-A008-F4B064D75A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C2-4D1A-95D6-A23DE3AAF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C2-4D1A-95D6-A23DE3AAF4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C2-4D1A-95D6-A23DE3AAF41F}"/>
              </c:ext>
            </c:extLst>
          </c:dPt>
          <c:cat>
            <c:strRef>
              <c:f>Sheet2!$A$38:$A$41</c:f>
              <c:strCache>
                <c:ptCount val="3"/>
                <c:pt idx="0">
                  <c:v>High</c:v>
                </c:pt>
                <c:pt idx="1">
                  <c:v>Low</c:v>
                </c:pt>
                <c:pt idx="2">
                  <c:v>Medium</c:v>
                </c:pt>
              </c:strCache>
            </c:strRef>
          </c:cat>
          <c:val>
            <c:numRef>
              <c:f>Sheet2!$B$38:$B$41</c:f>
              <c:numCache>
                <c:formatCode>General</c:formatCode>
                <c:ptCount val="3"/>
                <c:pt idx="0">
                  <c:v>740</c:v>
                </c:pt>
                <c:pt idx="1">
                  <c:v>739</c:v>
                </c:pt>
                <c:pt idx="2">
                  <c:v>1521</c:v>
                </c:pt>
              </c:numCache>
            </c:numRef>
          </c:val>
          <c:extLst>
            <c:ext xmlns:c16="http://schemas.microsoft.com/office/drawing/2014/chart" uri="{C3380CC4-5D6E-409C-BE32-E72D297353CC}">
              <c16:uniqueId val="{00000006-B43C-4062-8BF6-57582EC56F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Sheet2!$I$36</c:f>
              <c:strCache>
                <c:ptCount val="1"/>
                <c:pt idx="0">
                  <c:v>Total</c:v>
                </c:pt>
              </c:strCache>
            </c:strRef>
          </c:tx>
          <c:spPr>
            <a:solidFill>
              <a:schemeClr val="accent1"/>
            </a:solidFill>
            <a:ln>
              <a:noFill/>
            </a:ln>
            <a:effectLst/>
          </c:spPr>
          <c:invertIfNegative val="0"/>
          <c:cat>
            <c:strRef>
              <c:f>Sheet2!$H$37:$H$42</c:f>
              <c:strCache>
                <c:ptCount val="5"/>
                <c:pt idx="0">
                  <c:v>Construction Worker</c:v>
                </c:pt>
                <c:pt idx="1">
                  <c:v>Customer Support</c:v>
                </c:pt>
                <c:pt idx="2">
                  <c:v>Retail Worker</c:v>
                </c:pt>
                <c:pt idx="3">
                  <c:v>Security Guard</c:v>
                </c:pt>
                <c:pt idx="4">
                  <c:v>Truck Driver</c:v>
                </c:pt>
              </c:strCache>
            </c:strRef>
          </c:cat>
          <c:val>
            <c:numRef>
              <c:f>Sheet2!$I$37:$I$42</c:f>
              <c:numCache>
                <c:formatCode>General</c:formatCode>
                <c:ptCount val="5"/>
                <c:pt idx="0">
                  <c:v>128.84999999999997</c:v>
                </c:pt>
                <c:pt idx="1">
                  <c:v>109.76</c:v>
                </c:pt>
                <c:pt idx="2">
                  <c:v>129.37999999999997</c:v>
                </c:pt>
                <c:pt idx="3">
                  <c:v>128.29</c:v>
                </c:pt>
                <c:pt idx="4">
                  <c:v>125.25000000000001</c:v>
                </c:pt>
              </c:numCache>
            </c:numRef>
          </c:val>
          <c:extLst>
            <c:ext xmlns:c16="http://schemas.microsoft.com/office/drawing/2014/chart" uri="{C3380CC4-5D6E-409C-BE32-E72D297353CC}">
              <c16:uniqueId val="{00000000-701C-4186-8151-25F0E159DB0E}"/>
            </c:ext>
          </c:extLst>
        </c:ser>
        <c:dLbls>
          <c:showLegendKey val="0"/>
          <c:showVal val="0"/>
          <c:showCatName val="0"/>
          <c:showSerName val="0"/>
          <c:showPercent val="0"/>
          <c:showBubbleSize val="0"/>
        </c:dLbls>
        <c:gapWidth val="150"/>
        <c:axId val="220720271"/>
        <c:axId val="220713071"/>
      </c:barChart>
      <c:catAx>
        <c:axId val="22072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13071"/>
        <c:crosses val="autoZero"/>
        <c:auto val="1"/>
        <c:lblAlgn val="ctr"/>
        <c:lblOffset val="100"/>
        <c:noMultiLvlLbl val="0"/>
      </c:catAx>
      <c:valAx>
        <c:axId val="22071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2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Sheet2!$R$5</c:f>
              <c:strCache>
                <c:ptCount val="1"/>
                <c:pt idx="0">
                  <c:v>Total</c:v>
                </c:pt>
              </c:strCache>
            </c:strRef>
          </c:tx>
          <c:spPr>
            <a:solidFill>
              <a:schemeClr val="accent1"/>
            </a:solidFill>
            <a:ln>
              <a:noFill/>
            </a:ln>
            <a:effectLst/>
          </c:spPr>
          <c:invertIfNegative val="0"/>
          <c:cat>
            <c:strRef>
              <c:f>Sheet2!$Q$6:$Q$10</c:f>
              <c:strCache>
                <c:ptCount val="4"/>
                <c:pt idx="0">
                  <c:v>Bachelor's</c:v>
                </c:pt>
                <c:pt idx="1">
                  <c:v>High School</c:v>
                </c:pt>
                <c:pt idx="2">
                  <c:v>Master's</c:v>
                </c:pt>
                <c:pt idx="3">
                  <c:v>PhD</c:v>
                </c:pt>
              </c:strCache>
            </c:strRef>
          </c:cat>
          <c:val>
            <c:numRef>
              <c:f>Sheet2!$R$6:$R$10</c:f>
              <c:numCache>
                <c:formatCode>General</c:formatCode>
                <c:ptCount val="4"/>
                <c:pt idx="0">
                  <c:v>0.50035294117647022</c:v>
                </c:pt>
                <c:pt idx="1">
                  <c:v>0.50905612244897902</c:v>
                </c:pt>
                <c:pt idx="2">
                  <c:v>0.49563265306122434</c:v>
                </c:pt>
                <c:pt idx="3">
                  <c:v>0.50048882681564233</c:v>
                </c:pt>
              </c:numCache>
            </c:numRef>
          </c:val>
          <c:extLst>
            <c:ext xmlns:c16="http://schemas.microsoft.com/office/drawing/2014/chart" uri="{C3380CC4-5D6E-409C-BE32-E72D297353CC}">
              <c16:uniqueId val="{00000000-F042-4E39-9943-056B8C21CC53}"/>
            </c:ext>
          </c:extLst>
        </c:ser>
        <c:dLbls>
          <c:showLegendKey val="0"/>
          <c:showVal val="0"/>
          <c:showCatName val="0"/>
          <c:showSerName val="0"/>
          <c:showPercent val="0"/>
          <c:showBubbleSize val="0"/>
        </c:dLbls>
        <c:gapWidth val="219"/>
        <c:overlap val="-27"/>
        <c:axId val="760888527"/>
        <c:axId val="760899087"/>
      </c:barChart>
      <c:catAx>
        <c:axId val="7608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899087"/>
        <c:crosses val="autoZero"/>
        <c:auto val="1"/>
        <c:lblAlgn val="ctr"/>
        <c:lblOffset val="100"/>
        <c:noMultiLvlLbl val="0"/>
      </c:catAx>
      <c:valAx>
        <c:axId val="76089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8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Sheet2!$U$5</c:f>
              <c:strCache>
                <c:ptCount val="1"/>
                <c:pt idx="0">
                  <c:v>Total</c:v>
                </c:pt>
              </c:strCache>
            </c:strRef>
          </c:tx>
          <c:spPr>
            <a:solidFill>
              <a:schemeClr val="accent1"/>
            </a:solidFill>
            <a:ln>
              <a:noFill/>
            </a:ln>
            <a:effectLst/>
          </c:spPr>
          <c:invertIfNegative val="0"/>
          <c:cat>
            <c:strRef>
              <c:f>Sheet2!$T$6:$T$11</c:f>
              <c:strCache>
                <c:ptCount val="5"/>
                <c:pt idx="0">
                  <c:v>23</c:v>
                </c:pt>
                <c:pt idx="1">
                  <c:v>14</c:v>
                </c:pt>
                <c:pt idx="2">
                  <c:v>27</c:v>
                </c:pt>
                <c:pt idx="3">
                  <c:v>12</c:v>
                </c:pt>
                <c:pt idx="4">
                  <c:v>16</c:v>
                </c:pt>
              </c:strCache>
            </c:strRef>
          </c:cat>
          <c:val>
            <c:numRef>
              <c:f>Sheet2!$U$6:$U$11</c:f>
              <c:numCache>
                <c:formatCode>General</c:formatCode>
                <c:ptCount val="5"/>
                <c:pt idx="0">
                  <c:v>96669.989795918373</c:v>
                </c:pt>
                <c:pt idx="1">
                  <c:v>96270.876288659798</c:v>
                </c:pt>
                <c:pt idx="2">
                  <c:v>95458.236842105267</c:v>
                </c:pt>
                <c:pt idx="3">
                  <c:v>95311.61538461539</c:v>
                </c:pt>
                <c:pt idx="4">
                  <c:v>93827.270270270266</c:v>
                </c:pt>
              </c:numCache>
            </c:numRef>
          </c:val>
          <c:extLst>
            <c:ext xmlns:c16="http://schemas.microsoft.com/office/drawing/2014/chart" uri="{C3380CC4-5D6E-409C-BE32-E72D297353CC}">
              <c16:uniqueId val="{00000000-52D7-4612-8439-25D1C85BF8AF}"/>
            </c:ext>
          </c:extLst>
        </c:ser>
        <c:dLbls>
          <c:showLegendKey val="0"/>
          <c:showVal val="0"/>
          <c:showCatName val="0"/>
          <c:showSerName val="0"/>
          <c:showPercent val="0"/>
          <c:showBubbleSize val="0"/>
        </c:dLbls>
        <c:gapWidth val="182"/>
        <c:axId val="1424580735"/>
        <c:axId val="202752607"/>
      </c:barChart>
      <c:catAx>
        <c:axId val="142458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2607"/>
        <c:crosses val="autoZero"/>
        <c:auto val="1"/>
        <c:lblAlgn val="ctr"/>
        <c:lblOffset val="100"/>
        <c:noMultiLvlLbl val="0"/>
      </c:catAx>
      <c:valAx>
        <c:axId val="20275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8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Sheet2!$U$28:$U$29</c:f>
              <c:strCache>
                <c:ptCount val="1"/>
                <c:pt idx="0">
                  <c:v>High</c:v>
                </c:pt>
              </c:strCache>
            </c:strRef>
          </c:tx>
          <c:spPr>
            <a:solidFill>
              <a:schemeClr val="accent1"/>
            </a:solidFill>
            <a:ln>
              <a:noFill/>
            </a:ln>
            <a:effectLst/>
          </c:spPr>
          <c:invertIfNegative val="0"/>
          <c:cat>
            <c:strRef>
              <c:f>Sheet2!$T$30:$T$34</c:f>
              <c:strCache>
                <c:ptCount val="4"/>
                <c:pt idx="0">
                  <c:v>Bachelor's</c:v>
                </c:pt>
                <c:pt idx="1">
                  <c:v>High School</c:v>
                </c:pt>
                <c:pt idx="2">
                  <c:v>Master's</c:v>
                </c:pt>
                <c:pt idx="3">
                  <c:v>PhD</c:v>
                </c:pt>
              </c:strCache>
            </c:strRef>
          </c:cat>
          <c:val>
            <c:numRef>
              <c:f>Sheet2!$U$30:$U$34</c:f>
              <c:numCache>
                <c:formatCode>General</c:formatCode>
                <c:ptCount val="4"/>
                <c:pt idx="0">
                  <c:v>188</c:v>
                </c:pt>
                <c:pt idx="1">
                  <c:v>187</c:v>
                </c:pt>
                <c:pt idx="2">
                  <c:v>188</c:v>
                </c:pt>
                <c:pt idx="3">
                  <c:v>177</c:v>
                </c:pt>
              </c:numCache>
            </c:numRef>
          </c:val>
          <c:extLst>
            <c:ext xmlns:c16="http://schemas.microsoft.com/office/drawing/2014/chart" uri="{C3380CC4-5D6E-409C-BE32-E72D297353CC}">
              <c16:uniqueId val="{00000000-FFF4-4C42-9369-F07F5E3FB0BE}"/>
            </c:ext>
          </c:extLst>
        </c:ser>
        <c:ser>
          <c:idx val="1"/>
          <c:order val="1"/>
          <c:tx>
            <c:strRef>
              <c:f>Sheet2!$V$28:$V$29</c:f>
              <c:strCache>
                <c:ptCount val="1"/>
                <c:pt idx="0">
                  <c:v>Low</c:v>
                </c:pt>
              </c:strCache>
            </c:strRef>
          </c:tx>
          <c:spPr>
            <a:solidFill>
              <a:schemeClr val="accent2"/>
            </a:solidFill>
            <a:ln>
              <a:noFill/>
            </a:ln>
            <a:effectLst/>
          </c:spPr>
          <c:invertIfNegative val="0"/>
          <c:cat>
            <c:strRef>
              <c:f>Sheet2!$T$30:$T$34</c:f>
              <c:strCache>
                <c:ptCount val="4"/>
                <c:pt idx="0">
                  <c:v>Bachelor's</c:v>
                </c:pt>
                <c:pt idx="1">
                  <c:v>High School</c:v>
                </c:pt>
                <c:pt idx="2">
                  <c:v>Master's</c:v>
                </c:pt>
                <c:pt idx="3">
                  <c:v>PhD</c:v>
                </c:pt>
              </c:strCache>
            </c:strRef>
          </c:cat>
          <c:val>
            <c:numRef>
              <c:f>Sheet2!$V$30:$V$34</c:f>
              <c:numCache>
                <c:formatCode>General</c:formatCode>
                <c:ptCount val="4"/>
                <c:pt idx="0">
                  <c:v>190</c:v>
                </c:pt>
                <c:pt idx="1">
                  <c:v>182</c:v>
                </c:pt>
                <c:pt idx="2">
                  <c:v>188</c:v>
                </c:pt>
                <c:pt idx="3">
                  <c:v>179</c:v>
                </c:pt>
              </c:numCache>
            </c:numRef>
          </c:val>
          <c:extLst>
            <c:ext xmlns:c16="http://schemas.microsoft.com/office/drawing/2014/chart" uri="{C3380CC4-5D6E-409C-BE32-E72D297353CC}">
              <c16:uniqueId val="{00000008-52FB-4EDD-BA69-A32891586DFF}"/>
            </c:ext>
          </c:extLst>
        </c:ser>
        <c:ser>
          <c:idx val="2"/>
          <c:order val="2"/>
          <c:tx>
            <c:strRef>
              <c:f>Sheet2!$W$28:$W$29</c:f>
              <c:strCache>
                <c:ptCount val="1"/>
                <c:pt idx="0">
                  <c:v>Medium</c:v>
                </c:pt>
              </c:strCache>
            </c:strRef>
          </c:tx>
          <c:spPr>
            <a:solidFill>
              <a:schemeClr val="accent3"/>
            </a:solidFill>
            <a:ln>
              <a:noFill/>
            </a:ln>
            <a:effectLst/>
          </c:spPr>
          <c:invertIfNegative val="0"/>
          <c:cat>
            <c:strRef>
              <c:f>Sheet2!$T$30:$T$34</c:f>
              <c:strCache>
                <c:ptCount val="4"/>
                <c:pt idx="0">
                  <c:v>Bachelor's</c:v>
                </c:pt>
                <c:pt idx="1">
                  <c:v>High School</c:v>
                </c:pt>
                <c:pt idx="2">
                  <c:v>Master's</c:v>
                </c:pt>
                <c:pt idx="3">
                  <c:v>PhD</c:v>
                </c:pt>
              </c:strCache>
            </c:strRef>
          </c:cat>
          <c:val>
            <c:numRef>
              <c:f>Sheet2!$W$30:$W$34</c:f>
              <c:numCache>
                <c:formatCode>General</c:formatCode>
                <c:ptCount val="4"/>
                <c:pt idx="0">
                  <c:v>387</c:v>
                </c:pt>
                <c:pt idx="1">
                  <c:v>415</c:v>
                </c:pt>
                <c:pt idx="2">
                  <c:v>359</c:v>
                </c:pt>
                <c:pt idx="3">
                  <c:v>360</c:v>
                </c:pt>
              </c:numCache>
            </c:numRef>
          </c:val>
          <c:extLst>
            <c:ext xmlns:c16="http://schemas.microsoft.com/office/drawing/2014/chart" uri="{C3380CC4-5D6E-409C-BE32-E72D297353CC}">
              <c16:uniqueId val="{00000009-52FB-4EDD-BA69-A32891586DFF}"/>
            </c:ext>
          </c:extLst>
        </c:ser>
        <c:dLbls>
          <c:showLegendKey val="0"/>
          <c:showVal val="0"/>
          <c:showCatName val="0"/>
          <c:showSerName val="0"/>
          <c:showPercent val="0"/>
          <c:showBubbleSize val="0"/>
        </c:dLbls>
        <c:gapWidth val="219"/>
        <c:overlap val="-27"/>
        <c:axId val="1423067919"/>
        <c:axId val="1423070319"/>
      </c:barChart>
      <c:catAx>
        <c:axId val="14230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70319"/>
        <c:crosses val="autoZero"/>
        <c:auto val="1"/>
        <c:lblAlgn val="ctr"/>
        <c:lblOffset val="100"/>
        <c:noMultiLvlLbl val="0"/>
      </c:catAx>
      <c:valAx>
        <c:axId val="142307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6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[excelproject.xlsx]Sheet2!PivotTable9</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Sheet2!$AB$5</c:f>
              <c:strCache>
                <c:ptCount val="1"/>
                <c:pt idx="0">
                  <c:v>Total</c:v>
                </c:pt>
              </c:strCache>
            </c:strRef>
          </c:tx>
          <c:spPr>
            <a:ln w="28575" cap="rnd">
              <a:solidFill>
                <a:schemeClr val="accent1"/>
              </a:solidFill>
              <a:round/>
            </a:ln>
            <a:effectLst/>
          </c:spPr>
          <c:marker>
            <c:symbol val="none"/>
          </c:marker>
          <c:cat>
            <c:strRef>
              <c:f>Sheet2!$AA$6:$AA$36</c:f>
              <c:strCache>
                <c:ptCount val="30"/>
                <c:pt idx="0">
                  <c:v>29</c:v>
                </c:pt>
                <c:pt idx="1">
                  <c:v>28</c:v>
                </c:pt>
                <c:pt idx="2">
                  <c:v>27</c:v>
                </c:pt>
                <c:pt idx="3">
                  <c:v>26</c:v>
                </c:pt>
                <c:pt idx="4">
                  <c:v>25</c:v>
                </c:pt>
                <c:pt idx="5">
                  <c:v>24</c:v>
                </c:pt>
                <c:pt idx="6">
                  <c:v>23</c:v>
                </c:pt>
                <c:pt idx="7">
                  <c:v>22</c:v>
                </c:pt>
                <c:pt idx="8">
                  <c:v>21</c:v>
                </c:pt>
                <c:pt idx="9">
                  <c:v>20</c:v>
                </c:pt>
                <c:pt idx="10">
                  <c:v>19</c:v>
                </c:pt>
                <c:pt idx="11">
                  <c:v>18</c:v>
                </c:pt>
                <c:pt idx="12">
                  <c:v>17</c:v>
                </c:pt>
                <c:pt idx="13">
                  <c:v>16</c:v>
                </c:pt>
                <c:pt idx="14">
                  <c:v>15</c:v>
                </c:pt>
                <c:pt idx="15">
                  <c:v>14</c:v>
                </c:pt>
                <c:pt idx="16">
                  <c:v>13</c:v>
                </c:pt>
                <c:pt idx="17">
                  <c:v>12</c:v>
                </c:pt>
                <c:pt idx="18">
                  <c:v>11</c:v>
                </c:pt>
                <c:pt idx="19">
                  <c:v>10</c:v>
                </c:pt>
                <c:pt idx="20">
                  <c:v>9</c:v>
                </c:pt>
                <c:pt idx="21">
                  <c:v>8</c:v>
                </c:pt>
                <c:pt idx="22">
                  <c:v>7</c:v>
                </c:pt>
                <c:pt idx="23">
                  <c:v>6</c:v>
                </c:pt>
                <c:pt idx="24">
                  <c:v>5</c:v>
                </c:pt>
                <c:pt idx="25">
                  <c:v>4</c:v>
                </c:pt>
                <c:pt idx="26">
                  <c:v>3</c:v>
                </c:pt>
                <c:pt idx="27">
                  <c:v>2</c:v>
                </c:pt>
                <c:pt idx="28">
                  <c:v>1</c:v>
                </c:pt>
                <c:pt idx="29">
                  <c:v>0</c:v>
                </c:pt>
              </c:strCache>
            </c:strRef>
          </c:cat>
          <c:val>
            <c:numRef>
              <c:f>Sheet2!$AB$6:$AB$36</c:f>
              <c:numCache>
                <c:formatCode>General</c:formatCode>
                <c:ptCount val="30"/>
                <c:pt idx="0">
                  <c:v>89059.64347826087</c:v>
                </c:pt>
                <c:pt idx="1">
                  <c:v>89474.532710280371</c:v>
                </c:pt>
                <c:pt idx="2">
                  <c:v>95458.236842105267</c:v>
                </c:pt>
                <c:pt idx="3">
                  <c:v>90221.971698113208</c:v>
                </c:pt>
                <c:pt idx="4">
                  <c:v>85540.717171717173</c:v>
                </c:pt>
                <c:pt idx="5">
                  <c:v>86462.22891566265</c:v>
                </c:pt>
                <c:pt idx="6">
                  <c:v>96669.989795918373</c:v>
                </c:pt>
                <c:pt idx="7">
                  <c:v>89898.020202020198</c:v>
                </c:pt>
                <c:pt idx="8">
                  <c:v>88694.123966942148</c:v>
                </c:pt>
                <c:pt idx="9">
                  <c:v>85467.777777777781</c:v>
                </c:pt>
                <c:pt idx="10">
                  <c:v>88638.074468085106</c:v>
                </c:pt>
                <c:pt idx="11">
                  <c:v>87098.056603773584</c:v>
                </c:pt>
                <c:pt idx="12">
                  <c:v>81039.822784810123</c:v>
                </c:pt>
                <c:pt idx="13">
                  <c:v>93827.270270270266</c:v>
                </c:pt>
                <c:pt idx="14">
                  <c:v>91810.704081632648</c:v>
                </c:pt>
                <c:pt idx="15">
                  <c:v>96270.876288659798</c:v>
                </c:pt>
                <c:pt idx="16">
                  <c:v>93486.703296703301</c:v>
                </c:pt>
                <c:pt idx="17">
                  <c:v>95311.61538461539</c:v>
                </c:pt>
                <c:pt idx="18">
                  <c:v>88173.429824561405</c:v>
                </c:pt>
                <c:pt idx="19">
                  <c:v>84428.647058823524</c:v>
                </c:pt>
                <c:pt idx="20">
                  <c:v>88725.834951456316</c:v>
                </c:pt>
                <c:pt idx="21">
                  <c:v>89819.084210526315</c:v>
                </c:pt>
                <c:pt idx="22">
                  <c:v>87371.647058823524</c:v>
                </c:pt>
                <c:pt idx="23">
                  <c:v>84251.377777777772</c:v>
                </c:pt>
                <c:pt idx="24">
                  <c:v>84829.15625</c:v>
                </c:pt>
                <c:pt idx="25">
                  <c:v>91138.864077669903</c:v>
                </c:pt>
                <c:pt idx="26">
                  <c:v>83886.110091743118</c:v>
                </c:pt>
                <c:pt idx="27">
                  <c:v>93614.842696629217</c:v>
                </c:pt>
                <c:pt idx="28">
                  <c:v>89240.45</c:v>
                </c:pt>
                <c:pt idx="29">
                  <c:v>89339.969387755104</c:v>
                </c:pt>
              </c:numCache>
            </c:numRef>
          </c:val>
          <c:smooth val="0"/>
          <c:extLst>
            <c:ext xmlns:c16="http://schemas.microsoft.com/office/drawing/2014/chart" uri="{C3380CC4-5D6E-409C-BE32-E72D297353CC}">
              <c16:uniqueId val="{00000000-EE71-4004-A360-914F97369F7B}"/>
            </c:ext>
          </c:extLst>
        </c:ser>
        <c:dLbls>
          <c:showLegendKey val="0"/>
          <c:showVal val="0"/>
          <c:showCatName val="0"/>
          <c:showSerName val="0"/>
          <c:showPercent val="0"/>
          <c:showBubbleSize val="0"/>
        </c:dLbls>
        <c:smooth val="0"/>
        <c:axId val="242080671"/>
        <c:axId val="242088351"/>
      </c:lineChart>
      <c:catAx>
        <c:axId val="2420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88351"/>
        <c:crosses val="autoZero"/>
        <c:auto val="1"/>
        <c:lblAlgn val="ctr"/>
        <c:lblOffset val="100"/>
        <c:noMultiLvlLbl val="0"/>
      </c:catAx>
      <c:valAx>
        <c:axId val="24208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[excelproject.xlsx]Sheet2!PivotTable10</c:name>
    <c:fmtId val="3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Sheet2!$AI$5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Sheet2!$AH$6:$AH$14</c:f>
              <c:strCache>
                <c:ptCount val="8"/>
                <c:pt idx="0">
                  <c:v>Software Engineer</c:v>
                </c:pt>
                <c:pt idx="1">
                  <c:v>Data Scientist</c:v>
                </c:pt>
                <c:pt idx="2">
                  <c:v>Graphic Designer</c:v>
                </c:pt>
                <c:pt idx="3">
                  <c:v>Teacher</c:v>
                </c:pt>
                <c:pt idx="4">
                  <c:v>Truck Driver</c:v>
                </c:pt>
                <c:pt idx="5">
                  <c:v>UX Researcher</c:v>
                </c:pt>
                <c:pt idx="6">
                  <c:v>Security Guard</c:v>
                </c:pt>
                <c:pt idx="7">
                  <c:v>Construction Worker</c:v>
                </c:pt>
              </c:strCache>
            </c:strRef>
          </c:cat>
          <c:val>
            <c:numRef>
              <c:f>Sheet2!$AI$6:$AI$14</c:f>
              <c:numCache>
                <c:formatCode>General</c:formatCode>
                <c:ptCount val="8"/>
                <c:pt idx="0">
                  <c:v>89.760000000000034</c:v>
                </c:pt>
                <c:pt idx="1">
                  <c:v>85.650000000000034</c:v>
                </c:pt>
                <c:pt idx="2">
                  <c:v>84.329999999999941</c:v>
                </c:pt>
                <c:pt idx="3">
                  <c:v>82.55</c:v>
                </c:pt>
                <c:pt idx="4">
                  <c:v>79.57999999999997</c:v>
                </c:pt>
                <c:pt idx="5">
                  <c:v>79.490000000000023</c:v>
                </c:pt>
                <c:pt idx="6">
                  <c:v>79.30999999999996</c:v>
                </c:pt>
                <c:pt idx="7">
                  <c:v>78.750000000000014</c:v>
                </c:pt>
              </c:numCache>
            </c:numRef>
          </c:val>
          <c:extLst>
            <c:ext xmlns:c16="http://schemas.microsoft.com/office/drawing/2014/chart" uri="{C3380CC4-5D6E-409C-BE32-E72D297353CC}">
              <c16:uniqueId val="{00000000-2C6C-4296-B0DB-0B4C056C4D8C}"/>
            </c:ext>
          </c:extLst>
        </c:ser>
        <c:dLbls>
          <c:showLegendKey val="0"/>
          <c:showVal val="0"/>
          <c:showCatName val="0"/>
          <c:showSerName val="0"/>
          <c:showPercent val="0"/>
          <c:showBubbleSize val="0"/>
        </c:dLbls>
        <c:axId val="760893327"/>
        <c:axId val="760905807"/>
      </c:areaChart>
      <c:catAx>
        <c:axId val="7608933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905807"/>
        <c:crosses val="autoZero"/>
        <c:auto val="1"/>
        <c:lblAlgn val="ctr"/>
        <c:lblOffset val="100"/>
        <c:noMultiLvlLbl val="0"/>
      </c:catAx>
      <c:valAx>
        <c:axId val="76090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893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Sheet2!$AU$20</c:f>
              <c:strCache>
                <c:ptCount val="1"/>
                <c:pt idx="0">
                  <c:v>Total</c:v>
                </c:pt>
              </c:strCache>
            </c:strRef>
          </c:tx>
          <c:spPr>
            <a:solidFill>
              <a:schemeClr val="accent1"/>
            </a:solidFill>
            <a:ln>
              <a:noFill/>
            </a:ln>
            <a:effectLst/>
          </c:spPr>
          <c:invertIfNegative val="0"/>
          <c:cat>
            <c:strRef>
              <c:f>Sheet2!$AT$21:$AT$24</c:f>
              <c:strCache>
                <c:ptCount val="3"/>
                <c:pt idx="0">
                  <c:v>High</c:v>
                </c:pt>
                <c:pt idx="1">
                  <c:v>Low</c:v>
                </c:pt>
                <c:pt idx="2">
                  <c:v>Medium</c:v>
                </c:pt>
              </c:strCache>
            </c:strRef>
          </c:cat>
          <c:val>
            <c:numRef>
              <c:f>Sheet2!$AU$21:$AU$24</c:f>
              <c:numCache>
                <c:formatCode>General</c:formatCode>
                <c:ptCount val="3"/>
                <c:pt idx="0">
                  <c:v>0.50985135135135184</c:v>
                </c:pt>
                <c:pt idx="1">
                  <c:v>0.49604871447902543</c:v>
                </c:pt>
                <c:pt idx="2">
                  <c:v>0.49965811965811935</c:v>
                </c:pt>
              </c:numCache>
            </c:numRef>
          </c:val>
          <c:extLst>
            <c:ext xmlns:c16="http://schemas.microsoft.com/office/drawing/2014/chart" uri="{C3380CC4-5D6E-409C-BE32-E72D297353CC}">
              <c16:uniqueId val="{00000000-75DE-473A-A3A7-47404E2D4E93}"/>
            </c:ext>
          </c:extLst>
        </c:ser>
        <c:dLbls>
          <c:showLegendKey val="0"/>
          <c:showVal val="0"/>
          <c:showCatName val="0"/>
          <c:showSerName val="0"/>
          <c:showPercent val="0"/>
          <c:showBubbleSize val="0"/>
        </c:dLbls>
        <c:gapWidth val="182"/>
        <c:axId val="1010311311"/>
        <c:axId val="1010312751"/>
      </c:barChart>
      <c:catAx>
        <c:axId val="101031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312751"/>
        <c:crosses val="autoZero"/>
        <c:auto val="1"/>
        <c:lblAlgn val="ctr"/>
        <c:lblOffset val="100"/>
        <c:noMultiLvlLbl val="0"/>
      </c:catAx>
      <c:valAx>
        <c:axId val="101031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31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[excelproject.xlsx]Sheet2!PivotTable11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Sheet2!$AS$53:$AS$54</c:f>
              <c:strCache>
                <c:ptCount val="1"/>
                <c:pt idx="0">
                  <c:v>High</c:v>
                </c:pt>
              </c:strCache>
            </c:strRef>
          </c:tx>
          <c:spPr>
            <a:solidFill>
              <a:schemeClr val="accent1"/>
            </a:solidFill>
            <a:ln>
              <a:noFill/>
            </a:ln>
            <a:effectLst/>
          </c:spPr>
          <c:cat>
            <c:strRef>
              <c:f>Sheet2!$AR$55:$AR$85</c:f>
              <c:strCache>
                <c:ptCount val="3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strCache>
            </c:strRef>
          </c:cat>
          <c:val>
            <c:numRef>
              <c:f>Sheet2!$AS$55:$AS$85</c:f>
              <c:numCache>
                <c:formatCode>General</c:formatCode>
                <c:ptCount val="30"/>
                <c:pt idx="0">
                  <c:v>27</c:v>
                </c:pt>
                <c:pt idx="1">
                  <c:v>31</c:v>
                </c:pt>
                <c:pt idx="2">
                  <c:v>21</c:v>
                </c:pt>
                <c:pt idx="3">
                  <c:v>26</c:v>
                </c:pt>
                <c:pt idx="4">
                  <c:v>25</c:v>
                </c:pt>
                <c:pt idx="5">
                  <c:v>27</c:v>
                </c:pt>
                <c:pt idx="6">
                  <c:v>26</c:v>
                </c:pt>
                <c:pt idx="7">
                  <c:v>19</c:v>
                </c:pt>
                <c:pt idx="8">
                  <c:v>23</c:v>
                </c:pt>
                <c:pt idx="9">
                  <c:v>30</c:v>
                </c:pt>
                <c:pt idx="10">
                  <c:v>25</c:v>
                </c:pt>
                <c:pt idx="11">
                  <c:v>25</c:v>
                </c:pt>
                <c:pt idx="12">
                  <c:v>20</c:v>
                </c:pt>
                <c:pt idx="13">
                  <c:v>19</c:v>
                </c:pt>
                <c:pt idx="14">
                  <c:v>18</c:v>
                </c:pt>
                <c:pt idx="15">
                  <c:v>26</c:v>
                </c:pt>
                <c:pt idx="16">
                  <c:v>37</c:v>
                </c:pt>
                <c:pt idx="17">
                  <c:v>15</c:v>
                </c:pt>
                <c:pt idx="18">
                  <c:v>23</c:v>
                </c:pt>
                <c:pt idx="19">
                  <c:v>24</c:v>
                </c:pt>
                <c:pt idx="20">
                  <c:v>23</c:v>
                </c:pt>
                <c:pt idx="21">
                  <c:v>30</c:v>
                </c:pt>
                <c:pt idx="22">
                  <c:v>24</c:v>
                </c:pt>
                <c:pt idx="23">
                  <c:v>20</c:v>
                </c:pt>
                <c:pt idx="24">
                  <c:v>15</c:v>
                </c:pt>
                <c:pt idx="25">
                  <c:v>32</c:v>
                </c:pt>
                <c:pt idx="26">
                  <c:v>29</c:v>
                </c:pt>
                <c:pt idx="27">
                  <c:v>29</c:v>
                </c:pt>
                <c:pt idx="28">
                  <c:v>26</c:v>
                </c:pt>
                <c:pt idx="29">
                  <c:v>25</c:v>
                </c:pt>
              </c:numCache>
            </c:numRef>
          </c:val>
          <c:extLst>
            <c:ext xmlns:c16="http://schemas.microsoft.com/office/drawing/2014/chart" uri="{C3380CC4-5D6E-409C-BE32-E72D297353CC}">
              <c16:uniqueId val="{00000000-9958-440B-8F9E-D8BBD85E246B}"/>
            </c:ext>
          </c:extLst>
        </c:ser>
        <c:ser>
          <c:idx val="1"/>
          <c:order val="1"/>
          <c:tx>
            <c:strRef>
              <c:f>Sheet2!$AT$53:$AT$54</c:f>
              <c:strCache>
                <c:ptCount val="1"/>
                <c:pt idx="0">
                  <c:v>Low</c:v>
                </c:pt>
              </c:strCache>
            </c:strRef>
          </c:tx>
          <c:spPr>
            <a:solidFill>
              <a:schemeClr val="accent2"/>
            </a:solidFill>
            <a:ln w="25400">
              <a:noFill/>
            </a:ln>
            <a:effectLst/>
          </c:spPr>
          <c:cat>
            <c:strRef>
              <c:f>Sheet2!$AR$55:$AR$85</c:f>
              <c:strCache>
                <c:ptCount val="3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strCache>
            </c:strRef>
          </c:cat>
          <c:val>
            <c:numRef>
              <c:f>Sheet2!$AT$55:$AT$85</c:f>
              <c:numCache>
                <c:formatCode>General</c:formatCode>
                <c:ptCount val="30"/>
                <c:pt idx="0">
                  <c:v>26</c:v>
                </c:pt>
                <c:pt idx="1">
                  <c:v>26</c:v>
                </c:pt>
                <c:pt idx="2">
                  <c:v>24</c:v>
                </c:pt>
                <c:pt idx="3">
                  <c:v>21</c:v>
                </c:pt>
                <c:pt idx="4">
                  <c:v>17</c:v>
                </c:pt>
                <c:pt idx="5">
                  <c:v>21</c:v>
                </c:pt>
                <c:pt idx="6">
                  <c:v>14</c:v>
                </c:pt>
                <c:pt idx="7">
                  <c:v>28</c:v>
                </c:pt>
                <c:pt idx="8">
                  <c:v>20</c:v>
                </c:pt>
                <c:pt idx="9">
                  <c:v>31</c:v>
                </c:pt>
                <c:pt idx="10">
                  <c:v>21</c:v>
                </c:pt>
                <c:pt idx="11">
                  <c:v>34</c:v>
                </c:pt>
                <c:pt idx="12">
                  <c:v>27</c:v>
                </c:pt>
                <c:pt idx="13">
                  <c:v>25</c:v>
                </c:pt>
                <c:pt idx="14">
                  <c:v>25</c:v>
                </c:pt>
                <c:pt idx="15">
                  <c:v>27</c:v>
                </c:pt>
                <c:pt idx="16">
                  <c:v>26</c:v>
                </c:pt>
                <c:pt idx="17">
                  <c:v>21</c:v>
                </c:pt>
                <c:pt idx="18">
                  <c:v>33</c:v>
                </c:pt>
                <c:pt idx="19">
                  <c:v>19</c:v>
                </c:pt>
                <c:pt idx="20">
                  <c:v>20</c:v>
                </c:pt>
                <c:pt idx="21">
                  <c:v>44</c:v>
                </c:pt>
                <c:pt idx="22">
                  <c:v>25</c:v>
                </c:pt>
                <c:pt idx="23">
                  <c:v>24</c:v>
                </c:pt>
                <c:pt idx="24">
                  <c:v>22</c:v>
                </c:pt>
                <c:pt idx="25">
                  <c:v>24</c:v>
                </c:pt>
                <c:pt idx="26">
                  <c:v>22</c:v>
                </c:pt>
                <c:pt idx="27">
                  <c:v>28</c:v>
                </c:pt>
                <c:pt idx="28">
                  <c:v>22</c:v>
                </c:pt>
                <c:pt idx="29">
                  <c:v>22</c:v>
                </c:pt>
              </c:numCache>
            </c:numRef>
          </c:val>
          <c:extLst>
            <c:ext xmlns:c16="http://schemas.microsoft.com/office/drawing/2014/chart" uri="{C3380CC4-5D6E-409C-BE32-E72D297353CC}">
              <c16:uniqueId val="{0000000B-9958-440B-8F9E-D8BBD85E246B}"/>
            </c:ext>
          </c:extLst>
        </c:ser>
        <c:ser>
          <c:idx val="2"/>
          <c:order val="2"/>
          <c:tx>
            <c:strRef>
              <c:f>Sheet2!$AU$53:$AU$54</c:f>
              <c:strCache>
                <c:ptCount val="1"/>
                <c:pt idx="0">
                  <c:v>Medium</c:v>
                </c:pt>
              </c:strCache>
            </c:strRef>
          </c:tx>
          <c:spPr>
            <a:solidFill>
              <a:schemeClr val="accent3"/>
            </a:solidFill>
            <a:ln w="25400">
              <a:noFill/>
            </a:ln>
            <a:effectLst/>
          </c:spPr>
          <c:cat>
            <c:strRef>
              <c:f>Sheet2!$AR$55:$AR$85</c:f>
              <c:strCache>
                <c:ptCount val="3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strCache>
            </c:strRef>
          </c:cat>
          <c:val>
            <c:numRef>
              <c:f>Sheet2!$AU$55:$AU$85</c:f>
              <c:numCache>
                <c:formatCode>General</c:formatCode>
                <c:ptCount val="30"/>
                <c:pt idx="0">
                  <c:v>45</c:v>
                </c:pt>
                <c:pt idx="1">
                  <c:v>43</c:v>
                </c:pt>
                <c:pt idx="2">
                  <c:v>44</c:v>
                </c:pt>
                <c:pt idx="3">
                  <c:v>62</c:v>
                </c:pt>
                <c:pt idx="4">
                  <c:v>61</c:v>
                </c:pt>
                <c:pt idx="5">
                  <c:v>48</c:v>
                </c:pt>
                <c:pt idx="6">
                  <c:v>50</c:v>
                </c:pt>
                <c:pt idx="7">
                  <c:v>55</c:v>
                </c:pt>
                <c:pt idx="8">
                  <c:v>52</c:v>
                </c:pt>
                <c:pt idx="9">
                  <c:v>42</c:v>
                </c:pt>
                <c:pt idx="10">
                  <c:v>56</c:v>
                </c:pt>
                <c:pt idx="11">
                  <c:v>55</c:v>
                </c:pt>
                <c:pt idx="12">
                  <c:v>44</c:v>
                </c:pt>
                <c:pt idx="13">
                  <c:v>47</c:v>
                </c:pt>
                <c:pt idx="14">
                  <c:v>54</c:v>
                </c:pt>
                <c:pt idx="15">
                  <c:v>45</c:v>
                </c:pt>
                <c:pt idx="16">
                  <c:v>48</c:v>
                </c:pt>
                <c:pt idx="17">
                  <c:v>43</c:v>
                </c:pt>
                <c:pt idx="18">
                  <c:v>50</c:v>
                </c:pt>
                <c:pt idx="19">
                  <c:v>51</c:v>
                </c:pt>
                <c:pt idx="20">
                  <c:v>47</c:v>
                </c:pt>
                <c:pt idx="21">
                  <c:v>47</c:v>
                </c:pt>
                <c:pt idx="22">
                  <c:v>50</c:v>
                </c:pt>
                <c:pt idx="23">
                  <c:v>54</c:v>
                </c:pt>
                <c:pt idx="24">
                  <c:v>46</c:v>
                </c:pt>
                <c:pt idx="25">
                  <c:v>43</c:v>
                </c:pt>
                <c:pt idx="26">
                  <c:v>55</c:v>
                </c:pt>
                <c:pt idx="27">
                  <c:v>57</c:v>
                </c:pt>
                <c:pt idx="28">
                  <c:v>59</c:v>
                </c:pt>
                <c:pt idx="29">
                  <c:v>68</c:v>
                </c:pt>
              </c:numCache>
            </c:numRef>
          </c:val>
          <c:extLst>
            <c:ext xmlns:c16="http://schemas.microsoft.com/office/drawing/2014/chart" uri="{C3380CC4-5D6E-409C-BE32-E72D297353CC}">
              <c16:uniqueId val="{0000000C-9958-440B-8F9E-D8BBD85E246B}"/>
            </c:ext>
          </c:extLst>
        </c:ser>
        <c:dLbls>
          <c:showLegendKey val="0"/>
          <c:showVal val="0"/>
          <c:showCatName val="0"/>
          <c:showSerName val="0"/>
          <c:showPercent val="0"/>
          <c:showBubbleSize val="0"/>
        </c:dLbls>
        <c:axId val="1010255631"/>
        <c:axId val="1010272431"/>
      </c:areaChart>
      <c:catAx>
        <c:axId val="101025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72431"/>
        <c:crosses val="autoZero"/>
        <c:auto val="1"/>
        <c:lblAlgn val="ctr"/>
        <c:lblOffset val="100"/>
        <c:noMultiLvlLbl val="0"/>
      </c:catAx>
      <c:valAx>
        <c:axId val="101027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556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[excelproject.xlsx]Sheet2!PivotTable4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tint val="65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hade val="65000"/>
            </a:schemeClr>
          </a:solidFill>
          <a:ln w="19050">
            <a:solidFill>
              <a:schemeClr val="lt1"/>
            </a:solidFill>
          </a:ln>
          <a:effectLst/>
        </c:spPr>
      </c:pivotFmt>
    </c:pivotFmts>
    <c:plotArea>
      <c:layout/>
      <c:pieChart>
        <c:varyColors val="1"/>
        <c:ser>
          <c:idx val="0"/>
          <c:order val="0"/>
          <c:tx>
            <c:strRef>
              <c:f>Sheet2!$B$37</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AD36-4BAC-9B7C-63B2F1B5723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D36-4BAC-9B7C-63B2F1B5723E}"/>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AD36-4BAC-9B7C-63B2F1B5723E}"/>
              </c:ext>
            </c:extLst>
          </c:dPt>
          <c:cat>
            <c:strRef>
              <c:f>Sheet2!$A$38:$A$41</c:f>
              <c:strCache>
                <c:ptCount val="3"/>
                <c:pt idx="0">
                  <c:v>High</c:v>
                </c:pt>
                <c:pt idx="1">
                  <c:v>Low</c:v>
                </c:pt>
                <c:pt idx="2">
                  <c:v>Medium</c:v>
                </c:pt>
              </c:strCache>
            </c:strRef>
          </c:cat>
          <c:val>
            <c:numRef>
              <c:f>Sheet2!$B$38:$B$41</c:f>
              <c:numCache>
                <c:formatCode>General</c:formatCode>
                <c:ptCount val="3"/>
                <c:pt idx="0">
                  <c:v>740</c:v>
                </c:pt>
                <c:pt idx="1">
                  <c:v>739</c:v>
                </c:pt>
                <c:pt idx="2">
                  <c:v>1521</c:v>
                </c:pt>
              </c:numCache>
            </c:numRef>
          </c:val>
          <c:extLst>
            <c:ext xmlns:c16="http://schemas.microsoft.com/office/drawing/2014/chart" uri="{C3380CC4-5D6E-409C-BE32-E72D297353CC}">
              <c16:uniqueId val="{00000006-AD36-4BAC-9B7C-63B2F1B5723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[excelproject.xlsx]Sheet2!PivotTable9</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Sheet2!$AB$5</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Sheet2!$AA$6:$AA$36</c:f>
              <c:strCache>
                <c:ptCount val="30"/>
                <c:pt idx="0">
                  <c:v>29</c:v>
                </c:pt>
                <c:pt idx="1">
                  <c:v>28</c:v>
                </c:pt>
                <c:pt idx="2">
                  <c:v>27</c:v>
                </c:pt>
                <c:pt idx="3">
                  <c:v>26</c:v>
                </c:pt>
                <c:pt idx="4">
                  <c:v>25</c:v>
                </c:pt>
                <c:pt idx="5">
                  <c:v>24</c:v>
                </c:pt>
                <c:pt idx="6">
                  <c:v>23</c:v>
                </c:pt>
                <c:pt idx="7">
                  <c:v>22</c:v>
                </c:pt>
                <c:pt idx="8">
                  <c:v>21</c:v>
                </c:pt>
                <c:pt idx="9">
                  <c:v>20</c:v>
                </c:pt>
                <c:pt idx="10">
                  <c:v>19</c:v>
                </c:pt>
                <c:pt idx="11">
                  <c:v>18</c:v>
                </c:pt>
                <c:pt idx="12">
                  <c:v>17</c:v>
                </c:pt>
                <c:pt idx="13">
                  <c:v>16</c:v>
                </c:pt>
                <c:pt idx="14">
                  <c:v>15</c:v>
                </c:pt>
                <c:pt idx="15">
                  <c:v>14</c:v>
                </c:pt>
                <c:pt idx="16">
                  <c:v>13</c:v>
                </c:pt>
                <c:pt idx="17">
                  <c:v>12</c:v>
                </c:pt>
                <c:pt idx="18">
                  <c:v>11</c:v>
                </c:pt>
                <c:pt idx="19">
                  <c:v>10</c:v>
                </c:pt>
                <c:pt idx="20">
                  <c:v>9</c:v>
                </c:pt>
                <c:pt idx="21">
                  <c:v>8</c:v>
                </c:pt>
                <c:pt idx="22">
                  <c:v>7</c:v>
                </c:pt>
                <c:pt idx="23">
                  <c:v>6</c:v>
                </c:pt>
                <c:pt idx="24">
                  <c:v>5</c:v>
                </c:pt>
                <c:pt idx="25">
                  <c:v>4</c:v>
                </c:pt>
                <c:pt idx="26">
                  <c:v>3</c:v>
                </c:pt>
                <c:pt idx="27">
                  <c:v>2</c:v>
                </c:pt>
                <c:pt idx="28">
                  <c:v>1</c:v>
                </c:pt>
                <c:pt idx="29">
                  <c:v>0</c:v>
                </c:pt>
              </c:strCache>
            </c:strRef>
          </c:cat>
          <c:val>
            <c:numRef>
              <c:f>Sheet2!$AB$6:$AB$36</c:f>
              <c:numCache>
                <c:formatCode>General</c:formatCode>
                <c:ptCount val="30"/>
                <c:pt idx="0">
                  <c:v>89059.64347826087</c:v>
                </c:pt>
                <c:pt idx="1">
                  <c:v>89474.532710280371</c:v>
                </c:pt>
                <c:pt idx="2">
                  <c:v>95458.236842105267</c:v>
                </c:pt>
                <c:pt idx="3">
                  <c:v>90221.971698113208</c:v>
                </c:pt>
                <c:pt idx="4">
                  <c:v>85540.717171717173</c:v>
                </c:pt>
                <c:pt idx="5">
                  <c:v>86462.22891566265</c:v>
                </c:pt>
                <c:pt idx="6">
                  <c:v>96669.989795918373</c:v>
                </c:pt>
                <c:pt idx="7">
                  <c:v>89898.020202020198</c:v>
                </c:pt>
                <c:pt idx="8">
                  <c:v>88694.123966942148</c:v>
                </c:pt>
                <c:pt idx="9">
                  <c:v>85467.777777777781</c:v>
                </c:pt>
                <c:pt idx="10">
                  <c:v>88638.074468085106</c:v>
                </c:pt>
                <c:pt idx="11">
                  <c:v>87098.056603773584</c:v>
                </c:pt>
                <c:pt idx="12">
                  <c:v>81039.822784810123</c:v>
                </c:pt>
                <c:pt idx="13">
                  <c:v>93827.270270270266</c:v>
                </c:pt>
                <c:pt idx="14">
                  <c:v>91810.704081632648</c:v>
                </c:pt>
                <c:pt idx="15">
                  <c:v>96270.876288659798</c:v>
                </c:pt>
                <c:pt idx="16">
                  <c:v>93486.703296703301</c:v>
                </c:pt>
                <c:pt idx="17">
                  <c:v>95311.61538461539</c:v>
                </c:pt>
                <c:pt idx="18">
                  <c:v>88173.429824561405</c:v>
                </c:pt>
                <c:pt idx="19">
                  <c:v>84428.647058823524</c:v>
                </c:pt>
                <c:pt idx="20">
                  <c:v>88725.834951456316</c:v>
                </c:pt>
                <c:pt idx="21">
                  <c:v>89819.084210526315</c:v>
                </c:pt>
                <c:pt idx="22">
                  <c:v>87371.647058823524</c:v>
                </c:pt>
                <c:pt idx="23">
                  <c:v>84251.377777777772</c:v>
                </c:pt>
                <c:pt idx="24">
                  <c:v>84829.15625</c:v>
                </c:pt>
                <c:pt idx="25">
                  <c:v>91138.864077669903</c:v>
                </c:pt>
                <c:pt idx="26">
                  <c:v>83886.110091743118</c:v>
                </c:pt>
                <c:pt idx="27">
                  <c:v>93614.842696629217</c:v>
                </c:pt>
                <c:pt idx="28">
                  <c:v>89240.45</c:v>
                </c:pt>
                <c:pt idx="29">
                  <c:v>89339.969387755104</c:v>
                </c:pt>
              </c:numCache>
            </c:numRef>
          </c:val>
          <c:smooth val="0"/>
          <c:extLst>
            <c:ext xmlns:c16="http://schemas.microsoft.com/office/drawing/2014/chart" uri="{C3380CC4-5D6E-409C-BE32-E72D297353CC}">
              <c16:uniqueId val="{00000000-3132-46F7-8C2C-14104705978B}"/>
            </c:ext>
          </c:extLst>
        </c:ser>
        <c:dLbls>
          <c:showLegendKey val="0"/>
          <c:showVal val="0"/>
          <c:showCatName val="0"/>
          <c:showSerName val="0"/>
          <c:showPercent val="0"/>
          <c:showBubbleSize val="0"/>
        </c:dLbls>
        <c:marker val="1"/>
        <c:smooth val="0"/>
        <c:axId val="242080671"/>
        <c:axId val="242088351"/>
      </c:lineChart>
      <c:catAx>
        <c:axId val="2420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88351"/>
        <c:crosses val="autoZero"/>
        <c:auto val="1"/>
        <c:lblAlgn val="ctr"/>
        <c:lblOffset val="100"/>
        <c:noMultiLvlLbl val="0"/>
      </c:catAx>
      <c:valAx>
        <c:axId val="24208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8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[excelproject.xlsx]Sheet2!PivotTable5</c:name>
    <c:fmtId val="26"/>
  </c:pivotSource>
  <c:chart>
    <c:title>
      <c:layout>
        <c:manualLayout>
          <c:xMode val="edge"/>
          <c:yMode val="edge"/>
          <c:x val="0.40412373961620424"/>
          <c:y val="0.118142457363113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Sheet2!$I$36</c:f>
              <c:strCache>
                <c:ptCount val="1"/>
                <c:pt idx="0">
                  <c:v>Total</c:v>
                </c:pt>
              </c:strCache>
            </c:strRef>
          </c:tx>
          <c:spPr>
            <a:solidFill>
              <a:schemeClr val="accent5"/>
            </a:solidFill>
            <a:ln>
              <a:noFill/>
            </a:ln>
            <a:effectLst/>
          </c:spPr>
          <c:invertIfNegative val="0"/>
          <c:cat>
            <c:strRef>
              <c:f>Sheet2!$H$37:$H$42</c:f>
              <c:strCache>
                <c:ptCount val="5"/>
                <c:pt idx="0">
                  <c:v>Construction Worker</c:v>
                </c:pt>
                <c:pt idx="1">
                  <c:v>Customer Support</c:v>
                </c:pt>
                <c:pt idx="2">
                  <c:v>Retail Worker</c:v>
                </c:pt>
                <c:pt idx="3">
                  <c:v>Security Guard</c:v>
                </c:pt>
                <c:pt idx="4">
                  <c:v>Truck Driver</c:v>
                </c:pt>
              </c:strCache>
            </c:strRef>
          </c:cat>
          <c:val>
            <c:numRef>
              <c:f>Sheet2!$I$37:$I$42</c:f>
              <c:numCache>
                <c:formatCode>General</c:formatCode>
                <c:ptCount val="5"/>
                <c:pt idx="0">
                  <c:v>128.84999999999997</c:v>
                </c:pt>
                <c:pt idx="1">
                  <c:v>109.76</c:v>
                </c:pt>
                <c:pt idx="2">
                  <c:v>129.37999999999997</c:v>
                </c:pt>
                <c:pt idx="3">
                  <c:v>128.29</c:v>
                </c:pt>
                <c:pt idx="4">
                  <c:v>125.25000000000001</c:v>
                </c:pt>
              </c:numCache>
            </c:numRef>
          </c:val>
          <c:extLst>
            <c:ext xmlns:c16="http://schemas.microsoft.com/office/drawing/2014/chart" uri="{C3380CC4-5D6E-409C-BE32-E72D297353CC}">
              <c16:uniqueId val="{00000000-E7C0-44D1-8173-D715EC3D7489}"/>
            </c:ext>
          </c:extLst>
        </c:ser>
        <c:dLbls>
          <c:showLegendKey val="0"/>
          <c:showVal val="0"/>
          <c:showCatName val="0"/>
          <c:showSerName val="0"/>
          <c:showPercent val="0"/>
          <c:showBubbleSize val="0"/>
        </c:dLbls>
        <c:gapWidth val="150"/>
        <c:axId val="220720271"/>
        <c:axId val="220713071"/>
      </c:barChart>
      <c:catAx>
        <c:axId val="22072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13071"/>
        <c:crosses val="autoZero"/>
        <c:auto val="1"/>
        <c:lblAlgn val="ctr"/>
        <c:lblOffset val="100"/>
        <c:noMultiLvlLbl val="0"/>
      </c:catAx>
      <c:valAx>
        <c:axId val="22071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2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[excelproject.xlsx]Sheet2!PivotTable8</c:name>
    <c:fmtId val="26"/>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Sheet2!$U$28:$U$29</c:f>
              <c:strCache>
                <c:ptCount val="1"/>
                <c:pt idx="0">
                  <c:v>High</c:v>
                </c:pt>
              </c:strCache>
            </c:strRef>
          </c:tx>
          <c:spPr>
            <a:solidFill>
              <a:schemeClr val="accent5">
                <a:shade val="65000"/>
              </a:schemeClr>
            </a:solidFill>
            <a:ln>
              <a:noFill/>
            </a:ln>
            <a:effectLst/>
          </c:spPr>
          <c:invertIfNegative val="0"/>
          <c:cat>
            <c:strRef>
              <c:f>Sheet2!$T$30:$T$34</c:f>
              <c:strCache>
                <c:ptCount val="4"/>
                <c:pt idx="0">
                  <c:v>Bachelor's</c:v>
                </c:pt>
                <c:pt idx="1">
                  <c:v>High School</c:v>
                </c:pt>
                <c:pt idx="2">
                  <c:v>Master's</c:v>
                </c:pt>
                <c:pt idx="3">
                  <c:v>PhD</c:v>
                </c:pt>
              </c:strCache>
            </c:strRef>
          </c:cat>
          <c:val>
            <c:numRef>
              <c:f>Sheet2!$U$30:$U$34</c:f>
              <c:numCache>
                <c:formatCode>General</c:formatCode>
                <c:ptCount val="4"/>
                <c:pt idx="0">
                  <c:v>188</c:v>
                </c:pt>
                <c:pt idx="1">
                  <c:v>187</c:v>
                </c:pt>
                <c:pt idx="2">
                  <c:v>188</c:v>
                </c:pt>
                <c:pt idx="3">
                  <c:v>177</c:v>
                </c:pt>
              </c:numCache>
            </c:numRef>
          </c:val>
          <c:extLst>
            <c:ext xmlns:c16="http://schemas.microsoft.com/office/drawing/2014/chart" uri="{C3380CC4-5D6E-409C-BE32-E72D297353CC}">
              <c16:uniqueId val="{00000000-4E45-486B-9958-CDF1ECE8E694}"/>
            </c:ext>
          </c:extLst>
        </c:ser>
        <c:ser>
          <c:idx val="1"/>
          <c:order val="1"/>
          <c:tx>
            <c:strRef>
              <c:f>Sheet2!$V$28:$V$29</c:f>
              <c:strCache>
                <c:ptCount val="1"/>
                <c:pt idx="0">
                  <c:v>Low</c:v>
                </c:pt>
              </c:strCache>
            </c:strRef>
          </c:tx>
          <c:spPr>
            <a:solidFill>
              <a:schemeClr val="accent5"/>
            </a:solidFill>
            <a:ln>
              <a:noFill/>
            </a:ln>
            <a:effectLst/>
          </c:spPr>
          <c:invertIfNegative val="0"/>
          <c:cat>
            <c:strRef>
              <c:f>Sheet2!$T$30:$T$34</c:f>
              <c:strCache>
                <c:ptCount val="4"/>
                <c:pt idx="0">
                  <c:v>Bachelor's</c:v>
                </c:pt>
                <c:pt idx="1">
                  <c:v>High School</c:v>
                </c:pt>
                <c:pt idx="2">
                  <c:v>Master's</c:v>
                </c:pt>
                <c:pt idx="3">
                  <c:v>PhD</c:v>
                </c:pt>
              </c:strCache>
            </c:strRef>
          </c:cat>
          <c:val>
            <c:numRef>
              <c:f>Sheet2!$V$30:$V$34</c:f>
              <c:numCache>
                <c:formatCode>General</c:formatCode>
                <c:ptCount val="4"/>
                <c:pt idx="0">
                  <c:v>190</c:v>
                </c:pt>
                <c:pt idx="1">
                  <c:v>182</c:v>
                </c:pt>
                <c:pt idx="2">
                  <c:v>188</c:v>
                </c:pt>
                <c:pt idx="3">
                  <c:v>179</c:v>
                </c:pt>
              </c:numCache>
            </c:numRef>
          </c:val>
          <c:extLst>
            <c:ext xmlns:c16="http://schemas.microsoft.com/office/drawing/2014/chart" uri="{C3380CC4-5D6E-409C-BE32-E72D297353CC}">
              <c16:uniqueId val="{0000000A-4E45-486B-9958-CDF1ECE8E694}"/>
            </c:ext>
          </c:extLst>
        </c:ser>
        <c:ser>
          <c:idx val="2"/>
          <c:order val="2"/>
          <c:tx>
            <c:strRef>
              <c:f>Sheet2!$W$28:$W$29</c:f>
              <c:strCache>
                <c:ptCount val="1"/>
                <c:pt idx="0">
                  <c:v>Medium</c:v>
                </c:pt>
              </c:strCache>
            </c:strRef>
          </c:tx>
          <c:spPr>
            <a:solidFill>
              <a:schemeClr val="accent5">
                <a:tint val="65000"/>
              </a:schemeClr>
            </a:solidFill>
            <a:ln>
              <a:noFill/>
            </a:ln>
            <a:effectLst/>
          </c:spPr>
          <c:invertIfNegative val="0"/>
          <c:cat>
            <c:strRef>
              <c:f>Sheet2!$T$30:$T$34</c:f>
              <c:strCache>
                <c:ptCount val="4"/>
                <c:pt idx="0">
                  <c:v>Bachelor's</c:v>
                </c:pt>
                <c:pt idx="1">
                  <c:v>High School</c:v>
                </c:pt>
                <c:pt idx="2">
                  <c:v>Master's</c:v>
                </c:pt>
                <c:pt idx="3">
                  <c:v>PhD</c:v>
                </c:pt>
              </c:strCache>
            </c:strRef>
          </c:cat>
          <c:val>
            <c:numRef>
              <c:f>Sheet2!$W$30:$W$34</c:f>
              <c:numCache>
                <c:formatCode>General</c:formatCode>
                <c:ptCount val="4"/>
                <c:pt idx="0">
                  <c:v>387</c:v>
                </c:pt>
                <c:pt idx="1">
                  <c:v>415</c:v>
                </c:pt>
                <c:pt idx="2">
                  <c:v>359</c:v>
                </c:pt>
                <c:pt idx="3">
                  <c:v>360</c:v>
                </c:pt>
              </c:numCache>
            </c:numRef>
          </c:val>
          <c:extLst>
            <c:ext xmlns:c16="http://schemas.microsoft.com/office/drawing/2014/chart" uri="{C3380CC4-5D6E-409C-BE32-E72D297353CC}">
              <c16:uniqueId val="{0000000B-4E45-486B-9958-CDF1ECE8E694}"/>
            </c:ext>
          </c:extLst>
        </c:ser>
        <c:dLbls>
          <c:showLegendKey val="0"/>
          <c:showVal val="0"/>
          <c:showCatName val="0"/>
          <c:showSerName val="0"/>
          <c:showPercent val="0"/>
          <c:showBubbleSize val="0"/>
        </c:dLbls>
        <c:gapWidth val="219"/>
        <c:overlap val="-27"/>
        <c:axId val="1423067919"/>
        <c:axId val="1423070319"/>
      </c:barChart>
      <c:catAx>
        <c:axId val="14230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70319"/>
        <c:crosses val="autoZero"/>
        <c:auto val="1"/>
        <c:lblAlgn val="ctr"/>
        <c:lblOffset val="100"/>
        <c:noMultiLvlLbl val="0"/>
      </c:catAx>
      <c:valAx>
        <c:axId val="142307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6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[excelproject.xlsx]Sheet2!PivotTable3</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Sheet2!$AU$20</c:f>
              <c:strCache>
                <c:ptCount val="1"/>
                <c:pt idx="0">
                  <c:v>Total</c:v>
                </c:pt>
              </c:strCache>
            </c:strRef>
          </c:tx>
          <c:spPr>
            <a:solidFill>
              <a:schemeClr val="accent5"/>
            </a:solidFill>
            <a:ln>
              <a:noFill/>
            </a:ln>
            <a:effectLst/>
          </c:spPr>
          <c:invertIfNegative val="0"/>
          <c:cat>
            <c:strRef>
              <c:f>Sheet2!$AT$21:$AT$24</c:f>
              <c:strCache>
                <c:ptCount val="3"/>
                <c:pt idx="0">
                  <c:v>High</c:v>
                </c:pt>
                <c:pt idx="1">
                  <c:v>Low</c:v>
                </c:pt>
                <c:pt idx="2">
                  <c:v>Medium</c:v>
                </c:pt>
              </c:strCache>
            </c:strRef>
          </c:cat>
          <c:val>
            <c:numRef>
              <c:f>Sheet2!$AU$21:$AU$24</c:f>
              <c:numCache>
                <c:formatCode>General</c:formatCode>
                <c:ptCount val="3"/>
                <c:pt idx="0">
                  <c:v>0.50985135135135184</c:v>
                </c:pt>
                <c:pt idx="1">
                  <c:v>0.49604871447902543</c:v>
                </c:pt>
                <c:pt idx="2">
                  <c:v>0.49965811965811935</c:v>
                </c:pt>
              </c:numCache>
            </c:numRef>
          </c:val>
          <c:extLst>
            <c:ext xmlns:c16="http://schemas.microsoft.com/office/drawing/2014/chart" uri="{C3380CC4-5D6E-409C-BE32-E72D297353CC}">
              <c16:uniqueId val="{00000000-B309-4435-AED9-578E18B685EF}"/>
            </c:ext>
          </c:extLst>
        </c:ser>
        <c:dLbls>
          <c:showLegendKey val="0"/>
          <c:showVal val="0"/>
          <c:showCatName val="0"/>
          <c:showSerName val="0"/>
          <c:showPercent val="0"/>
          <c:showBubbleSize val="0"/>
        </c:dLbls>
        <c:gapWidth val="182"/>
        <c:axId val="1010311311"/>
        <c:axId val="1010312751"/>
      </c:barChart>
      <c:catAx>
        <c:axId val="101031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312751"/>
        <c:crosses val="autoZero"/>
        <c:auto val="1"/>
        <c:lblAlgn val="ctr"/>
        <c:lblOffset val="100"/>
        <c:noMultiLvlLbl val="0"/>
      </c:catAx>
      <c:valAx>
        <c:axId val="101031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31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[excelproject.xlsx]Sheet2!PivotTable11</c:name>
    <c:fmtId val="3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Sheet2!$AS$53:$AS$54</c:f>
              <c:strCache>
                <c:ptCount val="1"/>
                <c:pt idx="0">
                  <c:v>High</c:v>
                </c:pt>
              </c:strCache>
            </c:strRef>
          </c:tx>
          <c:spPr>
            <a:solidFill>
              <a:schemeClr val="accent5">
                <a:shade val="65000"/>
              </a:schemeClr>
            </a:solidFill>
            <a:ln>
              <a:noFill/>
            </a:ln>
            <a:effectLst/>
          </c:spPr>
          <c:cat>
            <c:strRef>
              <c:f>Sheet2!$AR$55:$AR$85</c:f>
              <c:strCache>
                <c:ptCount val="3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strCache>
            </c:strRef>
          </c:cat>
          <c:val>
            <c:numRef>
              <c:f>Sheet2!$AS$55:$AS$85</c:f>
              <c:numCache>
                <c:formatCode>General</c:formatCode>
                <c:ptCount val="30"/>
                <c:pt idx="0">
                  <c:v>27</c:v>
                </c:pt>
                <c:pt idx="1">
                  <c:v>31</c:v>
                </c:pt>
                <c:pt idx="2">
                  <c:v>21</c:v>
                </c:pt>
                <c:pt idx="3">
                  <c:v>26</c:v>
                </c:pt>
                <c:pt idx="4">
                  <c:v>25</c:v>
                </c:pt>
                <c:pt idx="5">
                  <c:v>27</c:v>
                </c:pt>
                <c:pt idx="6">
                  <c:v>26</c:v>
                </c:pt>
                <c:pt idx="7">
                  <c:v>19</c:v>
                </c:pt>
                <c:pt idx="8">
                  <c:v>23</c:v>
                </c:pt>
                <c:pt idx="9">
                  <c:v>30</c:v>
                </c:pt>
                <c:pt idx="10">
                  <c:v>25</c:v>
                </c:pt>
                <c:pt idx="11">
                  <c:v>25</c:v>
                </c:pt>
                <c:pt idx="12">
                  <c:v>20</c:v>
                </c:pt>
                <c:pt idx="13">
                  <c:v>19</c:v>
                </c:pt>
                <c:pt idx="14">
                  <c:v>18</c:v>
                </c:pt>
                <c:pt idx="15">
                  <c:v>26</c:v>
                </c:pt>
                <c:pt idx="16">
                  <c:v>37</c:v>
                </c:pt>
                <c:pt idx="17">
                  <c:v>15</c:v>
                </c:pt>
                <c:pt idx="18">
                  <c:v>23</c:v>
                </c:pt>
                <c:pt idx="19">
                  <c:v>24</c:v>
                </c:pt>
                <c:pt idx="20">
                  <c:v>23</c:v>
                </c:pt>
                <c:pt idx="21">
                  <c:v>30</c:v>
                </c:pt>
                <c:pt idx="22">
                  <c:v>24</c:v>
                </c:pt>
                <c:pt idx="23">
                  <c:v>20</c:v>
                </c:pt>
                <c:pt idx="24">
                  <c:v>15</c:v>
                </c:pt>
                <c:pt idx="25">
                  <c:v>32</c:v>
                </c:pt>
                <c:pt idx="26">
                  <c:v>29</c:v>
                </c:pt>
                <c:pt idx="27">
                  <c:v>29</c:v>
                </c:pt>
                <c:pt idx="28">
                  <c:v>26</c:v>
                </c:pt>
                <c:pt idx="29">
                  <c:v>25</c:v>
                </c:pt>
              </c:numCache>
            </c:numRef>
          </c:val>
          <c:extLst>
            <c:ext xmlns:c16="http://schemas.microsoft.com/office/drawing/2014/chart" uri="{C3380CC4-5D6E-409C-BE32-E72D297353CC}">
              <c16:uniqueId val="{00000000-B822-4BCD-99C1-69BC2600ED7A}"/>
            </c:ext>
          </c:extLst>
        </c:ser>
        <c:ser>
          <c:idx val="1"/>
          <c:order val="1"/>
          <c:tx>
            <c:strRef>
              <c:f>Sheet2!$AT$53:$AT$54</c:f>
              <c:strCache>
                <c:ptCount val="1"/>
                <c:pt idx="0">
                  <c:v>Low</c:v>
                </c:pt>
              </c:strCache>
            </c:strRef>
          </c:tx>
          <c:spPr>
            <a:solidFill>
              <a:schemeClr val="accent5"/>
            </a:solidFill>
            <a:ln w="25400">
              <a:noFill/>
            </a:ln>
            <a:effectLst/>
          </c:spPr>
          <c:cat>
            <c:strRef>
              <c:f>Sheet2!$AR$55:$AR$85</c:f>
              <c:strCache>
                <c:ptCount val="3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strCache>
            </c:strRef>
          </c:cat>
          <c:val>
            <c:numRef>
              <c:f>Sheet2!$AT$55:$AT$85</c:f>
              <c:numCache>
                <c:formatCode>General</c:formatCode>
                <c:ptCount val="30"/>
                <c:pt idx="0">
                  <c:v>26</c:v>
                </c:pt>
                <c:pt idx="1">
                  <c:v>26</c:v>
                </c:pt>
                <c:pt idx="2">
                  <c:v>24</c:v>
                </c:pt>
                <c:pt idx="3">
                  <c:v>21</c:v>
                </c:pt>
                <c:pt idx="4">
                  <c:v>17</c:v>
                </c:pt>
                <c:pt idx="5">
                  <c:v>21</c:v>
                </c:pt>
                <c:pt idx="6">
                  <c:v>14</c:v>
                </c:pt>
                <c:pt idx="7">
                  <c:v>28</c:v>
                </c:pt>
                <c:pt idx="8">
                  <c:v>20</c:v>
                </c:pt>
                <c:pt idx="9">
                  <c:v>31</c:v>
                </c:pt>
                <c:pt idx="10">
                  <c:v>21</c:v>
                </c:pt>
                <c:pt idx="11">
                  <c:v>34</c:v>
                </c:pt>
                <c:pt idx="12">
                  <c:v>27</c:v>
                </c:pt>
                <c:pt idx="13">
                  <c:v>25</c:v>
                </c:pt>
                <c:pt idx="14">
                  <c:v>25</c:v>
                </c:pt>
                <c:pt idx="15">
                  <c:v>27</c:v>
                </c:pt>
                <c:pt idx="16">
                  <c:v>26</c:v>
                </c:pt>
                <c:pt idx="17">
                  <c:v>21</c:v>
                </c:pt>
                <c:pt idx="18">
                  <c:v>33</c:v>
                </c:pt>
                <c:pt idx="19">
                  <c:v>19</c:v>
                </c:pt>
                <c:pt idx="20">
                  <c:v>20</c:v>
                </c:pt>
                <c:pt idx="21">
                  <c:v>44</c:v>
                </c:pt>
                <c:pt idx="22">
                  <c:v>25</c:v>
                </c:pt>
                <c:pt idx="23">
                  <c:v>24</c:v>
                </c:pt>
                <c:pt idx="24">
                  <c:v>22</c:v>
                </c:pt>
                <c:pt idx="25">
                  <c:v>24</c:v>
                </c:pt>
                <c:pt idx="26">
                  <c:v>22</c:v>
                </c:pt>
                <c:pt idx="27">
                  <c:v>28</c:v>
                </c:pt>
                <c:pt idx="28">
                  <c:v>22</c:v>
                </c:pt>
                <c:pt idx="29">
                  <c:v>22</c:v>
                </c:pt>
              </c:numCache>
            </c:numRef>
          </c:val>
          <c:extLst>
            <c:ext xmlns:c16="http://schemas.microsoft.com/office/drawing/2014/chart" uri="{C3380CC4-5D6E-409C-BE32-E72D297353CC}">
              <c16:uniqueId val="{0000000B-B822-4BCD-99C1-69BC2600ED7A}"/>
            </c:ext>
          </c:extLst>
        </c:ser>
        <c:ser>
          <c:idx val="2"/>
          <c:order val="2"/>
          <c:tx>
            <c:strRef>
              <c:f>Sheet2!$AU$53:$AU$54</c:f>
              <c:strCache>
                <c:ptCount val="1"/>
                <c:pt idx="0">
                  <c:v>Medium</c:v>
                </c:pt>
              </c:strCache>
            </c:strRef>
          </c:tx>
          <c:spPr>
            <a:solidFill>
              <a:schemeClr val="accent5">
                <a:tint val="65000"/>
              </a:schemeClr>
            </a:solidFill>
            <a:ln w="25400">
              <a:noFill/>
            </a:ln>
            <a:effectLst/>
          </c:spPr>
          <c:cat>
            <c:strRef>
              <c:f>Sheet2!$AR$55:$AR$85</c:f>
              <c:strCache>
                <c:ptCount val="3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strCache>
            </c:strRef>
          </c:cat>
          <c:val>
            <c:numRef>
              <c:f>Sheet2!$AU$55:$AU$85</c:f>
              <c:numCache>
                <c:formatCode>General</c:formatCode>
                <c:ptCount val="30"/>
                <c:pt idx="0">
                  <c:v>45</c:v>
                </c:pt>
                <c:pt idx="1">
                  <c:v>43</c:v>
                </c:pt>
                <c:pt idx="2">
                  <c:v>44</c:v>
                </c:pt>
                <c:pt idx="3">
                  <c:v>62</c:v>
                </c:pt>
                <c:pt idx="4">
                  <c:v>61</c:v>
                </c:pt>
                <c:pt idx="5">
                  <c:v>48</c:v>
                </c:pt>
                <c:pt idx="6">
                  <c:v>50</c:v>
                </c:pt>
                <c:pt idx="7">
                  <c:v>55</c:v>
                </c:pt>
                <c:pt idx="8">
                  <c:v>52</c:v>
                </c:pt>
                <c:pt idx="9">
                  <c:v>42</c:v>
                </c:pt>
                <c:pt idx="10">
                  <c:v>56</c:v>
                </c:pt>
                <c:pt idx="11">
                  <c:v>55</c:v>
                </c:pt>
                <c:pt idx="12">
                  <c:v>44</c:v>
                </c:pt>
                <c:pt idx="13">
                  <c:v>47</c:v>
                </c:pt>
                <c:pt idx="14">
                  <c:v>54</c:v>
                </c:pt>
                <c:pt idx="15">
                  <c:v>45</c:v>
                </c:pt>
                <c:pt idx="16">
                  <c:v>48</c:v>
                </c:pt>
                <c:pt idx="17">
                  <c:v>43</c:v>
                </c:pt>
                <c:pt idx="18">
                  <c:v>50</c:v>
                </c:pt>
                <c:pt idx="19">
                  <c:v>51</c:v>
                </c:pt>
                <c:pt idx="20">
                  <c:v>47</c:v>
                </c:pt>
                <c:pt idx="21">
                  <c:v>47</c:v>
                </c:pt>
                <c:pt idx="22">
                  <c:v>50</c:v>
                </c:pt>
                <c:pt idx="23">
                  <c:v>54</c:v>
                </c:pt>
                <c:pt idx="24">
                  <c:v>46</c:v>
                </c:pt>
                <c:pt idx="25">
                  <c:v>43</c:v>
                </c:pt>
                <c:pt idx="26">
                  <c:v>55</c:v>
                </c:pt>
                <c:pt idx="27">
                  <c:v>57</c:v>
                </c:pt>
                <c:pt idx="28">
                  <c:v>59</c:v>
                </c:pt>
                <c:pt idx="29">
                  <c:v>68</c:v>
                </c:pt>
              </c:numCache>
            </c:numRef>
          </c:val>
          <c:extLst>
            <c:ext xmlns:c16="http://schemas.microsoft.com/office/drawing/2014/chart" uri="{C3380CC4-5D6E-409C-BE32-E72D297353CC}">
              <c16:uniqueId val="{0000000C-B822-4BCD-99C1-69BC2600ED7A}"/>
            </c:ext>
          </c:extLst>
        </c:ser>
        <c:dLbls>
          <c:showLegendKey val="0"/>
          <c:showVal val="0"/>
          <c:showCatName val="0"/>
          <c:showSerName val="0"/>
          <c:showPercent val="0"/>
          <c:showBubbleSize val="0"/>
        </c:dLbls>
        <c:axId val="1010255631"/>
        <c:axId val="1010272431"/>
      </c:areaChart>
      <c:catAx>
        <c:axId val="101025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72431"/>
        <c:crosses val="autoZero"/>
        <c:auto val="1"/>
        <c:lblAlgn val="ctr"/>
        <c:lblOffset val="100"/>
        <c:noMultiLvlLbl val="0"/>
      </c:catAx>
      <c:valAx>
        <c:axId val="101027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55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withinLinearReversed" id="25">
  <a:schemeClr val="accent5"/>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81950</xdr:colOff>
      <xdr:row>14</xdr:row>
      <xdr:rowOff>90577</xdr:rowOff>
    </xdr:from>
    <xdr:to>
      <xdr:col>4</xdr:col>
      <xdr:colOff>21565</xdr:colOff>
      <xdr:row>29</xdr:row>
      <xdr:rowOff>116456</xdr:rowOff>
    </xdr:to>
    <xdr:graphicFrame macro="">
      <xdr:nvGraphicFramePr>
        <xdr:cNvPr id="2" name="Chart 1">
          <a:extLst>
            <a:ext uri="{FF2B5EF4-FFF2-40B4-BE49-F238E27FC236}">
              <a16:creationId xmlns:a16="http://schemas.microsoft.com/office/drawing/2014/main" id="{6CDCDA11-691C-C840-4EBC-58E06AA2D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513271</xdr:colOff>
      <xdr:row>9</xdr:row>
      <xdr:rowOff>64698</xdr:rowOff>
    </xdr:from>
    <xdr:to>
      <xdr:col>9</xdr:col>
      <xdr:colOff>323490</xdr:colOff>
      <xdr:row>24</xdr:row>
      <xdr:rowOff>90577</xdr:rowOff>
    </xdr:to>
    <xdr:graphicFrame macro="">
      <xdr:nvGraphicFramePr>
        <xdr:cNvPr id="3" name="Chart 2">
          <a:extLst>
            <a:ext uri="{FF2B5EF4-FFF2-40B4-BE49-F238E27FC236}">
              <a16:creationId xmlns:a16="http://schemas.microsoft.com/office/drawing/2014/main" id="{B1520FB9-4C9D-5811-B3AA-9908CA5C2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64697</xdr:rowOff>
    </xdr:from>
    <xdr:to>
      <xdr:col>4</xdr:col>
      <xdr:colOff>569343</xdr:colOff>
      <xdr:row>56</xdr:row>
      <xdr:rowOff>90576</xdr:rowOff>
    </xdr:to>
    <xdr:graphicFrame macro="">
      <xdr:nvGraphicFramePr>
        <xdr:cNvPr id="5" name="Chart 4">
          <a:extLst>
            <a:ext uri="{FF2B5EF4-FFF2-40B4-BE49-F238E27FC236}">
              <a16:creationId xmlns:a16="http://schemas.microsoft.com/office/drawing/2014/main" id="{7B850AD4-75AE-EBE0-55EA-1D7693A95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263105</xdr:colOff>
      <xdr:row>68</xdr:row>
      <xdr:rowOff>64697</xdr:rowOff>
    </xdr:from>
    <xdr:to>
      <xdr:col>7</xdr:col>
      <xdr:colOff>1729596</xdr:colOff>
      <xdr:row>83</xdr:row>
      <xdr:rowOff>90576</xdr:rowOff>
    </xdr:to>
    <xdr:graphicFrame macro="">
      <xdr:nvGraphicFramePr>
        <xdr:cNvPr id="6" name="Chart 5">
          <a:extLst>
            <a:ext uri="{FF2B5EF4-FFF2-40B4-BE49-F238E27FC236}">
              <a16:creationId xmlns:a16="http://schemas.microsoft.com/office/drawing/2014/main" id="{945F99FE-2450-765C-2BF7-D889164B4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981841</xdr:colOff>
      <xdr:row>33</xdr:row>
      <xdr:rowOff>69795</xdr:rowOff>
    </xdr:from>
    <xdr:to>
      <xdr:col>16</xdr:col>
      <xdr:colOff>64305</xdr:colOff>
      <xdr:row>48</xdr:row>
      <xdr:rowOff>70056</xdr:rowOff>
    </xdr:to>
    <xdr:graphicFrame macro="">
      <xdr:nvGraphicFramePr>
        <xdr:cNvPr id="7" name="Chart 6">
          <a:extLst>
            <a:ext uri="{FF2B5EF4-FFF2-40B4-BE49-F238E27FC236}">
              <a16:creationId xmlns:a16="http://schemas.microsoft.com/office/drawing/2014/main" id="{54077662-D7F3-A3C9-2499-AA69E5A58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108635</xdr:colOff>
      <xdr:row>10</xdr:row>
      <xdr:rowOff>152444</xdr:rowOff>
    </xdr:from>
    <xdr:to>
      <xdr:col>17</xdr:col>
      <xdr:colOff>2423150</xdr:colOff>
      <xdr:row>22</xdr:row>
      <xdr:rowOff>19384</xdr:rowOff>
    </xdr:to>
    <xdr:graphicFrame macro="">
      <xdr:nvGraphicFramePr>
        <xdr:cNvPr id="8" name="Chart 7">
          <a:extLst>
            <a:ext uri="{FF2B5EF4-FFF2-40B4-BE49-F238E27FC236}">
              <a16:creationId xmlns:a16="http://schemas.microsoft.com/office/drawing/2014/main" id="{A829EDE5-33F2-AB04-28D2-CFDD0CEA6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2007822</xdr:colOff>
      <xdr:row>9</xdr:row>
      <xdr:rowOff>164676</xdr:rowOff>
    </xdr:from>
    <xdr:to>
      <xdr:col>21</xdr:col>
      <xdr:colOff>707559</xdr:colOff>
      <xdr:row>21</xdr:row>
      <xdr:rowOff>29078</xdr:rowOff>
    </xdr:to>
    <xdr:graphicFrame macro="">
      <xdr:nvGraphicFramePr>
        <xdr:cNvPr id="9" name="Chart 8">
          <a:extLst>
            <a:ext uri="{FF2B5EF4-FFF2-40B4-BE49-F238E27FC236}">
              <a16:creationId xmlns:a16="http://schemas.microsoft.com/office/drawing/2014/main" id="{65AA8FA2-8508-931A-3892-1871628A9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2201674</xdr:colOff>
      <xdr:row>34</xdr:row>
      <xdr:rowOff>116213</xdr:rowOff>
    </xdr:from>
    <xdr:to>
      <xdr:col>24</xdr:col>
      <xdr:colOff>416782</xdr:colOff>
      <xdr:row>48</xdr:row>
      <xdr:rowOff>38769</xdr:rowOff>
    </xdr:to>
    <xdr:graphicFrame macro="">
      <xdr:nvGraphicFramePr>
        <xdr:cNvPr id="10" name="Chart 9">
          <a:extLst>
            <a:ext uri="{FF2B5EF4-FFF2-40B4-BE49-F238E27FC236}">
              <a16:creationId xmlns:a16="http://schemas.microsoft.com/office/drawing/2014/main" id="{D0C08824-AE5F-6F3B-CA6C-0889D3FDA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119613</xdr:colOff>
      <xdr:row>11</xdr:row>
      <xdr:rowOff>82439</xdr:rowOff>
    </xdr:from>
    <xdr:to>
      <xdr:col>28</xdr:col>
      <xdr:colOff>1418912</xdr:colOff>
      <xdr:row>26</xdr:row>
      <xdr:rowOff>157675</xdr:rowOff>
    </xdr:to>
    <xdr:graphicFrame macro="">
      <xdr:nvGraphicFramePr>
        <xdr:cNvPr id="12" name="Chart 11">
          <a:extLst>
            <a:ext uri="{FF2B5EF4-FFF2-40B4-BE49-F238E27FC236}">
              <a16:creationId xmlns:a16="http://schemas.microsoft.com/office/drawing/2014/main" id="{00811030-2940-76D6-30D2-F3A9B24DF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305548</xdr:colOff>
      <xdr:row>11</xdr:row>
      <xdr:rowOff>16600</xdr:rowOff>
    </xdr:from>
    <xdr:to>
      <xdr:col>41</xdr:col>
      <xdr:colOff>42406</xdr:colOff>
      <xdr:row>26</xdr:row>
      <xdr:rowOff>41391</xdr:rowOff>
    </xdr:to>
    <xdr:graphicFrame macro="">
      <xdr:nvGraphicFramePr>
        <xdr:cNvPr id="13" name="Chart 12">
          <a:extLst>
            <a:ext uri="{FF2B5EF4-FFF2-40B4-BE49-F238E27FC236}">
              <a16:creationId xmlns:a16="http://schemas.microsoft.com/office/drawing/2014/main" id="{875225C5-AD05-A9A3-E4DE-21E8BD8EC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41</xdr:col>
      <xdr:colOff>17760</xdr:colOff>
      <xdr:row>26</xdr:row>
      <xdr:rowOff>94890</xdr:rowOff>
    </xdr:from>
    <xdr:to>
      <xdr:col>48</xdr:col>
      <xdr:colOff>114173</xdr:colOff>
      <xdr:row>41</xdr:row>
      <xdr:rowOff>97934</xdr:rowOff>
    </xdr:to>
    <xdr:graphicFrame macro="">
      <xdr:nvGraphicFramePr>
        <xdr:cNvPr id="4" name="Chart 3">
          <a:extLst>
            <a:ext uri="{FF2B5EF4-FFF2-40B4-BE49-F238E27FC236}">
              <a16:creationId xmlns:a16="http://schemas.microsoft.com/office/drawing/2014/main" id="{E263B343-68DA-0B46-D951-78C4D2A05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35</xdr:col>
      <xdr:colOff>200437</xdr:colOff>
      <xdr:row>45</xdr:row>
      <xdr:rowOff>59369</xdr:rowOff>
    </xdr:from>
    <xdr:to>
      <xdr:col>44</xdr:col>
      <xdr:colOff>976814</xdr:colOff>
      <xdr:row>60</xdr:row>
      <xdr:rowOff>62414</xdr:rowOff>
    </xdr:to>
    <xdr:graphicFrame macro="">
      <xdr:nvGraphicFramePr>
        <xdr:cNvPr id="11" name="Chart 10">
          <a:extLst>
            <a:ext uri="{FF2B5EF4-FFF2-40B4-BE49-F238E27FC236}">
              <a16:creationId xmlns:a16="http://schemas.microsoft.com/office/drawing/2014/main" id="{DD1AD280-F065-181C-C15C-FF2DF34F6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8</xdr:col>
      <xdr:colOff>1024006</xdr:colOff>
      <xdr:row>40</xdr:row>
      <xdr:rowOff>42624</xdr:rowOff>
    </xdr:from>
    <xdr:to>
      <xdr:col>9</xdr:col>
      <xdr:colOff>579492</xdr:colOff>
      <xdr:row>54</xdr:row>
      <xdr:rowOff>79363</xdr:rowOff>
    </xdr:to>
    <mc:AlternateContent xmlns:mc="http://schemas.openxmlformats.org/markup-compatibility/2006" xmlns:a14="http://schemas.microsoft.com/office/drawing/2010/main">
      <mc:Choice Requires="a14">
        <xdr:graphicFrame macro="">
          <xdr:nvGraphicFramePr>
            <xdr:cNvPr id="14" name="Years_Experience">
              <a:extLst>
                <a:ext uri="{FF2B5EF4-FFF2-40B4-BE49-F238E27FC236}">
                  <a16:creationId xmlns:a16="http://schemas.microsoft.com/office/drawing/2014/main" id="{F9421397-C9AF-BCBE-3E34-5D2FED3858F4}"/>
                </a:ext>
              </a:extLst>
            </xdr:cNvPr>
            <xdr:cNvGraphicFramePr/>
          </xdr:nvGraphicFramePr>
          <xdr:xfrm>
            <a:off x="0" y="0"/>
            <a:ext cx="0" cy="0"/>
          </xdr:xfrm>
          <a:graphic>
            <a:graphicData uri="http://schemas.microsoft.com/office/drawing/2010/slicer">
              <sle:slicer xmlns:sle="http://schemas.microsoft.com/office/drawing/2010/slicer" name="Years_Experience"/>
            </a:graphicData>
          </a:graphic>
        </xdr:graphicFrame>
      </mc:Choice>
      <mc:Fallback xmlns="">
        <xdr:sp macro="" textlink="">
          <xdr:nvSpPr>
            <xdr:cNvPr id="0" name=""/>
            <xdr:cNvSpPr>
              <a:spLocks noTextEdit="1"/>
            </xdr:cNvSpPr>
          </xdr:nvSpPr>
          <xdr:spPr>
            <a:xfrm>
              <a:off x="9762057" y="7349705"/>
              <a:ext cx="1828800" cy="2594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1163551</xdr:colOff>
      <xdr:row>54</xdr:row>
      <xdr:rowOff>70534</xdr:rowOff>
    </xdr:from>
    <xdr:to>
      <xdr:col>8</xdr:col>
      <xdr:colOff>1744058</xdr:colOff>
      <xdr:row>68</xdr:row>
      <xdr:rowOff>107272</xdr:rowOff>
    </xdr:to>
    <mc:AlternateContent xmlns:mc="http://schemas.openxmlformats.org/markup-compatibility/2006" xmlns:a14="http://schemas.microsoft.com/office/drawing/2010/main">
      <mc:Choice Requires="a14">
        <xdr:graphicFrame macro="">
          <xdr:nvGraphicFramePr>
            <xdr:cNvPr id="15" name="Education_Level">
              <a:extLst>
                <a:ext uri="{FF2B5EF4-FFF2-40B4-BE49-F238E27FC236}">
                  <a16:creationId xmlns:a16="http://schemas.microsoft.com/office/drawing/2014/main" id="{3A8D8AD6-702C-C402-A6DB-422660318459}"/>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8653309" y="9935093"/>
              <a:ext cx="1828800" cy="2594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2744214</xdr:colOff>
      <xdr:row>51</xdr:row>
      <xdr:rowOff>78145</xdr:rowOff>
    </xdr:from>
    <xdr:to>
      <xdr:col>10</xdr:col>
      <xdr:colOff>99964</xdr:colOff>
      <xdr:row>65</xdr:row>
      <xdr:rowOff>114883</xdr:rowOff>
    </xdr:to>
    <mc:AlternateContent xmlns:mc="http://schemas.openxmlformats.org/markup-compatibility/2006" xmlns:a14="http://schemas.microsoft.com/office/drawing/2010/main">
      <mc:Choice Requires="a14">
        <xdr:graphicFrame macro="">
          <xdr:nvGraphicFramePr>
            <xdr:cNvPr id="16" name="Risk_Category">
              <a:extLst>
                <a:ext uri="{FF2B5EF4-FFF2-40B4-BE49-F238E27FC236}">
                  <a16:creationId xmlns:a16="http://schemas.microsoft.com/office/drawing/2014/main" id="{611E330C-7650-BD76-7D84-1ACE11D26784}"/>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11007812" y="9394673"/>
              <a:ext cx="1828800" cy="2594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219720</xdr:colOff>
      <xdr:row>49</xdr:row>
      <xdr:rowOff>50236</xdr:rowOff>
    </xdr:from>
    <xdr:to>
      <xdr:col>13</xdr:col>
      <xdr:colOff>191303</xdr:colOff>
      <xdr:row>63</xdr:row>
      <xdr:rowOff>86974</xdr:rowOff>
    </xdr:to>
    <mc:AlternateContent xmlns:mc="http://schemas.openxmlformats.org/markup-compatibility/2006" xmlns:a14="http://schemas.microsoft.com/office/drawing/2010/main">
      <mc:Choice Requires="a14">
        <xdr:graphicFrame macro="">
          <xdr:nvGraphicFramePr>
            <xdr:cNvPr id="17" name="Risk_Category 1">
              <a:extLst>
                <a:ext uri="{FF2B5EF4-FFF2-40B4-BE49-F238E27FC236}">
                  <a16:creationId xmlns:a16="http://schemas.microsoft.com/office/drawing/2014/main" id="{2AF5E39F-5756-0DE4-B7EC-AE027084F3B1}"/>
                </a:ext>
              </a:extLst>
            </xdr:cNvPr>
            <xdr:cNvGraphicFramePr/>
          </xdr:nvGraphicFramePr>
          <xdr:xfrm>
            <a:off x="0" y="0"/>
            <a:ext cx="0" cy="0"/>
          </xdr:xfrm>
          <a:graphic>
            <a:graphicData uri="http://schemas.microsoft.com/office/drawing/2010/slicer">
              <sle:slicer xmlns:sle="http://schemas.microsoft.com/office/drawing/2010/slicer" name="Risk_Category 1"/>
            </a:graphicData>
          </a:graphic>
        </xdr:graphicFrame>
      </mc:Choice>
      <mc:Fallback xmlns="">
        <xdr:sp macro="" textlink="">
          <xdr:nvSpPr>
            <xdr:cNvPr id="0" name=""/>
            <xdr:cNvSpPr>
              <a:spLocks noTextEdit="1"/>
            </xdr:cNvSpPr>
          </xdr:nvSpPr>
          <xdr:spPr>
            <a:xfrm>
              <a:off x="12956368" y="9001410"/>
              <a:ext cx="1828800" cy="2594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473437</xdr:colOff>
      <xdr:row>29</xdr:row>
      <xdr:rowOff>39072</xdr:rowOff>
    </xdr:from>
    <xdr:to>
      <xdr:col>17</xdr:col>
      <xdr:colOff>779928</xdr:colOff>
      <xdr:row>43</xdr:row>
      <xdr:rowOff>75811</xdr:rowOff>
    </xdr:to>
    <mc:AlternateContent xmlns:mc="http://schemas.openxmlformats.org/markup-compatibility/2006" xmlns:a14="http://schemas.microsoft.com/office/drawing/2010/main">
      <mc:Choice Requires="a14">
        <xdr:graphicFrame macro="">
          <xdr:nvGraphicFramePr>
            <xdr:cNvPr id="18" name="AI_Exposure_Index">
              <a:extLst>
                <a:ext uri="{FF2B5EF4-FFF2-40B4-BE49-F238E27FC236}">
                  <a16:creationId xmlns:a16="http://schemas.microsoft.com/office/drawing/2014/main" id="{9B7874E3-BA7A-BBFB-6B78-D583A2A6AC5E}"/>
                </a:ext>
              </a:extLst>
            </xdr:cNvPr>
            <xdr:cNvGraphicFramePr/>
          </xdr:nvGraphicFramePr>
          <xdr:xfrm>
            <a:off x="0" y="0"/>
            <a:ext cx="0" cy="0"/>
          </xdr:xfrm>
          <a:graphic>
            <a:graphicData uri="http://schemas.microsoft.com/office/drawing/2010/slicer">
              <sle:slicer xmlns:sle="http://schemas.microsoft.com/office/drawing/2010/slicer" name="AI_Exposure_Index"/>
            </a:graphicData>
          </a:graphic>
        </xdr:graphicFrame>
      </mc:Choice>
      <mc:Fallback xmlns="">
        <xdr:sp macro="" textlink="">
          <xdr:nvSpPr>
            <xdr:cNvPr id="0" name=""/>
            <xdr:cNvSpPr>
              <a:spLocks noTextEdit="1"/>
            </xdr:cNvSpPr>
          </xdr:nvSpPr>
          <xdr:spPr>
            <a:xfrm>
              <a:off x="16305446" y="5336706"/>
              <a:ext cx="1828800" cy="2594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40</xdr:col>
      <xdr:colOff>281679</xdr:colOff>
      <xdr:row>55</xdr:row>
      <xdr:rowOff>77251</xdr:rowOff>
    </xdr:to>
    <xdr:sp macro="" textlink="">
      <xdr:nvSpPr>
        <xdr:cNvPr id="2" name="Rectangle 1">
          <a:extLst>
            <a:ext uri="{FF2B5EF4-FFF2-40B4-BE49-F238E27FC236}">
              <a16:creationId xmlns:a16="http://schemas.microsoft.com/office/drawing/2014/main" id="{228AEFCB-1402-D81A-3AE1-26171B009E03}"/>
            </a:ext>
          </a:extLst>
        </xdr:cNvPr>
        <xdr:cNvSpPr/>
      </xdr:nvSpPr>
      <xdr:spPr>
        <a:xfrm>
          <a:off x="1" y="0"/>
          <a:ext cx="24928578" cy="9759961"/>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594106</xdr:colOff>
      <xdr:row>30</xdr:row>
      <xdr:rowOff>3127</xdr:rowOff>
    </xdr:from>
    <xdr:to>
      <xdr:col>18</xdr:col>
      <xdr:colOff>334756</xdr:colOff>
      <xdr:row>49</xdr:row>
      <xdr:rowOff>90126</xdr:rowOff>
    </xdr:to>
    <xdr:graphicFrame macro="">
      <xdr:nvGraphicFramePr>
        <xdr:cNvPr id="14" name="Chart 13">
          <a:extLst>
            <a:ext uri="{FF2B5EF4-FFF2-40B4-BE49-F238E27FC236}">
              <a16:creationId xmlns:a16="http://schemas.microsoft.com/office/drawing/2014/main" id="{452B11BF-4C6C-4384-991A-D445F1A2D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32</xdr:col>
      <xdr:colOff>476385</xdr:colOff>
      <xdr:row>2</xdr:row>
      <xdr:rowOff>172529</xdr:rowOff>
    </xdr:to>
    <xdr:sp macro="" textlink="">
      <xdr:nvSpPr>
        <xdr:cNvPr id="5" name="TextBox 4">
          <a:extLst>
            <a:ext uri="{FF2B5EF4-FFF2-40B4-BE49-F238E27FC236}">
              <a16:creationId xmlns:a16="http://schemas.microsoft.com/office/drawing/2014/main" id="{1637F216-A1DF-B5D1-2479-6016E518A1F4}"/>
            </a:ext>
          </a:extLst>
        </xdr:cNvPr>
        <xdr:cNvSpPr txBox="1"/>
      </xdr:nvSpPr>
      <xdr:spPr>
        <a:xfrm>
          <a:off x="0" y="0"/>
          <a:ext cx="20252764" cy="533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DejaVu Sans Condensed" panose="020B0606030804020204" pitchFamily="34" charset="0"/>
              <a:ea typeface="DejaVu Sans Condensed" panose="020B0606030804020204" pitchFamily="34" charset="0"/>
              <a:cs typeface="DejaVu Sans Condensed" panose="020B0606030804020204" pitchFamily="34" charset="0"/>
            </a:rPr>
            <a:t>AI Impact on Jobs Dashboard</a:t>
          </a:r>
        </a:p>
      </xdr:txBody>
    </xdr:sp>
    <xdr:clientData/>
  </xdr:twoCellAnchor>
  <xdr:twoCellAnchor>
    <xdr:from>
      <xdr:col>0</xdr:col>
      <xdr:colOff>396816</xdr:colOff>
      <xdr:row>4</xdr:row>
      <xdr:rowOff>94890</xdr:rowOff>
    </xdr:from>
    <xdr:to>
      <xdr:col>3</xdr:col>
      <xdr:colOff>566510</xdr:colOff>
      <xdr:row>10</xdr:row>
      <xdr:rowOff>25750</xdr:rowOff>
    </xdr:to>
    <xdr:sp macro="" textlink="">
      <xdr:nvSpPr>
        <xdr:cNvPr id="7" name="Rectangle: Rounded Corners 6">
          <a:extLst>
            <a:ext uri="{FF2B5EF4-FFF2-40B4-BE49-F238E27FC236}">
              <a16:creationId xmlns:a16="http://schemas.microsoft.com/office/drawing/2014/main" id="{EA3189BF-8DAC-3F06-A141-0C96E398039B}"/>
            </a:ext>
          </a:extLst>
        </xdr:cNvPr>
        <xdr:cNvSpPr/>
      </xdr:nvSpPr>
      <xdr:spPr>
        <a:xfrm>
          <a:off x="396816" y="815903"/>
          <a:ext cx="2023730" cy="10123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cap="none" spc="0">
              <a:ln w="0"/>
              <a:solidFill>
                <a:schemeClr val="tx1"/>
              </a:solidFill>
              <a:effectLst>
                <a:outerShdw blurRad="38100" dist="19050" dir="2700000" algn="tl" rotWithShape="0">
                  <a:schemeClr val="dk1">
                    <a:alpha val="40000"/>
                  </a:schemeClr>
                </a:outerShdw>
              </a:effectLst>
            </a:rPr>
            <a:t>Average</a:t>
          </a:r>
          <a:r>
            <a:rPr lang="en-IN" sz="1600" b="1" cap="none" spc="0" baseline="0">
              <a:ln w="0"/>
              <a:solidFill>
                <a:schemeClr val="tx1"/>
              </a:solidFill>
              <a:effectLst>
                <a:outerShdw blurRad="38100" dist="19050" dir="2700000" algn="tl" rotWithShape="0">
                  <a:schemeClr val="dk1">
                    <a:alpha val="40000"/>
                  </a:schemeClr>
                </a:outerShdw>
              </a:effectLst>
            </a:rPr>
            <a:t> Salary</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77637</xdr:colOff>
      <xdr:row>6</xdr:row>
      <xdr:rowOff>60386</xdr:rowOff>
    </xdr:from>
    <xdr:to>
      <xdr:col>3</xdr:col>
      <xdr:colOff>193128</xdr:colOff>
      <xdr:row>9</xdr:row>
      <xdr:rowOff>25751</xdr:rowOff>
    </xdr:to>
    <xdr:sp macro="" textlink="AI_Impact_on_Jobs_2030!U9">
      <xdr:nvSpPr>
        <xdr:cNvPr id="8" name="TextBox 7">
          <a:extLst>
            <a:ext uri="{FF2B5EF4-FFF2-40B4-BE49-F238E27FC236}">
              <a16:creationId xmlns:a16="http://schemas.microsoft.com/office/drawing/2014/main" id="{B28D8DC7-7D51-6B13-3D12-2C84356FAFEE}"/>
            </a:ext>
          </a:extLst>
        </xdr:cNvPr>
        <xdr:cNvSpPr txBox="1"/>
      </xdr:nvSpPr>
      <xdr:spPr>
        <a:xfrm>
          <a:off x="695649" y="1141907"/>
          <a:ext cx="1351515" cy="5061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25F75E-88EC-4704-823E-AEFEE2AB0A6D}" type="TxLink">
            <a:rPr lang="en-US" sz="2400" b="1" i="0" u="none" strike="noStrike">
              <a:solidFill>
                <a:srgbClr val="000000"/>
              </a:solidFill>
              <a:latin typeface="Aptos Narrow"/>
            </a:rPr>
            <a:pPr algn="ctr"/>
            <a:t>89358</a:t>
          </a:fld>
          <a:endParaRPr lang="en-IN" sz="2400" b="1"/>
        </a:p>
      </xdr:txBody>
    </xdr:sp>
    <xdr:clientData/>
  </xdr:twoCellAnchor>
  <xdr:twoCellAnchor>
    <xdr:from>
      <xdr:col>4</xdr:col>
      <xdr:colOff>51504</xdr:colOff>
      <xdr:row>4</xdr:row>
      <xdr:rowOff>94892</xdr:rowOff>
    </xdr:from>
    <xdr:to>
      <xdr:col>7</xdr:col>
      <xdr:colOff>115878</xdr:colOff>
      <xdr:row>10</xdr:row>
      <xdr:rowOff>25751</xdr:rowOff>
    </xdr:to>
    <xdr:sp macro="" textlink="">
      <xdr:nvSpPr>
        <xdr:cNvPr id="9" name="Rectangle: Rounded Corners 8">
          <a:extLst>
            <a:ext uri="{FF2B5EF4-FFF2-40B4-BE49-F238E27FC236}">
              <a16:creationId xmlns:a16="http://schemas.microsoft.com/office/drawing/2014/main" id="{182EB370-BDC2-FB45-62F7-FF04C5599443}"/>
            </a:ext>
          </a:extLst>
        </xdr:cNvPr>
        <xdr:cNvSpPr/>
      </xdr:nvSpPr>
      <xdr:spPr>
        <a:xfrm>
          <a:off x="2523552" y="815905"/>
          <a:ext cx="1918408" cy="10123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cap="none" spc="0">
              <a:ln w="0"/>
              <a:solidFill>
                <a:schemeClr val="tx1"/>
              </a:solidFill>
              <a:effectLst>
                <a:outerShdw blurRad="38100" dist="19050" dir="2700000" algn="tl" rotWithShape="0">
                  <a:schemeClr val="dk1">
                    <a:alpha val="40000"/>
                  </a:schemeClr>
                </a:outerShdw>
              </a:effectLst>
            </a:rPr>
            <a:t>Avg</a:t>
          </a:r>
          <a:r>
            <a:rPr lang="en-IN" sz="1400" b="1" cap="none" spc="0" baseline="0">
              <a:ln w="0"/>
              <a:solidFill>
                <a:schemeClr val="tx1"/>
              </a:solidFill>
              <a:effectLst>
                <a:outerShdw blurRad="38100" dist="19050" dir="2700000" algn="tl" rotWithShape="0">
                  <a:schemeClr val="dk1">
                    <a:alpha val="40000"/>
                  </a:schemeClr>
                </a:outerShdw>
              </a:effectLst>
            </a:rPr>
            <a:t> automation risk</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19959</xdr:colOff>
      <xdr:row>6</xdr:row>
      <xdr:rowOff>47382</xdr:rowOff>
    </xdr:from>
    <xdr:to>
      <xdr:col>6</xdr:col>
      <xdr:colOff>347631</xdr:colOff>
      <xdr:row>9</xdr:row>
      <xdr:rowOff>38626</xdr:rowOff>
    </xdr:to>
    <xdr:sp macro="" textlink="AI_Impact_on_Jobs_2030!V9">
      <xdr:nvSpPr>
        <xdr:cNvPr id="10" name="TextBox 9">
          <a:extLst>
            <a:ext uri="{FF2B5EF4-FFF2-40B4-BE49-F238E27FC236}">
              <a16:creationId xmlns:a16="http://schemas.microsoft.com/office/drawing/2014/main" id="{C83D55E8-D067-9F2A-5311-D9E3265A48A9}"/>
            </a:ext>
          </a:extLst>
        </xdr:cNvPr>
        <xdr:cNvSpPr txBox="1"/>
      </xdr:nvSpPr>
      <xdr:spPr>
        <a:xfrm>
          <a:off x="3110019" y="1128903"/>
          <a:ext cx="945684" cy="53200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ED6274-8819-4FAA-B268-4823E4855F57}" type="TxLink">
            <a:rPr lang="en-US" sz="2400" b="1" i="0" u="none" strike="noStrike">
              <a:solidFill>
                <a:srgbClr val="000000"/>
              </a:solidFill>
              <a:latin typeface="Aptos Narrow"/>
            </a:rPr>
            <a:pPr/>
            <a:t>0.50</a:t>
          </a:fld>
          <a:endParaRPr lang="en-IN" sz="2400" b="1"/>
        </a:p>
      </xdr:txBody>
    </xdr:sp>
    <xdr:clientData/>
  </xdr:twoCellAnchor>
  <xdr:twoCellAnchor>
    <xdr:from>
      <xdr:col>7</xdr:col>
      <xdr:colOff>193903</xdr:colOff>
      <xdr:row>4</xdr:row>
      <xdr:rowOff>86264</xdr:rowOff>
    </xdr:from>
    <xdr:to>
      <xdr:col>10</xdr:col>
      <xdr:colOff>257505</xdr:colOff>
      <xdr:row>9</xdr:row>
      <xdr:rowOff>167377</xdr:rowOff>
    </xdr:to>
    <xdr:sp macro="" textlink="">
      <xdr:nvSpPr>
        <xdr:cNvPr id="11" name="Rectangle: Rounded Corners 10">
          <a:extLst>
            <a:ext uri="{FF2B5EF4-FFF2-40B4-BE49-F238E27FC236}">
              <a16:creationId xmlns:a16="http://schemas.microsoft.com/office/drawing/2014/main" id="{5AB535D3-4822-C733-A472-00C52D4B1D7B}"/>
            </a:ext>
          </a:extLst>
        </xdr:cNvPr>
        <xdr:cNvSpPr/>
      </xdr:nvSpPr>
      <xdr:spPr>
        <a:xfrm>
          <a:off x="4519985" y="807277"/>
          <a:ext cx="1917638" cy="9823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cap="none" spc="0">
              <a:ln w="0"/>
              <a:solidFill>
                <a:schemeClr val="tx1"/>
              </a:solidFill>
              <a:effectLst>
                <a:outerShdw blurRad="38100" dist="19050" dir="2700000" algn="tl" rotWithShape="0">
                  <a:schemeClr val="dk1">
                    <a:alpha val="40000"/>
                  </a:schemeClr>
                </a:outerShdw>
              </a:effectLst>
            </a:rPr>
            <a:t>Jobs</a:t>
          </a:r>
          <a:r>
            <a:rPr lang="en-IN" sz="1600" b="1" cap="none" spc="0" baseline="0">
              <a:ln w="0"/>
              <a:solidFill>
                <a:schemeClr val="tx1"/>
              </a:solidFill>
              <a:effectLst>
                <a:outerShdw blurRad="38100" dist="19050" dir="2700000" algn="tl" rotWithShape="0">
                  <a:schemeClr val="dk1">
                    <a:alpha val="40000"/>
                  </a:schemeClr>
                </a:outerShdw>
              </a:effectLst>
            </a:rPr>
            <a:t> on </a:t>
          </a:r>
          <a:r>
            <a:rPr lang="en-IN" sz="1600" b="1" cap="none" spc="0">
              <a:ln w="0"/>
              <a:solidFill>
                <a:schemeClr val="tx1"/>
              </a:solidFill>
              <a:effectLst>
                <a:outerShdw blurRad="38100" dist="19050" dir="2700000" algn="tl" rotWithShape="0">
                  <a:schemeClr val="dk1">
                    <a:alpha val="40000"/>
                  </a:schemeClr>
                </a:outerShdw>
              </a:effectLst>
            </a:rPr>
            <a:t>High</a:t>
          </a:r>
          <a:r>
            <a:rPr lang="en-IN" sz="1600" b="1" cap="none" spc="0" baseline="0">
              <a:ln w="0"/>
              <a:solidFill>
                <a:schemeClr val="tx1"/>
              </a:solidFill>
              <a:effectLst>
                <a:outerShdw blurRad="38100" dist="19050" dir="2700000" algn="tl" rotWithShape="0">
                  <a:schemeClr val="dk1">
                    <a:alpha val="40000"/>
                  </a:schemeClr>
                </a:outerShdw>
              </a:effectLst>
            </a:rPr>
            <a:t> risk </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250168</xdr:colOff>
      <xdr:row>6</xdr:row>
      <xdr:rowOff>51757</xdr:rowOff>
    </xdr:from>
    <xdr:to>
      <xdr:col>9</xdr:col>
      <xdr:colOff>370938</xdr:colOff>
      <xdr:row>8</xdr:row>
      <xdr:rowOff>167378</xdr:rowOff>
    </xdr:to>
    <xdr:sp macro="" textlink="AI_Impact_on_Jobs_2030!Z9">
      <xdr:nvSpPr>
        <xdr:cNvPr id="12" name="TextBox 11">
          <a:extLst>
            <a:ext uri="{FF2B5EF4-FFF2-40B4-BE49-F238E27FC236}">
              <a16:creationId xmlns:a16="http://schemas.microsoft.com/office/drawing/2014/main" id="{5E4BBFC3-71CC-19D1-ED54-4C7E5AD7581C}"/>
            </a:ext>
          </a:extLst>
        </xdr:cNvPr>
        <xdr:cNvSpPr txBox="1"/>
      </xdr:nvSpPr>
      <xdr:spPr>
        <a:xfrm>
          <a:off x="5194262" y="1133278"/>
          <a:ext cx="738782" cy="47612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DAD642-4DA6-499B-BEE0-C9B760E1BE7A}" type="TxLink">
            <a:rPr lang="en-US" sz="2400" b="1" i="0" u="none" strike="noStrike">
              <a:solidFill>
                <a:srgbClr val="000000"/>
              </a:solidFill>
              <a:latin typeface="Aptos Narrow"/>
            </a:rPr>
            <a:pPr/>
            <a:t>740</a:t>
          </a:fld>
          <a:endParaRPr lang="en-IN" sz="2400" b="1"/>
        </a:p>
      </xdr:txBody>
    </xdr:sp>
    <xdr:clientData/>
  </xdr:twoCellAnchor>
  <xdr:twoCellAnchor>
    <xdr:from>
      <xdr:col>0</xdr:col>
      <xdr:colOff>217219</xdr:colOff>
      <xdr:row>10</xdr:row>
      <xdr:rowOff>146649</xdr:rowOff>
    </xdr:from>
    <xdr:to>
      <xdr:col>9</xdr:col>
      <xdr:colOff>257505</xdr:colOff>
      <xdr:row>28</xdr:row>
      <xdr:rowOff>64376</xdr:rowOff>
    </xdr:to>
    <xdr:graphicFrame macro="">
      <xdr:nvGraphicFramePr>
        <xdr:cNvPr id="13" name="Chart 12">
          <a:extLst>
            <a:ext uri="{FF2B5EF4-FFF2-40B4-BE49-F238E27FC236}">
              <a16:creationId xmlns:a16="http://schemas.microsoft.com/office/drawing/2014/main" id="{49C9DC4F-619F-4B17-B034-64F24858A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228278</xdr:colOff>
      <xdr:row>29</xdr:row>
      <xdr:rowOff>131285</xdr:rowOff>
    </xdr:from>
    <xdr:to>
      <xdr:col>9</xdr:col>
      <xdr:colOff>283257</xdr:colOff>
      <xdr:row>49</xdr:row>
      <xdr:rowOff>115877</xdr:rowOff>
    </xdr:to>
    <xdr:graphicFrame macro="">
      <xdr:nvGraphicFramePr>
        <xdr:cNvPr id="15" name="Chart 14">
          <a:extLst>
            <a:ext uri="{FF2B5EF4-FFF2-40B4-BE49-F238E27FC236}">
              <a16:creationId xmlns:a16="http://schemas.microsoft.com/office/drawing/2014/main" id="{8FE348C3-BD42-4266-8A93-7F5E4BCDE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538589</xdr:colOff>
      <xdr:row>5</xdr:row>
      <xdr:rowOff>180253</xdr:rowOff>
    </xdr:from>
    <xdr:to>
      <xdr:col>22</xdr:col>
      <xdr:colOff>128752</xdr:colOff>
      <xdr:row>28</xdr:row>
      <xdr:rowOff>77251</xdr:rowOff>
    </xdr:to>
    <xdr:graphicFrame macro="">
      <xdr:nvGraphicFramePr>
        <xdr:cNvPr id="16" name="Chart 15">
          <a:extLst>
            <a:ext uri="{FF2B5EF4-FFF2-40B4-BE49-F238E27FC236}">
              <a16:creationId xmlns:a16="http://schemas.microsoft.com/office/drawing/2014/main" id="{ACD7831A-E8F3-435E-992E-A88983859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386257</xdr:colOff>
      <xdr:row>29</xdr:row>
      <xdr:rowOff>128752</xdr:rowOff>
    </xdr:from>
    <xdr:to>
      <xdr:col>32</xdr:col>
      <xdr:colOff>487580</xdr:colOff>
      <xdr:row>49</xdr:row>
      <xdr:rowOff>38626</xdr:rowOff>
    </xdr:to>
    <xdr:graphicFrame macro="">
      <xdr:nvGraphicFramePr>
        <xdr:cNvPr id="17" name="Chart 16">
          <a:extLst>
            <a:ext uri="{FF2B5EF4-FFF2-40B4-BE49-F238E27FC236}">
              <a16:creationId xmlns:a16="http://schemas.microsoft.com/office/drawing/2014/main" id="{C3B57446-5ED7-4B62-87DC-DAEC57A15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412007</xdr:colOff>
      <xdr:row>5</xdr:row>
      <xdr:rowOff>154503</xdr:rowOff>
    </xdr:from>
    <xdr:to>
      <xdr:col>32</xdr:col>
      <xdr:colOff>512584</xdr:colOff>
      <xdr:row>28</xdr:row>
      <xdr:rowOff>25750</xdr:rowOff>
    </xdr:to>
    <xdr:graphicFrame macro="">
      <xdr:nvGraphicFramePr>
        <xdr:cNvPr id="18" name="Chart 17">
          <a:extLst>
            <a:ext uri="{FF2B5EF4-FFF2-40B4-BE49-F238E27FC236}">
              <a16:creationId xmlns:a16="http://schemas.microsoft.com/office/drawing/2014/main" id="{D2C0EDEC-8DE4-48C7-9AA2-6E0BBBAE1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175030</xdr:colOff>
      <xdr:row>4</xdr:row>
      <xdr:rowOff>75014</xdr:rowOff>
    </xdr:from>
    <xdr:to>
      <xdr:col>37</xdr:col>
      <xdr:colOff>0</xdr:colOff>
      <xdr:row>11</xdr:row>
      <xdr:rowOff>100016</xdr:rowOff>
    </xdr:to>
    <mc:AlternateContent xmlns:mc="http://schemas.openxmlformats.org/markup-compatibility/2006" xmlns:a14="http://schemas.microsoft.com/office/drawing/2010/main">
      <mc:Choice Requires="a14">
        <xdr:graphicFrame macro="">
          <xdr:nvGraphicFramePr>
            <xdr:cNvPr id="19" name="Risk_Category 2">
              <a:extLst>
                <a:ext uri="{FF2B5EF4-FFF2-40B4-BE49-F238E27FC236}">
                  <a16:creationId xmlns:a16="http://schemas.microsoft.com/office/drawing/2014/main" id="{6F40418E-F8B0-4841-97E0-08D22976C124}"/>
                </a:ext>
              </a:extLst>
            </xdr:cNvPr>
            <xdr:cNvGraphicFramePr/>
          </xdr:nvGraphicFramePr>
          <xdr:xfrm>
            <a:off x="0" y="0"/>
            <a:ext cx="0" cy="0"/>
          </xdr:xfrm>
          <a:graphic>
            <a:graphicData uri="http://schemas.microsoft.com/office/drawing/2010/slicer">
              <sle:slicer xmlns:sle="http://schemas.microsoft.com/office/drawing/2010/slicer" name="Risk_Category 2"/>
            </a:graphicData>
          </a:graphic>
        </xdr:graphicFrame>
      </mc:Choice>
      <mc:Fallback xmlns="">
        <xdr:sp macro="" textlink="">
          <xdr:nvSpPr>
            <xdr:cNvPr id="0" name=""/>
            <xdr:cNvSpPr>
              <a:spLocks noTextEdit="1"/>
            </xdr:cNvSpPr>
          </xdr:nvSpPr>
          <xdr:spPr>
            <a:xfrm>
              <a:off x="20803414" y="775128"/>
              <a:ext cx="2325380" cy="1250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162527</xdr:colOff>
      <xdr:row>13</xdr:row>
      <xdr:rowOff>62510</xdr:rowOff>
    </xdr:from>
    <xdr:to>
      <xdr:col>37</xdr:col>
      <xdr:colOff>12502</xdr:colOff>
      <xdr:row>22</xdr:row>
      <xdr:rowOff>112518</xdr:rowOff>
    </xdr:to>
    <mc:AlternateContent xmlns:mc="http://schemas.openxmlformats.org/markup-compatibility/2006" xmlns:a14="http://schemas.microsoft.com/office/drawing/2010/main">
      <mc:Choice Requires="a14">
        <xdr:graphicFrame macro="">
          <xdr:nvGraphicFramePr>
            <xdr:cNvPr id="20" name="Education_Level 1">
              <a:extLst>
                <a:ext uri="{FF2B5EF4-FFF2-40B4-BE49-F238E27FC236}">
                  <a16:creationId xmlns:a16="http://schemas.microsoft.com/office/drawing/2014/main" id="{E5940ABE-0DFF-4663-9254-4829325A6240}"/>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20790911" y="2337884"/>
              <a:ext cx="2350385" cy="1625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150025</xdr:colOff>
      <xdr:row>24</xdr:row>
      <xdr:rowOff>1</xdr:rowOff>
    </xdr:from>
    <xdr:to>
      <xdr:col>37</xdr:col>
      <xdr:colOff>50008</xdr:colOff>
      <xdr:row>36</xdr:row>
      <xdr:rowOff>100017</xdr:rowOff>
    </xdr:to>
    <mc:AlternateContent xmlns:mc="http://schemas.openxmlformats.org/markup-compatibility/2006" xmlns:a14="http://schemas.microsoft.com/office/drawing/2010/main">
      <mc:Choice Requires="a14">
        <xdr:graphicFrame macro="">
          <xdr:nvGraphicFramePr>
            <xdr:cNvPr id="21" name="AI_Exposure_Index 1">
              <a:extLst>
                <a:ext uri="{FF2B5EF4-FFF2-40B4-BE49-F238E27FC236}">
                  <a16:creationId xmlns:a16="http://schemas.microsoft.com/office/drawing/2014/main" id="{5B9C0E61-DD1E-4609-BA20-541C9C92E64F}"/>
                </a:ext>
              </a:extLst>
            </xdr:cNvPr>
            <xdr:cNvGraphicFramePr/>
          </xdr:nvGraphicFramePr>
          <xdr:xfrm>
            <a:off x="0" y="0"/>
            <a:ext cx="0" cy="0"/>
          </xdr:xfrm>
          <a:graphic>
            <a:graphicData uri="http://schemas.microsoft.com/office/drawing/2010/slicer">
              <sle:slicer xmlns:sle="http://schemas.microsoft.com/office/drawing/2010/slicer" name="AI_Exposure_Index 1"/>
            </a:graphicData>
          </a:graphic>
        </xdr:graphicFrame>
      </mc:Choice>
      <mc:Fallback xmlns="">
        <xdr:sp macro="" textlink="">
          <xdr:nvSpPr>
            <xdr:cNvPr id="0" name=""/>
            <xdr:cNvSpPr>
              <a:spLocks noTextEdit="1"/>
            </xdr:cNvSpPr>
          </xdr:nvSpPr>
          <xdr:spPr>
            <a:xfrm>
              <a:off x="20778409" y="4200689"/>
              <a:ext cx="2400393" cy="2200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VOID" refreshedDate="46075.823139814813" createdVersion="8" refreshedVersion="8" minRefreshableVersion="3" recordCount="3000" xr:uid="{7C038E8A-D2D7-46DA-A7DC-9547A298CBC0}">
  <cacheSource type="worksheet">
    <worksheetSource name="AI_Impact_on_Jobs_2030"/>
  </cacheSource>
  <cacheFields count="18">
    <cacheField name="Job_Title" numFmtId="0">
      <sharedItems count="20">
        <s v="Security Guard"/>
        <s v="Research Scientist"/>
        <s v="Construction Worker"/>
        <s v="Software Engineer"/>
        <s v="Financial Analyst"/>
        <s v="AI Engineer"/>
        <s v="Mechanic"/>
        <s v="Teacher"/>
        <s v="HR Specialist"/>
        <s v="Customer Support"/>
        <s v="UX Researcher"/>
        <s v="Lawyer"/>
        <s v="Data Scientist"/>
        <s v="Graphic Designer"/>
        <s v="Retail Worker"/>
        <s v="Doctor"/>
        <s v="Truck Driver"/>
        <s v="Chef"/>
        <s v="Nurse"/>
        <s v="Marketing Manager"/>
      </sharedItems>
    </cacheField>
    <cacheField name="Average_Salary" numFmtId="0">
      <sharedItems containsSemiMixedTypes="0" containsString="0" containsNumber="1" containsInteger="1" minValue="30030" maxValue="149798"/>
    </cacheField>
    <cacheField name="Years_Experience" numFmtId="0">
      <sharedItems containsSemiMixedTypes="0" containsString="0" containsNumber="1" containsInteger="1" minValue="0" maxValue="29" count="30">
        <n v="28"/>
        <n v="20"/>
        <n v="2"/>
        <n v="13"/>
        <n v="22"/>
        <n v="11"/>
        <n v="23"/>
        <n v="12"/>
        <n v="6"/>
        <n v="27"/>
        <n v="9"/>
        <n v="19"/>
        <n v="29"/>
        <n v="15"/>
        <n v="1"/>
        <n v="25"/>
        <n v="7"/>
        <n v="18"/>
        <n v="8"/>
        <n v="24"/>
        <n v="21"/>
        <n v="4"/>
        <n v="5"/>
        <n v="3"/>
        <n v="0"/>
        <n v="17"/>
        <n v="10"/>
        <n v="26"/>
        <n v="16"/>
        <n v="14"/>
      </sharedItems>
    </cacheField>
    <cacheField name="Education_Level" numFmtId="0">
      <sharedItems count="4">
        <s v="Master's"/>
        <s v="PhD"/>
        <s v="High School"/>
        <s v="Bachelor's"/>
      </sharedItems>
    </cacheField>
    <cacheField name="AI_Exposure_Index" numFmtId="0">
      <sharedItems containsSemiMixedTypes="0" containsString="0" containsNumber="1" minValue="0" maxValue="1" count="101">
        <n v="0.18"/>
        <n v="0.62"/>
        <n v="0.86"/>
        <n v="0.39"/>
        <n v="0.52"/>
        <n v="0.28999999999999998"/>
        <n v="0.67"/>
        <n v="0.2"/>
        <n v="0.3"/>
        <n v="0.01"/>
        <n v="0.5"/>
        <n v="0.68"/>
        <n v="0.26"/>
        <n v="0.89"/>
        <n v="0.65"/>
        <n v="0.97"/>
        <n v="0.94"/>
        <n v="0.17"/>
        <n v="0.55000000000000004"/>
        <n v="0.09"/>
        <n v="0.22"/>
        <n v="0.08"/>
        <n v="0.74"/>
        <n v="0.1"/>
        <n v="0.16"/>
        <n v="0.91"/>
        <n v="0.7"/>
        <n v="0.93"/>
        <n v="0.49"/>
        <n v="0.82"/>
        <n v="0.56000000000000005"/>
        <n v="0.37"/>
        <n v="0.19"/>
        <n v="0.38"/>
        <n v="0.77"/>
        <n v="0.98"/>
        <n v="0.84"/>
        <n v="0.21"/>
        <n v="0.99"/>
        <n v="0.87"/>
        <n v="0.4"/>
        <n v="0.43"/>
        <n v="7.0000000000000007E-2"/>
        <n v="0.71"/>
        <n v="0.61"/>
        <n v="0.03"/>
        <n v="0.11"/>
        <n v="0.96"/>
        <n v="0.48"/>
        <n v="0.6"/>
        <n v="0.54"/>
        <n v="0.83"/>
        <n v="0.63"/>
        <n v="0.23"/>
        <n v="0.06"/>
        <n v="0.59"/>
        <n v="0.75"/>
        <n v="0.69"/>
        <n v="0.66"/>
        <n v="0.47"/>
        <n v="0.42"/>
        <n v="0.15"/>
        <n v="0.32"/>
        <n v="0.13"/>
        <n v="0.33"/>
        <n v="0.79"/>
        <n v="0.28000000000000003"/>
        <n v="0.85"/>
        <n v="0.57999999999999996"/>
        <n v="0.12"/>
        <n v="0.78"/>
        <n v="0.73"/>
        <n v="0.76"/>
        <n v="0.64"/>
        <n v="0.27"/>
        <n v="0.53"/>
        <n v="0.46"/>
        <n v="0.24"/>
        <n v="0.31"/>
        <n v="0.41"/>
        <n v="0.04"/>
        <n v="0.05"/>
        <n v="0.88"/>
        <n v="0"/>
        <n v="0.14000000000000001"/>
        <n v="0.25"/>
        <n v="0.9"/>
        <n v="0.36"/>
        <n v="0.02"/>
        <n v="0.35"/>
        <n v="0.44"/>
        <n v="0.81"/>
        <n v="0.72"/>
        <n v="0.8"/>
        <n v="0.34"/>
        <n v="0.56999999999999995"/>
        <n v="0.92"/>
        <n v="0.51"/>
        <n v="0.95"/>
        <n v="1"/>
        <n v="0.45"/>
      </sharedItems>
    </cacheField>
    <cacheField name="Tech_Growth_Factor" numFmtId="0">
      <sharedItems containsSemiMixedTypes="0" containsString="0" containsNumber="1" minValue="0.5" maxValue="1.5"/>
    </cacheField>
    <cacheField name="Automation_Probability_2030" numFmtId="0">
      <sharedItems containsSemiMixedTypes="0" containsString="0" containsNumber="1" minValue="0.05" maxValue="0.95" count="91">
        <n v="0.85"/>
        <n v="0.05"/>
        <n v="0.81"/>
        <n v="0.6"/>
        <n v="0.64"/>
        <n v="0.1"/>
        <n v="0.41"/>
        <n v="0.17"/>
        <n v="0.48"/>
        <n v="0.8"/>
        <n v="0.4"/>
        <n v="0.5"/>
        <n v="0.63"/>
        <n v="0.21"/>
        <n v="0.57999999999999996"/>
        <n v="0.27"/>
        <n v="0.28000000000000003"/>
        <n v="0.93"/>
        <n v="0.15"/>
        <n v="0.06"/>
        <n v="0.33"/>
        <n v="0.28999999999999998"/>
        <n v="0.54"/>
        <n v="0.56000000000000005"/>
        <n v="0.92"/>
        <n v="0.47"/>
        <n v="0.68"/>
        <n v="0.19"/>
        <n v="0.72"/>
        <n v="0.22"/>
        <n v="0.44"/>
        <n v="0.59"/>
        <n v="0.91"/>
        <n v="0.55000000000000004"/>
        <n v="7.0000000000000007E-2"/>
        <n v="0.83"/>
        <n v="0.46"/>
        <n v="0.11"/>
        <n v="0.65"/>
        <n v="0.76"/>
        <n v="0.9"/>
        <n v="0.14000000000000001"/>
        <n v="0.2"/>
        <n v="0.52"/>
        <n v="0.74"/>
        <n v="0.61"/>
        <n v="0.36"/>
        <n v="0.08"/>
        <n v="0.38"/>
        <n v="0.37"/>
        <n v="0.51"/>
        <n v="0.88"/>
        <n v="0.24"/>
        <n v="0.35"/>
        <n v="0.12"/>
        <n v="0.34"/>
        <n v="0.84"/>
        <n v="0.31"/>
        <n v="0.7"/>
        <n v="0.87"/>
        <n v="0.95"/>
        <n v="0.13"/>
        <n v="0.77"/>
        <n v="0.09"/>
        <n v="0.56999999999999995"/>
        <n v="0.39"/>
        <n v="0.69"/>
        <n v="0.73"/>
        <n v="0.53"/>
        <n v="0.62"/>
        <n v="0.23"/>
        <n v="0.42"/>
        <n v="0.66"/>
        <n v="0.75"/>
        <n v="0.16"/>
        <n v="0.26"/>
        <n v="0.71"/>
        <n v="0.79"/>
        <n v="0.49"/>
        <n v="0.67"/>
        <n v="0.78"/>
        <n v="0.89"/>
        <n v="0.18"/>
        <n v="0.86"/>
        <n v="0.45"/>
        <n v="0.3"/>
        <n v="0.32"/>
        <n v="0.43"/>
        <n v="0.25"/>
        <n v="0.94"/>
        <n v="0.82"/>
      </sharedItems>
    </cacheField>
    <cacheField name="Risk_Category" numFmtId="0">
      <sharedItems count="3">
        <s v="High"/>
        <s v="Low"/>
        <s v="Medium"/>
      </sharedItems>
    </cacheField>
    <cacheField name="Column1" numFmtId="0">
      <sharedItems containsNonDate="0" containsString="0" containsBlank="1"/>
    </cacheField>
    <cacheField name="Column2" numFmtId="0">
      <sharedItems containsNonDate="0" containsString="0" containsBlank="1"/>
    </cacheField>
    <cacheField name="Column3" numFmtId="0">
      <sharedItems containsNonDate="0" containsString="0" containsBlank="1"/>
    </cacheField>
    <cacheField name="Column4" numFmtId="0">
      <sharedItems containsNonDate="0" containsString="0" containsBlank="1"/>
    </cacheField>
    <cacheField name="Column5" numFmtId="0">
      <sharedItems containsNonDate="0" containsString="0" containsBlank="1"/>
    </cacheField>
    <cacheField name="Column6" numFmtId="0">
      <sharedItems containsNonDate="0" containsString="0" containsBlank="1"/>
    </cacheField>
    <cacheField name="Column7" numFmtId="0">
      <sharedItems containsNonDate="0" containsString="0" containsBlank="1"/>
    </cacheField>
    <cacheField name="Column8" numFmtId="0">
      <sharedItems containsNonDate="0" containsString="0" containsBlank="1"/>
    </cacheField>
    <cacheField name="Column9" numFmtId="0">
      <sharedItems containsNonDate="0" containsString="0" containsBlank="1"/>
    </cacheField>
    <cacheField name="Column10" numFmtId="0">
      <sharedItems containsNonDate="0" containsString="0" containsBlank="1"/>
    </cacheField>
  </cacheFields>
  <extLst>
    <ext xmlns:x14="http://schemas.microsoft.com/office/spreadsheetml/2009/9/main" uri="{725AE2AE-9491-48be-B2B4-4EB974FC3084}">
      <x14:pivotCacheDefinition pivotCacheId="594186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n v="45795"/>
    <x v="0"/>
    <x v="0"/>
    <x v="0"/>
    <n v="1.28"/>
    <x v="0"/>
    <x v="0"/>
    <m/>
    <m/>
    <m/>
    <m/>
    <m/>
    <m/>
    <m/>
    <m/>
    <m/>
    <m/>
  </r>
  <r>
    <x v="1"/>
    <n v="133355"/>
    <x v="1"/>
    <x v="1"/>
    <x v="1"/>
    <n v="1.1100000000000001"/>
    <x v="1"/>
    <x v="1"/>
    <m/>
    <m/>
    <m/>
    <m/>
    <m/>
    <m/>
    <m/>
    <m/>
    <m/>
    <m/>
  </r>
  <r>
    <x v="2"/>
    <n v="146216"/>
    <x v="2"/>
    <x v="2"/>
    <x v="2"/>
    <n v="1.18"/>
    <x v="2"/>
    <x v="0"/>
    <m/>
    <m/>
    <m/>
    <m/>
    <m/>
    <m/>
    <m/>
    <m/>
    <m/>
    <m/>
  </r>
  <r>
    <x v="3"/>
    <n v="136530"/>
    <x v="3"/>
    <x v="1"/>
    <x v="3"/>
    <n v="0.68"/>
    <x v="3"/>
    <x v="2"/>
    <m/>
    <m/>
    <m/>
    <m/>
    <m/>
    <m/>
    <m/>
    <m/>
    <m/>
    <m/>
  </r>
  <r>
    <x v="4"/>
    <n v="70397"/>
    <x v="4"/>
    <x v="2"/>
    <x v="4"/>
    <n v="1.46"/>
    <x v="4"/>
    <x v="2"/>
    <m/>
    <m/>
    <m/>
    <m/>
    <m/>
    <m/>
    <m/>
    <m/>
    <m/>
    <m/>
  </r>
  <r>
    <x v="5"/>
    <n v="92592"/>
    <x v="5"/>
    <x v="0"/>
    <x v="5"/>
    <n v="0.51"/>
    <x v="5"/>
    <x v="1"/>
    <m/>
    <m/>
    <m/>
    <m/>
    <m/>
    <m/>
    <m/>
    <m/>
    <m/>
    <m/>
  </r>
  <r>
    <x v="6"/>
    <n v="107373"/>
    <x v="6"/>
    <x v="1"/>
    <x v="6"/>
    <n v="1.0900000000000001"/>
    <x v="6"/>
    <x v="2"/>
    <m/>
    <m/>
    <m/>
    <m/>
    <m/>
    <m/>
    <m/>
    <m/>
    <m/>
    <m/>
  </r>
  <r>
    <x v="7"/>
    <n v="53419"/>
    <x v="7"/>
    <x v="2"/>
    <x v="7"/>
    <n v="1.4"/>
    <x v="7"/>
    <x v="1"/>
    <m/>
    <m/>
    <m/>
    <m/>
    <m/>
    <m/>
    <m/>
    <m/>
    <m/>
    <m/>
  </r>
  <r>
    <x v="8"/>
    <n v="139225"/>
    <x v="7"/>
    <x v="0"/>
    <x v="8"/>
    <n v="0.61"/>
    <x v="8"/>
    <x v="2"/>
    <m/>
    <m/>
    <m/>
    <m/>
    <m/>
    <m/>
    <m/>
    <m/>
    <m/>
    <m/>
  </r>
  <r>
    <x v="9"/>
    <n v="85016"/>
    <x v="2"/>
    <x v="2"/>
    <x v="9"/>
    <n v="1.01"/>
    <x v="9"/>
    <x v="0"/>
    <m/>
    <m/>
    <m/>
    <m/>
    <m/>
    <m/>
    <m/>
    <m/>
    <m/>
    <m/>
  </r>
  <r>
    <x v="10"/>
    <n v="82733"/>
    <x v="8"/>
    <x v="2"/>
    <x v="10"/>
    <n v="0.8"/>
    <x v="6"/>
    <x v="2"/>
    <m/>
    <m/>
    <m/>
    <m/>
    <m/>
    <m/>
    <m/>
    <m/>
    <m/>
    <m/>
  </r>
  <r>
    <x v="4"/>
    <n v="117455"/>
    <x v="4"/>
    <x v="2"/>
    <x v="6"/>
    <n v="1.26"/>
    <x v="10"/>
    <x v="2"/>
    <m/>
    <m/>
    <m/>
    <m/>
    <m/>
    <m/>
    <m/>
    <m/>
    <m/>
    <m/>
  </r>
  <r>
    <x v="11"/>
    <n v="79811"/>
    <x v="9"/>
    <x v="2"/>
    <x v="11"/>
    <n v="0.52"/>
    <x v="11"/>
    <x v="2"/>
    <m/>
    <m/>
    <m/>
    <m/>
    <m/>
    <m/>
    <m/>
    <m/>
    <m/>
    <m/>
  </r>
  <r>
    <x v="12"/>
    <n v="115981"/>
    <x v="10"/>
    <x v="2"/>
    <x v="12"/>
    <n v="1.1599999999999999"/>
    <x v="12"/>
    <x v="2"/>
    <m/>
    <m/>
    <m/>
    <m/>
    <m/>
    <m/>
    <m/>
    <m/>
    <m/>
    <m/>
  </r>
  <r>
    <x v="1"/>
    <n v="96690"/>
    <x v="11"/>
    <x v="0"/>
    <x v="13"/>
    <n v="1.28"/>
    <x v="13"/>
    <x v="1"/>
    <m/>
    <m/>
    <m/>
    <m/>
    <m/>
    <m/>
    <m/>
    <m/>
    <m/>
    <m/>
  </r>
  <r>
    <x v="13"/>
    <n v="32869"/>
    <x v="2"/>
    <x v="2"/>
    <x v="14"/>
    <n v="0.72"/>
    <x v="14"/>
    <x v="2"/>
    <m/>
    <m/>
    <m/>
    <m/>
    <m/>
    <m/>
    <m/>
    <m/>
    <m/>
    <m/>
  </r>
  <r>
    <x v="7"/>
    <n v="36893"/>
    <x v="12"/>
    <x v="3"/>
    <x v="15"/>
    <n v="0.89"/>
    <x v="15"/>
    <x v="1"/>
    <m/>
    <m/>
    <m/>
    <m/>
    <m/>
    <m/>
    <m/>
    <m/>
    <m/>
    <m/>
  </r>
  <r>
    <x v="7"/>
    <n v="103744"/>
    <x v="5"/>
    <x v="3"/>
    <x v="16"/>
    <n v="1.45"/>
    <x v="16"/>
    <x v="1"/>
    <m/>
    <m/>
    <m/>
    <m/>
    <m/>
    <m/>
    <m/>
    <m/>
    <m/>
    <m/>
  </r>
  <r>
    <x v="14"/>
    <n v="148015"/>
    <x v="2"/>
    <x v="1"/>
    <x v="17"/>
    <n v="1.06"/>
    <x v="17"/>
    <x v="0"/>
    <m/>
    <m/>
    <m/>
    <m/>
    <m/>
    <m/>
    <m/>
    <m/>
    <m/>
    <m/>
  </r>
  <r>
    <x v="15"/>
    <n v="108069"/>
    <x v="13"/>
    <x v="0"/>
    <x v="18"/>
    <n v="0.8"/>
    <x v="18"/>
    <x v="1"/>
    <m/>
    <m/>
    <m/>
    <m/>
    <m/>
    <m/>
    <m/>
    <m/>
    <m/>
    <m/>
  </r>
  <r>
    <x v="5"/>
    <n v="43403"/>
    <x v="14"/>
    <x v="2"/>
    <x v="19"/>
    <n v="1.08"/>
    <x v="19"/>
    <x v="1"/>
    <m/>
    <m/>
    <m/>
    <m/>
    <m/>
    <m/>
    <m/>
    <m/>
    <m/>
    <m/>
  </r>
  <r>
    <x v="8"/>
    <n v="49508"/>
    <x v="9"/>
    <x v="3"/>
    <x v="20"/>
    <n v="1.1200000000000001"/>
    <x v="20"/>
    <x v="2"/>
    <m/>
    <m/>
    <m/>
    <m/>
    <m/>
    <m/>
    <m/>
    <m/>
    <m/>
    <m/>
  </r>
  <r>
    <x v="7"/>
    <n v="58251"/>
    <x v="15"/>
    <x v="1"/>
    <x v="21"/>
    <n v="0.53"/>
    <x v="21"/>
    <x v="1"/>
    <m/>
    <m/>
    <m/>
    <m/>
    <m/>
    <m/>
    <m/>
    <m/>
    <m/>
    <m/>
  </r>
  <r>
    <x v="4"/>
    <n v="33343"/>
    <x v="0"/>
    <x v="2"/>
    <x v="22"/>
    <n v="1.05"/>
    <x v="22"/>
    <x v="2"/>
    <m/>
    <m/>
    <m/>
    <m/>
    <m/>
    <m/>
    <m/>
    <m/>
    <m/>
    <m/>
  </r>
  <r>
    <x v="5"/>
    <n v="125435"/>
    <x v="13"/>
    <x v="1"/>
    <x v="23"/>
    <n v="0.99"/>
    <x v="7"/>
    <x v="1"/>
    <m/>
    <m/>
    <m/>
    <m/>
    <m/>
    <m/>
    <m/>
    <m/>
    <m/>
    <m/>
  </r>
  <r>
    <x v="3"/>
    <n v="39540"/>
    <x v="7"/>
    <x v="2"/>
    <x v="24"/>
    <n v="0.56999999999999995"/>
    <x v="23"/>
    <x v="2"/>
    <m/>
    <m/>
    <m/>
    <m/>
    <m/>
    <m/>
    <m/>
    <m/>
    <m/>
    <m/>
  </r>
  <r>
    <x v="6"/>
    <n v="68304"/>
    <x v="16"/>
    <x v="0"/>
    <x v="25"/>
    <n v="0.7"/>
    <x v="20"/>
    <x v="2"/>
    <m/>
    <m/>
    <m/>
    <m/>
    <m/>
    <m/>
    <m/>
    <m/>
    <m/>
    <m/>
  </r>
  <r>
    <x v="9"/>
    <n v="33267"/>
    <x v="15"/>
    <x v="1"/>
    <x v="26"/>
    <n v="1.1299999999999999"/>
    <x v="24"/>
    <x v="0"/>
    <m/>
    <m/>
    <m/>
    <m/>
    <m/>
    <m/>
    <m/>
    <m/>
    <m/>
    <m/>
  </r>
  <r>
    <x v="8"/>
    <n v="89031"/>
    <x v="4"/>
    <x v="0"/>
    <x v="27"/>
    <n v="1.36"/>
    <x v="25"/>
    <x v="2"/>
    <m/>
    <m/>
    <m/>
    <m/>
    <m/>
    <m/>
    <m/>
    <m/>
    <m/>
    <m/>
  </r>
  <r>
    <x v="8"/>
    <n v="102936"/>
    <x v="17"/>
    <x v="0"/>
    <x v="19"/>
    <n v="0.82"/>
    <x v="26"/>
    <x v="2"/>
    <m/>
    <m/>
    <m/>
    <m/>
    <m/>
    <m/>
    <m/>
    <m/>
    <m/>
    <m/>
  </r>
  <r>
    <x v="7"/>
    <n v="114076"/>
    <x v="1"/>
    <x v="0"/>
    <x v="28"/>
    <n v="0.56000000000000005"/>
    <x v="27"/>
    <x v="1"/>
    <m/>
    <m/>
    <m/>
    <m/>
    <m/>
    <m/>
    <m/>
    <m/>
    <m/>
    <m/>
  </r>
  <r>
    <x v="14"/>
    <n v="69081"/>
    <x v="18"/>
    <x v="2"/>
    <x v="29"/>
    <n v="1.21"/>
    <x v="28"/>
    <x v="0"/>
    <m/>
    <m/>
    <m/>
    <m/>
    <m/>
    <m/>
    <m/>
    <m/>
    <m/>
    <m/>
  </r>
  <r>
    <x v="14"/>
    <n v="102124"/>
    <x v="5"/>
    <x v="3"/>
    <x v="30"/>
    <n v="0.92"/>
    <x v="17"/>
    <x v="0"/>
    <m/>
    <m/>
    <m/>
    <m/>
    <m/>
    <m/>
    <m/>
    <m/>
    <m/>
    <m/>
  </r>
  <r>
    <x v="16"/>
    <n v="91629"/>
    <x v="19"/>
    <x v="2"/>
    <x v="31"/>
    <n v="0.79"/>
    <x v="24"/>
    <x v="0"/>
    <m/>
    <m/>
    <m/>
    <m/>
    <m/>
    <m/>
    <m/>
    <m/>
    <m/>
    <m/>
  </r>
  <r>
    <x v="7"/>
    <n v="43843"/>
    <x v="19"/>
    <x v="1"/>
    <x v="4"/>
    <n v="1.1299999999999999"/>
    <x v="29"/>
    <x v="1"/>
    <m/>
    <m/>
    <m/>
    <m/>
    <m/>
    <m/>
    <m/>
    <m/>
    <m/>
    <m/>
  </r>
  <r>
    <x v="6"/>
    <n v="59703"/>
    <x v="15"/>
    <x v="3"/>
    <x v="32"/>
    <n v="0.96"/>
    <x v="30"/>
    <x v="2"/>
    <m/>
    <m/>
    <m/>
    <m/>
    <m/>
    <m/>
    <m/>
    <m/>
    <m/>
    <m/>
  </r>
  <r>
    <x v="6"/>
    <n v="64349"/>
    <x v="2"/>
    <x v="3"/>
    <x v="29"/>
    <n v="1.45"/>
    <x v="31"/>
    <x v="2"/>
    <m/>
    <m/>
    <m/>
    <m/>
    <m/>
    <m/>
    <m/>
    <m/>
    <m/>
    <m/>
  </r>
  <r>
    <x v="9"/>
    <n v="92292"/>
    <x v="15"/>
    <x v="3"/>
    <x v="33"/>
    <n v="1.47"/>
    <x v="32"/>
    <x v="0"/>
    <m/>
    <m/>
    <m/>
    <m/>
    <m/>
    <m/>
    <m/>
    <m/>
    <m/>
    <m/>
  </r>
  <r>
    <x v="17"/>
    <n v="53524"/>
    <x v="1"/>
    <x v="1"/>
    <x v="16"/>
    <n v="1.35"/>
    <x v="10"/>
    <x v="2"/>
    <m/>
    <m/>
    <m/>
    <m/>
    <m/>
    <m/>
    <m/>
    <m/>
    <m/>
    <m/>
  </r>
  <r>
    <x v="14"/>
    <n v="88017"/>
    <x v="20"/>
    <x v="3"/>
    <x v="34"/>
    <n v="1.02"/>
    <x v="32"/>
    <x v="0"/>
    <m/>
    <m/>
    <m/>
    <m/>
    <m/>
    <m/>
    <m/>
    <m/>
    <m/>
    <m/>
  </r>
  <r>
    <x v="13"/>
    <n v="111317"/>
    <x v="9"/>
    <x v="1"/>
    <x v="35"/>
    <n v="1.1100000000000001"/>
    <x v="33"/>
    <x v="2"/>
    <m/>
    <m/>
    <m/>
    <m/>
    <m/>
    <m/>
    <m/>
    <m/>
    <m/>
    <m/>
  </r>
  <r>
    <x v="15"/>
    <n v="144825"/>
    <x v="6"/>
    <x v="3"/>
    <x v="36"/>
    <n v="1.27"/>
    <x v="34"/>
    <x v="1"/>
    <m/>
    <m/>
    <m/>
    <m/>
    <m/>
    <m/>
    <m/>
    <m/>
    <m/>
    <m/>
  </r>
  <r>
    <x v="1"/>
    <n v="52415"/>
    <x v="16"/>
    <x v="1"/>
    <x v="0"/>
    <n v="1.2"/>
    <x v="18"/>
    <x v="1"/>
    <m/>
    <m/>
    <m/>
    <m/>
    <m/>
    <m/>
    <m/>
    <m/>
    <m/>
    <m/>
  </r>
  <r>
    <x v="2"/>
    <n v="134680"/>
    <x v="5"/>
    <x v="1"/>
    <x v="37"/>
    <n v="0.86"/>
    <x v="35"/>
    <x v="0"/>
    <m/>
    <m/>
    <m/>
    <m/>
    <m/>
    <m/>
    <m/>
    <m/>
    <m/>
    <m/>
  </r>
  <r>
    <x v="9"/>
    <n v="109714"/>
    <x v="0"/>
    <x v="1"/>
    <x v="38"/>
    <n v="1.04"/>
    <x v="17"/>
    <x v="0"/>
    <m/>
    <m/>
    <m/>
    <m/>
    <m/>
    <m/>
    <m/>
    <m/>
    <m/>
    <m/>
  </r>
  <r>
    <x v="12"/>
    <n v="97067"/>
    <x v="7"/>
    <x v="2"/>
    <x v="39"/>
    <n v="0.85"/>
    <x v="36"/>
    <x v="2"/>
    <m/>
    <m/>
    <m/>
    <m/>
    <m/>
    <m/>
    <m/>
    <m/>
    <m/>
    <m/>
  </r>
  <r>
    <x v="2"/>
    <n v="37561"/>
    <x v="2"/>
    <x v="0"/>
    <x v="14"/>
    <n v="0.98"/>
    <x v="0"/>
    <x v="0"/>
    <m/>
    <m/>
    <m/>
    <m/>
    <m/>
    <m/>
    <m/>
    <m/>
    <m/>
    <m/>
  </r>
  <r>
    <x v="7"/>
    <n v="142581"/>
    <x v="21"/>
    <x v="2"/>
    <x v="27"/>
    <n v="0.51"/>
    <x v="37"/>
    <x v="1"/>
    <m/>
    <m/>
    <m/>
    <m/>
    <m/>
    <m/>
    <m/>
    <m/>
    <m/>
    <m/>
  </r>
  <r>
    <x v="10"/>
    <n v="39111"/>
    <x v="22"/>
    <x v="3"/>
    <x v="40"/>
    <n v="1.47"/>
    <x v="38"/>
    <x v="2"/>
    <m/>
    <m/>
    <m/>
    <m/>
    <m/>
    <m/>
    <m/>
    <m/>
    <m/>
    <m/>
  </r>
  <r>
    <x v="14"/>
    <n v="72101"/>
    <x v="23"/>
    <x v="2"/>
    <x v="41"/>
    <n v="1.01"/>
    <x v="39"/>
    <x v="0"/>
    <m/>
    <m/>
    <m/>
    <m/>
    <m/>
    <m/>
    <m/>
    <m/>
    <m/>
    <m/>
  </r>
  <r>
    <x v="0"/>
    <n v="117958"/>
    <x v="10"/>
    <x v="2"/>
    <x v="38"/>
    <n v="0.82"/>
    <x v="40"/>
    <x v="0"/>
    <m/>
    <m/>
    <m/>
    <m/>
    <m/>
    <m/>
    <m/>
    <m/>
    <m/>
    <m/>
  </r>
  <r>
    <x v="5"/>
    <n v="97444"/>
    <x v="6"/>
    <x v="2"/>
    <x v="38"/>
    <n v="0.71"/>
    <x v="41"/>
    <x v="1"/>
    <m/>
    <m/>
    <m/>
    <m/>
    <m/>
    <m/>
    <m/>
    <m/>
    <m/>
    <m/>
  </r>
  <r>
    <x v="5"/>
    <n v="30077"/>
    <x v="15"/>
    <x v="2"/>
    <x v="25"/>
    <n v="0.82"/>
    <x v="42"/>
    <x v="1"/>
    <m/>
    <m/>
    <m/>
    <m/>
    <m/>
    <m/>
    <m/>
    <m/>
    <m/>
    <m/>
  </r>
  <r>
    <x v="10"/>
    <n v="148721"/>
    <x v="3"/>
    <x v="2"/>
    <x v="42"/>
    <n v="0.73"/>
    <x v="43"/>
    <x v="2"/>
    <m/>
    <m/>
    <m/>
    <m/>
    <m/>
    <m/>
    <m/>
    <m/>
    <m/>
    <m/>
  </r>
  <r>
    <x v="9"/>
    <n v="127720"/>
    <x v="24"/>
    <x v="2"/>
    <x v="43"/>
    <n v="1.28"/>
    <x v="44"/>
    <x v="0"/>
    <m/>
    <m/>
    <m/>
    <m/>
    <m/>
    <m/>
    <m/>
    <m/>
    <m/>
    <m/>
  </r>
  <r>
    <x v="12"/>
    <n v="50103"/>
    <x v="21"/>
    <x v="0"/>
    <x v="28"/>
    <n v="0.91"/>
    <x v="45"/>
    <x v="2"/>
    <m/>
    <m/>
    <m/>
    <m/>
    <m/>
    <m/>
    <m/>
    <m/>
    <m/>
    <m/>
  </r>
  <r>
    <x v="13"/>
    <n v="145033"/>
    <x v="3"/>
    <x v="2"/>
    <x v="44"/>
    <n v="1.41"/>
    <x v="46"/>
    <x v="2"/>
    <m/>
    <m/>
    <m/>
    <m/>
    <m/>
    <m/>
    <m/>
    <m/>
    <m/>
    <m/>
  </r>
  <r>
    <x v="15"/>
    <n v="95310"/>
    <x v="15"/>
    <x v="3"/>
    <x v="42"/>
    <n v="0.57999999999999996"/>
    <x v="47"/>
    <x v="1"/>
    <m/>
    <m/>
    <m/>
    <m/>
    <m/>
    <m/>
    <m/>
    <m/>
    <m/>
    <m/>
  </r>
  <r>
    <x v="6"/>
    <n v="93374"/>
    <x v="1"/>
    <x v="0"/>
    <x v="33"/>
    <n v="1.24"/>
    <x v="48"/>
    <x v="2"/>
    <m/>
    <m/>
    <m/>
    <m/>
    <m/>
    <m/>
    <m/>
    <m/>
    <m/>
    <m/>
  </r>
  <r>
    <x v="1"/>
    <n v="71914"/>
    <x v="5"/>
    <x v="0"/>
    <x v="25"/>
    <n v="0.75"/>
    <x v="27"/>
    <x v="1"/>
    <m/>
    <m/>
    <m/>
    <m/>
    <m/>
    <m/>
    <m/>
    <m/>
    <m/>
    <m/>
  </r>
  <r>
    <x v="4"/>
    <n v="132547"/>
    <x v="20"/>
    <x v="1"/>
    <x v="2"/>
    <n v="1.04"/>
    <x v="49"/>
    <x v="2"/>
    <m/>
    <m/>
    <m/>
    <m/>
    <m/>
    <m/>
    <m/>
    <m/>
    <m/>
    <m/>
  </r>
  <r>
    <x v="10"/>
    <n v="119106"/>
    <x v="25"/>
    <x v="0"/>
    <x v="5"/>
    <n v="1.21"/>
    <x v="50"/>
    <x v="2"/>
    <m/>
    <m/>
    <m/>
    <m/>
    <m/>
    <m/>
    <m/>
    <m/>
    <m/>
    <m/>
  </r>
  <r>
    <x v="10"/>
    <n v="82603"/>
    <x v="24"/>
    <x v="2"/>
    <x v="45"/>
    <n v="0.66"/>
    <x v="31"/>
    <x v="2"/>
    <m/>
    <m/>
    <m/>
    <m/>
    <m/>
    <m/>
    <m/>
    <m/>
    <m/>
    <m/>
  </r>
  <r>
    <x v="0"/>
    <n v="131358"/>
    <x v="16"/>
    <x v="3"/>
    <x v="23"/>
    <n v="0.74"/>
    <x v="51"/>
    <x v="0"/>
    <m/>
    <m/>
    <m/>
    <m/>
    <m/>
    <m/>
    <m/>
    <m/>
    <m/>
    <m/>
  </r>
  <r>
    <x v="0"/>
    <n v="83394"/>
    <x v="13"/>
    <x v="2"/>
    <x v="0"/>
    <n v="1.08"/>
    <x v="2"/>
    <x v="0"/>
    <m/>
    <m/>
    <m/>
    <m/>
    <m/>
    <m/>
    <m/>
    <m/>
    <m/>
    <m/>
  </r>
  <r>
    <x v="18"/>
    <n v="92516"/>
    <x v="5"/>
    <x v="3"/>
    <x v="20"/>
    <n v="1.47"/>
    <x v="52"/>
    <x v="1"/>
    <m/>
    <m/>
    <m/>
    <m/>
    <m/>
    <m/>
    <m/>
    <m/>
    <m/>
    <m/>
  </r>
  <r>
    <x v="13"/>
    <n v="53752"/>
    <x v="20"/>
    <x v="0"/>
    <x v="14"/>
    <n v="0.92"/>
    <x v="53"/>
    <x v="2"/>
    <m/>
    <m/>
    <m/>
    <m/>
    <m/>
    <m/>
    <m/>
    <m/>
    <m/>
    <m/>
  </r>
  <r>
    <x v="5"/>
    <n v="108411"/>
    <x v="4"/>
    <x v="1"/>
    <x v="46"/>
    <n v="0.64"/>
    <x v="54"/>
    <x v="1"/>
    <m/>
    <m/>
    <m/>
    <m/>
    <m/>
    <m/>
    <m/>
    <m/>
    <m/>
    <m/>
  </r>
  <r>
    <x v="17"/>
    <n v="116145"/>
    <x v="9"/>
    <x v="0"/>
    <x v="47"/>
    <n v="0.68"/>
    <x v="55"/>
    <x v="2"/>
    <m/>
    <m/>
    <m/>
    <m/>
    <m/>
    <m/>
    <m/>
    <m/>
    <m/>
    <m/>
  </r>
  <r>
    <x v="12"/>
    <n v="124613"/>
    <x v="21"/>
    <x v="2"/>
    <x v="48"/>
    <n v="0.77"/>
    <x v="43"/>
    <x v="2"/>
    <m/>
    <m/>
    <m/>
    <m/>
    <m/>
    <m/>
    <m/>
    <m/>
    <m/>
    <m/>
  </r>
  <r>
    <x v="19"/>
    <n v="30060"/>
    <x v="26"/>
    <x v="1"/>
    <x v="49"/>
    <n v="0.96"/>
    <x v="20"/>
    <x v="2"/>
    <m/>
    <m/>
    <m/>
    <m/>
    <m/>
    <m/>
    <m/>
    <m/>
    <m/>
    <m/>
  </r>
  <r>
    <x v="19"/>
    <n v="87134"/>
    <x v="5"/>
    <x v="2"/>
    <x v="50"/>
    <n v="1.37"/>
    <x v="31"/>
    <x v="2"/>
    <m/>
    <m/>
    <m/>
    <m/>
    <m/>
    <m/>
    <m/>
    <m/>
    <m/>
    <m/>
  </r>
  <r>
    <x v="2"/>
    <n v="67641"/>
    <x v="13"/>
    <x v="1"/>
    <x v="27"/>
    <n v="0.68"/>
    <x v="56"/>
    <x v="0"/>
    <m/>
    <m/>
    <m/>
    <m/>
    <m/>
    <m/>
    <m/>
    <m/>
    <m/>
    <m/>
  </r>
  <r>
    <x v="1"/>
    <n v="67265"/>
    <x v="27"/>
    <x v="0"/>
    <x v="51"/>
    <n v="0.54"/>
    <x v="42"/>
    <x v="1"/>
    <m/>
    <m/>
    <m/>
    <m/>
    <m/>
    <m/>
    <m/>
    <m/>
    <m/>
    <m/>
  </r>
  <r>
    <x v="9"/>
    <n v="145608"/>
    <x v="7"/>
    <x v="0"/>
    <x v="52"/>
    <n v="1.39"/>
    <x v="0"/>
    <x v="0"/>
    <m/>
    <m/>
    <m/>
    <m/>
    <m/>
    <m/>
    <m/>
    <m/>
    <m/>
    <m/>
  </r>
  <r>
    <x v="6"/>
    <n v="59629"/>
    <x v="28"/>
    <x v="2"/>
    <x v="40"/>
    <n v="0.98"/>
    <x v="33"/>
    <x v="2"/>
    <m/>
    <m/>
    <m/>
    <m/>
    <m/>
    <m/>
    <m/>
    <m/>
    <m/>
    <m/>
  </r>
  <r>
    <x v="12"/>
    <n v="85619"/>
    <x v="25"/>
    <x v="3"/>
    <x v="53"/>
    <n v="0.54"/>
    <x v="57"/>
    <x v="2"/>
    <m/>
    <m/>
    <m/>
    <m/>
    <m/>
    <m/>
    <m/>
    <m/>
    <m/>
    <m/>
  </r>
  <r>
    <x v="3"/>
    <n v="136506"/>
    <x v="12"/>
    <x v="1"/>
    <x v="44"/>
    <n v="0.67"/>
    <x v="58"/>
    <x v="2"/>
    <m/>
    <m/>
    <m/>
    <m/>
    <m/>
    <m/>
    <m/>
    <m/>
    <m/>
    <m/>
  </r>
  <r>
    <x v="1"/>
    <n v="148533"/>
    <x v="21"/>
    <x v="2"/>
    <x v="54"/>
    <n v="1.47"/>
    <x v="15"/>
    <x v="1"/>
    <m/>
    <m/>
    <m/>
    <m/>
    <m/>
    <m/>
    <m/>
    <m/>
    <m/>
    <m/>
  </r>
  <r>
    <x v="4"/>
    <n v="105758"/>
    <x v="19"/>
    <x v="3"/>
    <x v="55"/>
    <n v="1.08"/>
    <x v="55"/>
    <x v="2"/>
    <m/>
    <m/>
    <m/>
    <m/>
    <m/>
    <m/>
    <m/>
    <m/>
    <m/>
    <m/>
  </r>
  <r>
    <x v="19"/>
    <n v="55559"/>
    <x v="9"/>
    <x v="0"/>
    <x v="31"/>
    <n v="0.76"/>
    <x v="31"/>
    <x v="2"/>
    <m/>
    <m/>
    <m/>
    <m/>
    <m/>
    <m/>
    <m/>
    <m/>
    <m/>
    <m/>
  </r>
  <r>
    <x v="4"/>
    <n v="31591"/>
    <x v="16"/>
    <x v="0"/>
    <x v="11"/>
    <n v="1.07"/>
    <x v="6"/>
    <x v="2"/>
    <m/>
    <m/>
    <m/>
    <m/>
    <m/>
    <m/>
    <m/>
    <m/>
    <m/>
    <m/>
  </r>
  <r>
    <x v="4"/>
    <n v="32469"/>
    <x v="9"/>
    <x v="0"/>
    <x v="24"/>
    <n v="1.38"/>
    <x v="38"/>
    <x v="2"/>
    <m/>
    <m/>
    <m/>
    <m/>
    <m/>
    <m/>
    <m/>
    <m/>
    <m/>
    <m/>
  </r>
  <r>
    <x v="19"/>
    <n v="117263"/>
    <x v="7"/>
    <x v="3"/>
    <x v="1"/>
    <n v="1.48"/>
    <x v="33"/>
    <x v="2"/>
    <m/>
    <m/>
    <m/>
    <m/>
    <m/>
    <m/>
    <m/>
    <m/>
    <m/>
    <m/>
  </r>
  <r>
    <x v="14"/>
    <n v="121357"/>
    <x v="21"/>
    <x v="0"/>
    <x v="23"/>
    <n v="1.44"/>
    <x v="59"/>
    <x v="0"/>
    <m/>
    <m/>
    <m/>
    <m/>
    <m/>
    <m/>
    <m/>
    <m/>
    <m/>
    <m/>
  </r>
  <r>
    <x v="18"/>
    <n v="54860"/>
    <x v="5"/>
    <x v="2"/>
    <x v="56"/>
    <n v="0.63"/>
    <x v="52"/>
    <x v="1"/>
    <m/>
    <m/>
    <m/>
    <m/>
    <m/>
    <m/>
    <m/>
    <m/>
    <m/>
    <m/>
  </r>
  <r>
    <x v="14"/>
    <n v="36540"/>
    <x v="18"/>
    <x v="1"/>
    <x v="24"/>
    <n v="1.29"/>
    <x v="59"/>
    <x v="0"/>
    <m/>
    <m/>
    <m/>
    <m/>
    <m/>
    <m/>
    <m/>
    <m/>
    <m/>
    <m/>
  </r>
  <r>
    <x v="14"/>
    <n v="58602"/>
    <x v="11"/>
    <x v="2"/>
    <x v="40"/>
    <n v="0.77"/>
    <x v="60"/>
    <x v="0"/>
    <m/>
    <m/>
    <m/>
    <m/>
    <m/>
    <m/>
    <m/>
    <m/>
    <m/>
    <m/>
  </r>
  <r>
    <x v="11"/>
    <n v="69341"/>
    <x v="19"/>
    <x v="1"/>
    <x v="39"/>
    <n v="1.28"/>
    <x v="45"/>
    <x v="2"/>
    <m/>
    <m/>
    <m/>
    <m/>
    <m/>
    <m/>
    <m/>
    <m/>
    <m/>
    <m/>
  </r>
  <r>
    <x v="15"/>
    <n v="41536"/>
    <x v="12"/>
    <x v="1"/>
    <x v="57"/>
    <n v="0.93"/>
    <x v="5"/>
    <x v="1"/>
    <m/>
    <m/>
    <m/>
    <m/>
    <m/>
    <m/>
    <m/>
    <m/>
    <m/>
    <m/>
  </r>
  <r>
    <x v="19"/>
    <n v="113309"/>
    <x v="29"/>
    <x v="0"/>
    <x v="49"/>
    <n v="0.79"/>
    <x v="14"/>
    <x v="2"/>
    <m/>
    <m/>
    <m/>
    <m/>
    <m/>
    <m/>
    <m/>
    <m/>
    <m/>
    <m/>
  </r>
  <r>
    <x v="5"/>
    <n v="78787"/>
    <x v="24"/>
    <x v="0"/>
    <x v="30"/>
    <n v="0.51"/>
    <x v="61"/>
    <x v="1"/>
    <m/>
    <m/>
    <m/>
    <m/>
    <m/>
    <m/>
    <m/>
    <m/>
    <m/>
    <m/>
  </r>
  <r>
    <x v="13"/>
    <n v="98577"/>
    <x v="10"/>
    <x v="2"/>
    <x v="17"/>
    <n v="0.6"/>
    <x v="33"/>
    <x v="2"/>
    <m/>
    <m/>
    <m/>
    <m/>
    <m/>
    <m/>
    <m/>
    <m/>
    <m/>
    <m/>
  </r>
  <r>
    <x v="2"/>
    <n v="54826"/>
    <x v="8"/>
    <x v="0"/>
    <x v="58"/>
    <n v="1.05"/>
    <x v="0"/>
    <x v="0"/>
    <m/>
    <m/>
    <m/>
    <m/>
    <m/>
    <m/>
    <m/>
    <m/>
    <m/>
    <m/>
  </r>
  <r>
    <x v="19"/>
    <n v="61890"/>
    <x v="4"/>
    <x v="0"/>
    <x v="59"/>
    <n v="1.24"/>
    <x v="38"/>
    <x v="2"/>
    <m/>
    <m/>
    <m/>
    <m/>
    <m/>
    <m/>
    <m/>
    <m/>
    <m/>
    <m/>
  </r>
  <r>
    <x v="8"/>
    <n v="75500"/>
    <x v="0"/>
    <x v="3"/>
    <x v="60"/>
    <n v="0.7"/>
    <x v="4"/>
    <x v="2"/>
    <m/>
    <m/>
    <m/>
    <m/>
    <m/>
    <m/>
    <m/>
    <m/>
    <m/>
    <m/>
  </r>
  <r>
    <x v="16"/>
    <n v="95128"/>
    <x v="23"/>
    <x v="1"/>
    <x v="45"/>
    <n v="0.9"/>
    <x v="0"/>
    <x v="0"/>
    <m/>
    <m/>
    <m/>
    <m/>
    <m/>
    <m/>
    <m/>
    <m/>
    <m/>
    <m/>
  </r>
  <r>
    <x v="10"/>
    <n v="49975"/>
    <x v="23"/>
    <x v="2"/>
    <x v="25"/>
    <n v="0.68"/>
    <x v="10"/>
    <x v="2"/>
    <m/>
    <m/>
    <m/>
    <m/>
    <m/>
    <m/>
    <m/>
    <m/>
    <m/>
    <m/>
  </r>
  <r>
    <x v="17"/>
    <n v="75893"/>
    <x v="28"/>
    <x v="0"/>
    <x v="3"/>
    <n v="1.47"/>
    <x v="10"/>
    <x v="2"/>
    <m/>
    <m/>
    <m/>
    <m/>
    <m/>
    <m/>
    <m/>
    <m/>
    <m/>
    <m/>
  </r>
  <r>
    <x v="8"/>
    <n v="106619"/>
    <x v="12"/>
    <x v="2"/>
    <x v="61"/>
    <n v="0.95"/>
    <x v="22"/>
    <x v="2"/>
    <m/>
    <m/>
    <m/>
    <m/>
    <m/>
    <m/>
    <m/>
    <m/>
    <m/>
    <m/>
  </r>
  <r>
    <x v="8"/>
    <n v="113310"/>
    <x v="29"/>
    <x v="2"/>
    <x v="30"/>
    <n v="1.04"/>
    <x v="57"/>
    <x v="2"/>
    <m/>
    <m/>
    <m/>
    <m/>
    <m/>
    <m/>
    <m/>
    <m/>
    <m/>
    <m/>
  </r>
  <r>
    <x v="5"/>
    <n v="55611"/>
    <x v="10"/>
    <x v="2"/>
    <x v="40"/>
    <n v="0.98"/>
    <x v="29"/>
    <x v="1"/>
    <m/>
    <m/>
    <m/>
    <m/>
    <m/>
    <m/>
    <m/>
    <m/>
    <m/>
    <m/>
  </r>
  <r>
    <x v="16"/>
    <n v="108131"/>
    <x v="13"/>
    <x v="3"/>
    <x v="16"/>
    <n v="1.23"/>
    <x v="44"/>
    <x v="0"/>
    <m/>
    <m/>
    <m/>
    <m/>
    <m/>
    <m/>
    <m/>
    <m/>
    <m/>
    <m/>
  </r>
  <r>
    <x v="1"/>
    <n v="58625"/>
    <x v="28"/>
    <x v="3"/>
    <x v="51"/>
    <n v="1.36"/>
    <x v="52"/>
    <x v="1"/>
    <m/>
    <m/>
    <m/>
    <m/>
    <m/>
    <m/>
    <m/>
    <m/>
    <m/>
    <m/>
  </r>
  <r>
    <x v="11"/>
    <n v="47087"/>
    <x v="22"/>
    <x v="3"/>
    <x v="62"/>
    <n v="1.37"/>
    <x v="58"/>
    <x v="2"/>
    <m/>
    <m/>
    <m/>
    <m/>
    <m/>
    <m/>
    <m/>
    <m/>
    <m/>
    <m/>
  </r>
  <r>
    <x v="9"/>
    <n v="143942"/>
    <x v="17"/>
    <x v="3"/>
    <x v="39"/>
    <n v="0.88"/>
    <x v="62"/>
    <x v="0"/>
    <m/>
    <m/>
    <m/>
    <m/>
    <m/>
    <m/>
    <m/>
    <m/>
    <m/>
    <m/>
  </r>
  <r>
    <x v="6"/>
    <n v="109973"/>
    <x v="15"/>
    <x v="2"/>
    <x v="55"/>
    <n v="0.67"/>
    <x v="23"/>
    <x v="2"/>
    <m/>
    <m/>
    <m/>
    <m/>
    <m/>
    <m/>
    <m/>
    <m/>
    <m/>
    <m/>
  </r>
  <r>
    <x v="16"/>
    <n v="57598"/>
    <x v="5"/>
    <x v="1"/>
    <x v="48"/>
    <n v="0.89"/>
    <x v="56"/>
    <x v="0"/>
    <m/>
    <m/>
    <m/>
    <m/>
    <m/>
    <m/>
    <m/>
    <m/>
    <m/>
    <m/>
  </r>
  <r>
    <x v="15"/>
    <n v="75379"/>
    <x v="1"/>
    <x v="3"/>
    <x v="48"/>
    <n v="0.69"/>
    <x v="63"/>
    <x v="1"/>
    <m/>
    <m/>
    <m/>
    <m/>
    <m/>
    <m/>
    <m/>
    <m/>
    <m/>
    <m/>
  </r>
  <r>
    <x v="8"/>
    <n v="130441"/>
    <x v="19"/>
    <x v="2"/>
    <x v="4"/>
    <n v="0.62"/>
    <x v="4"/>
    <x v="2"/>
    <m/>
    <m/>
    <m/>
    <m/>
    <m/>
    <m/>
    <m/>
    <m/>
    <m/>
    <m/>
  </r>
  <r>
    <x v="10"/>
    <n v="72668"/>
    <x v="10"/>
    <x v="2"/>
    <x v="46"/>
    <n v="0.5"/>
    <x v="23"/>
    <x v="2"/>
    <m/>
    <m/>
    <m/>
    <m/>
    <m/>
    <m/>
    <m/>
    <m/>
    <m/>
    <m/>
  </r>
  <r>
    <x v="12"/>
    <n v="140641"/>
    <x v="6"/>
    <x v="0"/>
    <x v="29"/>
    <n v="0.92"/>
    <x v="64"/>
    <x v="2"/>
    <m/>
    <m/>
    <m/>
    <m/>
    <m/>
    <m/>
    <m/>
    <m/>
    <m/>
    <m/>
  </r>
  <r>
    <x v="19"/>
    <n v="46014"/>
    <x v="2"/>
    <x v="1"/>
    <x v="44"/>
    <n v="1.05"/>
    <x v="65"/>
    <x v="2"/>
    <m/>
    <m/>
    <m/>
    <m/>
    <m/>
    <m/>
    <m/>
    <m/>
    <m/>
    <m/>
  </r>
  <r>
    <x v="12"/>
    <n v="92438"/>
    <x v="6"/>
    <x v="3"/>
    <x v="63"/>
    <n v="0.6"/>
    <x v="31"/>
    <x v="2"/>
    <m/>
    <m/>
    <m/>
    <m/>
    <m/>
    <m/>
    <m/>
    <m/>
    <m/>
    <m/>
  </r>
  <r>
    <x v="15"/>
    <n v="102240"/>
    <x v="9"/>
    <x v="2"/>
    <x v="42"/>
    <n v="1.3"/>
    <x v="37"/>
    <x v="1"/>
    <m/>
    <m/>
    <m/>
    <m/>
    <m/>
    <m/>
    <m/>
    <m/>
    <m/>
    <m/>
  </r>
  <r>
    <x v="16"/>
    <n v="39686"/>
    <x v="12"/>
    <x v="1"/>
    <x v="64"/>
    <n v="1.08"/>
    <x v="28"/>
    <x v="0"/>
    <m/>
    <m/>
    <m/>
    <m/>
    <m/>
    <m/>
    <m/>
    <m/>
    <m/>
    <m/>
  </r>
  <r>
    <x v="6"/>
    <n v="40754"/>
    <x v="13"/>
    <x v="1"/>
    <x v="33"/>
    <n v="0.62"/>
    <x v="66"/>
    <x v="2"/>
    <m/>
    <m/>
    <m/>
    <m/>
    <m/>
    <m/>
    <m/>
    <m/>
    <m/>
    <m/>
  </r>
  <r>
    <x v="14"/>
    <n v="40699"/>
    <x v="22"/>
    <x v="3"/>
    <x v="24"/>
    <n v="0.56000000000000005"/>
    <x v="67"/>
    <x v="0"/>
    <m/>
    <m/>
    <m/>
    <m/>
    <m/>
    <m/>
    <m/>
    <m/>
    <m/>
    <m/>
  </r>
  <r>
    <x v="8"/>
    <n v="120373"/>
    <x v="2"/>
    <x v="1"/>
    <x v="65"/>
    <n v="1.07"/>
    <x v="68"/>
    <x v="2"/>
    <m/>
    <m/>
    <m/>
    <m/>
    <m/>
    <m/>
    <m/>
    <m/>
    <m/>
    <m/>
  </r>
  <r>
    <x v="3"/>
    <n v="70461"/>
    <x v="18"/>
    <x v="2"/>
    <x v="62"/>
    <n v="0.52"/>
    <x v="46"/>
    <x v="2"/>
    <m/>
    <m/>
    <m/>
    <m/>
    <m/>
    <m/>
    <m/>
    <m/>
    <m/>
    <m/>
  </r>
  <r>
    <x v="8"/>
    <n v="103965"/>
    <x v="0"/>
    <x v="2"/>
    <x v="62"/>
    <n v="1.45"/>
    <x v="12"/>
    <x v="2"/>
    <m/>
    <m/>
    <m/>
    <m/>
    <m/>
    <m/>
    <m/>
    <m/>
    <m/>
    <m/>
  </r>
  <r>
    <x v="1"/>
    <n v="58179"/>
    <x v="25"/>
    <x v="1"/>
    <x v="66"/>
    <n v="1.35"/>
    <x v="1"/>
    <x v="1"/>
    <m/>
    <m/>
    <m/>
    <m/>
    <m/>
    <m/>
    <m/>
    <m/>
    <m/>
    <m/>
  </r>
  <r>
    <x v="15"/>
    <n v="125694"/>
    <x v="18"/>
    <x v="1"/>
    <x v="41"/>
    <n v="0.67"/>
    <x v="34"/>
    <x v="1"/>
    <m/>
    <m/>
    <m/>
    <m/>
    <m/>
    <m/>
    <m/>
    <m/>
    <m/>
    <m/>
  </r>
  <r>
    <x v="17"/>
    <n v="128723"/>
    <x v="9"/>
    <x v="2"/>
    <x v="67"/>
    <n v="1.22"/>
    <x v="69"/>
    <x v="2"/>
    <m/>
    <m/>
    <m/>
    <m/>
    <m/>
    <m/>
    <m/>
    <m/>
    <m/>
    <m/>
  </r>
  <r>
    <x v="4"/>
    <n v="36548"/>
    <x v="20"/>
    <x v="3"/>
    <x v="65"/>
    <n v="1.08"/>
    <x v="64"/>
    <x v="2"/>
    <m/>
    <m/>
    <m/>
    <m/>
    <m/>
    <m/>
    <m/>
    <m/>
    <m/>
    <m/>
  </r>
  <r>
    <x v="1"/>
    <n v="40634"/>
    <x v="1"/>
    <x v="1"/>
    <x v="36"/>
    <n v="0.6"/>
    <x v="7"/>
    <x v="1"/>
    <m/>
    <m/>
    <m/>
    <m/>
    <m/>
    <m/>
    <m/>
    <m/>
    <m/>
    <m/>
  </r>
  <r>
    <x v="8"/>
    <n v="62784"/>
    <x v="6"/>
    <x v="0"/>
    <x v="62"/>
    <n v="1.19"/>
    <x v="8"/>
    <x v="2"/>
    <m/>
    <m/>
    <m/>
    <m/>
    <m/>
    <m/>
    <m/>
    <m/>
    <m/>
    <m/>
  </r>
  <r>
    <x v="18"/>
    <n v="37099"/>
    <x v="4"/>
    <x v="2"/>
    <x v="4"/>
    <n v="0.65"/>
    <x v="70"/>
    <x v="1"/>
    <m/>
    <m/>
    <m/>
    <m/>
    <m/>
    <m/>
    <m/>
    <m/>
    <m/>
    <m/>
  </r>
  <r>
    <x v="13"/>
    <n v="74857"/>
    <x v="3"/>
    <x v="3"/>
    <x v="38"/>
    <n v="1.47"/>
    <x v="26"/>
    <x v="2"/>
    <m/>
    <m/>
    <m/>
    <m/>
    <m/>
    <m/>
    <m/>
    <m/>
    <m/>
    <m/>
  </r>
  <r>
    <x v="12"/>
    <n v="91063"/>
    <x v="16"/>
    <x v="0"/>
    <x v="1"/>
    <n v="0.88"/>
    <x v="48"/>
    <x v="2"/>
    <m/>
    <m/>
    <m/>
    <m/>
    <m/>
    <m/>
    <m/>
    <m/>
    <m/>
    <m/>
  </r>
  <r>
    <x v="0"/>
    <n v="89765"/>
    <x v="7"/>
    <x v="1"/>
    <x v="68"/>
    <n v="1.25"/>
    <x v="40"/>
    <x v="0"/>
    <m/>
    <m/>
    <m/>
    <m/>
    <m/>
    <m/>
    <m/>
    <m/>
    <m/>
    <m/>
  </r>
  <r>
    <x v="6"/>
    <n v="32461"/>
    <x v="11"/>
    <x v="2"/>
    <x v="69"/>
    <n v="0.7"/>
    <x v="38"/>
    <x v="2"/>
    <m/>
    <m/>
    <m/>
    <m/>
    <m/>
    <m/>
    <m/>
    <m/>
    <m/>
    <m/>
  </r>
  <r>
    <x v="7"/>
    <n v="53911"/>
    <x v="3"/>
    <x v="0"/>
    <x v="70"/>
    <n v="1.1599999999999999"/>
    <x v="63"/>
    <x v="1"/>
    <m/>
    <m/>
    <m/>
    <m/>
    <m/>
    <m/>
    <m/>
    <m/>
    <m/>
    <m/>
  </r>
  <r>
    <x v="4"/>
    <n v="50567"/>
    <x v="5"/>
    <x v="3"/>
    <x v="71"/>
    <n v="1.04"/>
    <x v="22"/>
    <x v="2"/>
    <m/>
    <m/>
    <m/>
    <m/>
    <m/>
    <m/>
    <m/>
    <m/>
    <m/>
    <m/>
  </r>
  <r>
    <x v="19"/>
    <n v="52656"/>
    <x v="5"/>
    <x v="3"/>
    <x v="71"/>
    <n v="1.49"/>
    <x v="55"/>
    <x v="2"/>
    <m/>
    <m/>
    <m/>
    <m/>
    <m/>
    <m/>
    <m/>
    <m/>
    <m/>
    <m/>
  </r>
  <r>
    <x v="1"/>
    <n v="77701"/>
    <x v="10"/>
    <x v="3"/>
    <x v="72"/>
    <n v="0.54"/>
    <x v="52"/>
    <x v="1"/>
    <m/>
    <m/>
    <m/>
    <m/>
    <m/>
    <m/>
    <m/>
    <m/>
    <m/>
    <m/>
  </r>
  <r>
    <x v="13"/>
    <n v="137539"/>
    <x v="10"/>
    <x v="2"/>
    <x v="13"/>
    <n v="1.0900000000000001"/>
    <x v="36"/>
    <x v="2"/>
    <m/>
    <m/>
    <m/>
    <m/>
    <m/>
    <m/>
    <m/>
    <m/>
    <m/>
    <m/>
  </r>
  <r>
    <x v="1"/>
    <n v="46087"/>
    <x v="21"/>
    <x v="2"/>
    <x v="68"/>
    <n v="1.06"/>
    <x v="27"/>
    <x v="1"/>
    <m/>
    <m/>
    <m/>
    <m/>
    <m/>
    <m/>
    <m/>
    <m/>
    <m/>
    <m/>
  </r>
  <r>
    <x v="11"/>
    <n v="67861"/>
    <x v="1"/>
    <x v="1"/>
    <x v="65"/>
    <n v="1.02"/>
    <x v="8"/>
    <x v="2"/>
    <m/>
    <m/>
    <m/>
    <m/>
    <m/>
    <m/>
    <m/>
    <m/>
    <m/>
    <m/>
  </r>
  <r>
    <x v="2"/>
    <n v="89792"/>
    <x v="22"/>
    <x v="0"/>
    <x v="73"/>
    <n v="1.29"/>
    <x v="67"/>
    <x v="0"/>
    <m/>
    <m/>
    <m/>
    <m/>
    <m/>
    <m/>
    <m/>
    <m/>
    <m/>
    <m/>
  </r>
  <r>
    <x v="17"/>
    <n v="36397"/>
    <x v="20"/>
    <x v="3"/>
    <x v="74"/>
    <n v="1.02"/>
    <x v="71"/>
    <x v="2"/>
    <m/>
    <m/>
    <m/>
    <m/>
    <m/>
    <m/>
    <m/>
    <m/>
    <m/>
    <m/>
  </r>
  <r>
    <x v="12"/>
    <n v="49715"/>
    <x v="12"/>
    <x v="0"/>
    <x v="71"/>
    <n v="1"/>
    <x v="25"/>
    <x v="2"/>
    <m/>
    <m/>
    <m/>
    <m/>
    <m/>
    <m/>
    <m/>
    <m/>
    <m/>
    <m/>
  </r>
  <r>
    <x v="11"/>
    <n v="122573"/>
    <x v="20"/>
    <x v="2"/>
    <x v="12"/>
    <n v="0.75"/>
    <x v="72"/>
    <x v="2"/>
    <m/>
    <m/>
    <m/>
    <m/>
    <m/>
    <m/>
    <m/>
    <m/>
    <m/>
    <m/>
  </r>
  <r>
    <x v="13"/>
    <n v="133864"/>
    <x v="1"/>
    <x v="0"/>
    <x v="75"/>
    <n v="0.91"/>
    <x v="30"/>
    <x v="2"/>
    <m/>
    <m/>
    <m/>
    <m/>
    <m/>
    <m/>
    <m/>
    <m/>
    <m/>
    <m/>
  </r>
  <r>
    <x v="17"/>
    <n v="48745"/>
    <x v="1"/>
    <x v="0"/>
    <x v="12"/>
    <n v="1.1499999999999999"/>
    <x v="48"/>
    <x v="2"/>
    <m/>
    <m/>
    <m/>
    <m/>
    <m/>
    <m/>
    <m/>
    <m/>
    <m/>
    <m/>
  </r>
  <r>
    <x v="15"/>
    <n v="49446"/>
    <x v="24"/>
    <x v="0"/>
    <x v="4"/>
    <n v="0.61"/>
    <x v="15"/>
    <x v="1"/>
    <m/>
    <m/>
    <m/>
    <m/>
    <m/>
    <m/>
    <m/>
    <m/>
    <m/>
    <m/>
  </r>
  <r>
    <x v="18"/>
    <n v="98673"/>
    <x v="10"/>
    <x v="0"/>
    <x v="76"/>
    <n v="0.91"/>
    <x v="13"/>
    <x v="1"/>
    <m/>
    <m/>
    <m/>
    <m/>
    <m/>
    <m/>
    <m/>
    <m/>
    <m/>
    <m/>
  </r>
  <r>
    <x v="9"/>
    <n v="93870"/>
    <x v="23"/>
    <x v="1"/>
    <x v="72"/>
    <n v="1.02"/>
    <x v="73"/>
    <x v="0"/>
    <m/>
    <m/>
    <m/>
    <m/>
    <m/>
    <m/>
    <m/>
    <m/>
    <m/>
    <m/>
  </r>
  <r>
    <x v="4"/>
    <n v="72951"/>
    <x v="5"/>
    <x v="2"/>
    <x v="50"/>
    <n v="1"/>
    <x v="55"/>
    <x v="2"/>
    <m/>
    <m/>
    <m/>
    <m/>
    <m/>
    <m/>
    <m/>
    <m/>
    <m/>
    <m/>
  </r>
  <r>
    <x v="2"/>
    <n v="37239"/>
    <x v="4"/>
    <x v="2"/>
    <x v="73"/>
    <n v="0.7"/>
    <x v="24"/>
    <x v="0"/>
    <m/>
    <m/>
    <m/>
    <m/>
    <m/>
    <m/>
    <m/>
    <m/>
    <m/>
    <m/>
  </r>
  <r>
    <x v="9"/>
    <n v="149798"/>
    <x v="16"/>
    <x v="1"/>
    <x v="13"/>
    <n v="1.1499999999999999"/>
    <x v="44"/>
    <x v="0"/>
    <m/>
    <m/>
    <m/>
    <m/>
    <m/>
    <m/>
    <m/>
    <m/>
    <m/>
    <m/>
  </r>
  <r>
    <x v="0"/>
    <n v="149052"/>
    <x v="14"/>
    <x v="3"/>
    <x v="17"/>
    <n v="1.38"/>
    <x v="2"/>
    <x v="0"/>
    <m/>
    <m/>
    <m/>
    <m/>
    <m/>
    <m/>
    <m/>
    <m/>
    <m/>
    <m/>
  </r>
  <r>
    <x v="7"/>
    <n v="39587"/>
    <x v="22"/>
    <x v="3"/>
    <x v="50"/>
    <n v="1.21"/>
    <x v="61"/>
    <x v="1"/>
    <m/>
    <m/>
    <m/>
    <m/>
    <m/>
    <m/>
    <m/>
    <m/>
    <m/>
    <m/>
  </r>
  <r>
    <x v="19"/>
    <n v="120301"/>
    <x v="24"/>
    <x v="0"/>
    <x v="77"/>
    <n v="0.64"/>
    <x v="30"/>
    <x v="2"/>
    <m/>
    <m/>
    <m/>
    <m/>
    <m/>
    <m/>
    <m/>
    <m/>
    <m/>
    <m/>
  </r>
  <r>
    <x v="8"/>
    <n v="117969"/>
    <x v="14"/>
    <x v="1"/>
    <x v="78"/>
    <n v="0.5"/>
    <x v="64"/>
    <x v="2"/>
    <m/>
    <m/>
    <m/>
    <m/>
    <m/>
    <m/>
    <m/>
    <m/>
    <m/>
    <m/>
  </r>
  <r>
    <x v="0"/>
    <n v="39528"/>
    <x v="1"/>
    <x v="2"/>
    <x v="79"/>
    <n v="1.26"/>
    <x v="17"/>
    <x v="0"/>
    <m/>
    <m/>
    <m/>
    <m/>
    <m/>
    <m/>
    <m/>
    <m/>
    <m/>
    <m/>
  </r>
  <r>
    <x v="7"/>
    <n v="95677"/>
    <x v="23"/>
    <x v="0"/>
    <x v="33"/>
    <n v="0.63"/>
    <x v="18"/>
    <x v="1"/>
    <m/>
    <m/>
    <m/>
    <m/>
    <m/>
    <m/>
    <m/>
    <m/>
    <m/>
    <m/>
  </r>
  <r>
    <x v="8"/>
    <n v="51778"/>
    <x v="18"/>
    <x v="3"/>
    <x v="36"/>
    <n v="1.48"/>
    <x v="33"/>
    <x v="2"/>
    <m/>
    <m/>
    <m/>
    <m/>
    <m/>
    <m/>
    <m/>
    <m/>
    <m/>
    <m/>
  </r>
  <r>
    <x v="11"/>
    <n v="36816"/>
    <x v="6"/>
    <x v="2"/>
    <x v="66"/>
    <n v="1.32"/>
    <x v="20"/>
    <x v="2"/>
    <m/>
    <m/>
    <m/>
    <m/>
    <m/>
    <m/>
    <m/>
    <m/>
    <m/>
    <m/>
  </r>
  <r>
    <x v="1"/>
    <n v="53567"/>
    <x v="0"/>
    <x v="3"/>
    <x v="36"/>
    <n v="0.79"/>
    <x v="74"/>
    <x v="1"/>
    <m/>
    <m/>
    <m/>
    <m/>
    <m/>
    <m/>
    <m/>
    <m/>
    <m/>
    <m/>
  </r>
  <r>
    <x v="11"/>
    <n v="121170"/>
    <x v="28"/>
    <x v="3"/>
    <x v="54"/>
    <n v="1.46"/>
    <x v="57"/>
    <x v="2"/>
    <m/>
    <m/>
    <m/>
    <m/>
    <m/>
    <m/>
    <m/>
    <m/>
    <m/>
    <m/>
  </r>
  <r>
    <x v="5"/>
    <n v="91944"/>
    <x v="0"/>
    <x v="3"/>
    <x v="73"/>
    <n v="1.18"/>
    <x v="47"/>
    <x v="1"/>
    <m/>
    <m/>
    <m/>
    <m/>
    <m/>
    <m/>
    <m/>
    <m/>
    <m/>
    <m/>
  </r>
  <r>
    <x v="0"/>
    <n v="123905"/>
    <x v="28"/>
    <x v="3"/>
    <x v="80"/>
    <n v="1.1000000000000001"/>
    <x v="17"/>
    <x v="0"/>
    <m/>
    <m/>
    <m/>
    <m/>
    <m/>
    <m/>
    <m/>
    <m/>
    <m/>
    <m/>
  </r>
  <r>
    <x v="7"/>
    <n v="73056"/>
    <x v="3"/>
    <x v="0"/>
    <x v="81"/>
    <n v="1.33"/>
    <x v="75"/>
    <x v="1"/>
    <m/>
    <m/>
    <m/>
    <m/>
    <m/>
    <m/>
    <m/>
    <m/>
    <m/>
    <m/>
  </r>
  <r>
    <x v="16"/>
    <n v="89156"/>
    <x v="17"/>
    <x v="0"/>
    <x v="82"/>
    <n v="1.07"/>
    <x v="76"/>
    <x v="0"/>
    <m/>
    <m/>
    <m/>
    <m/>
    <m/>
    <m/>
    <m/>
    <m/>
    <m/>
    <m/>
  </r>
  <r>
    <x v="19"/>
    <n v="102124"/>
    <x v="13"/>
    <x v="1"/>
    <x v="8"/>
    <n v="1.22"/>
    <x v="26"/>
    <x v="2"/>
    <m/>
    <m/>
    <m/>
    <m/>
    <m/>
    <m/>
    <m/>
    <m/>
    <m/>
    <m/>
  </r>
  <r>
    <x v="15"/>
    <n v="54995"/>
    <x v="25"/>
    <x v="1"/>
    <x v="19"/>
    <n v="1.1000000000000001"/>
    <x v="27"/>
    <x v="1"/>
    <m/>
    <m/>
    <m/>
    <m/>
    <m/>
    <m/>
    <m/>
    <m/>
    <m/>
    <m/>
  </r>
  <r>
    <x v="6"/>
    <n v="100194"/>
    <x v="20"/>
    <x v="2"/>
    <x v="69"/>
    <n v="0.65"/>
    <x v="49"/>
    <x v="2"/>
    <m/>
    <m/>
    <m/>
    <m/>
    <m/>
    <m/>
    <m/>
    <m/>
    <m/>
    <m/>
  </r>
  <r>
    <x v="11"/>
    <n v="97534"/>
    <x v="15"/>
    <x v="2"/>
    <x v="25"/>
    <n v="1.31"/>
    <x v="65"/>
    <x v="2"/>
    <m/>
    <m/>
    <m/>
    <m/>
    <m/>
    <m/>
    <m/>
    <m/>
    <m/>
    <m/>
  </r>
  <r>
    <x v="10"/>
    <n v="123547"/>
    <x v="14"/>
    <x v="2"/>
    <x v="33"/>
    <n v="0.95"/>
    <x v="68"/>
    <x v="2"/>
    <m/>
    <m/>
    <m/>
    <m/>
    <m/>
    <m/>
    <m/>
    <m/>
    <m/>
    <m/>
  </r>
  <r>
    <x v="5"/>
    <n v="111926"/>
    <x v="23"/>
    <x v="3"/>
    <x v="80"/>
    <n v="1.26"/>
    <x v="21"/>
    <x v="1"/>
    <m/>
    <m/>
    <m/>
    <m/>
    <m/>
    <m/>
    <m/>
    <m/>
    <m/>
    <m/>
  </r>
  <r>
    <x v="8"/>
    <n v="107487"/>
    <x v="11"/>
    <x v="3"/>
    <x v="68"/>
    <n v="1.06"/>
    <x v="55"/>
    <x v="2"/>
    <m/>
    <m/>
    <m/>
    <m/>
    <m/>
    <m/>
    <m/>
    <m/>
    <m/>
    <m/>
  </r>
  <r>
    <x v="8"/>
    <n v="107362"/>
    <x v="25"/>
    <x v="0"/>
    <x v="78"/>
    <n v="0.65"/>
    <x v="11"/>
    <x v="2"/>
    <m/>
    <m/>
    <m/>
    <m/>
    <m/>
    <m/>
    <m/>
    <m/>
    <m/>
    <m/>
  </r>
  <r>
    <x v="4"/>
    <n v="44973"/>
    <x v="11"/>
    <x v="0"/>
    <x v="45"/>
    <n v="1.47"/>
    <x v="45"/>
    <x v="2"/>
    <m/>
    <m/>
    <m/>
    <m/>
    <m/>
    <m/>
    <m/>
    <m/>
    <m/>
    <m/>
  </r>
  <r>
    <x v="1"/>
    <n v="30340"/>
    <x v="3"/>
    <x v="0"/>
    <x v="11"/>
    <n v="0.74"/>
    <x v="75"/>
    <x v="1"/>
    <m/>
    <m/>
    <m/>
    <m/>
    <m/>
    <m/>
    <m/>
    <m/>
    <m/>
    <m/>
  </r>
  <r>
    <x v="15"/>
    <n v="104965"/>
    <x v="19"/>
    <x v="3"/>
    <x v="65"/>
    <n v="0.96"/>
    <x v="70"/>
    <x v="1"/>
    <m/>
    <m/>
    <m/>
    <m/>
    <m/>
    <m/>
    <m/>
    <m/>
    <m/>
    <m/>
  </r>
  <r>
    <x v="16"/>
    <n v="74789"/>
    <x v="26"/>
    <x v="0"/>
    <x v="18"/>
    <n v="0.56000000000000005"/>
    <x v="59"/>
    <x v="0"/>
    <m/>
    <m/>
    <m/>
    <m/>
    <m/>
    <m/>
    <m/>
    <m/>
    <m/>
    <m/>
  </r>
  <r>
    <x v="0"/>
    <n v="88954"/>
    <x v="24"/>
    <x v="2"/>
    <x v="30"/>
    <n v="0.94"/>
    <x v="0"/>
    <x v="0"/>
    <m/>
    <m/>
    <m/>
    <m/>
    <m/>
    <m/>
    <m/>
    <m/>
    <m/>
    <m/>
  </r>
  <r>
    <x v="7"/>
    <n v="78456"/>
    <x v="16"/>
    <x v="1"/>
    <x v="67"/>
    <n v="0.94"/>
    <x v="75"/>
    <x v="1"/>
    <m/>
    <m/>
    <m/>
    <m/>
    <m/>
    <m/>
    <m/>
    <m/>
    <m/>
    <m/>
  </r>
  <r>
    <x v="4"/>
    <n v="116698"/>
    <x v="2"/>
    <x v="2"/>
    <x v="57"/>
    <n v="0.63"/>
    <x v="71"/>
    <x v="2"/>
    <m/>
    <m/>
    <m/>
    <m/>
    <m/>
    <m/>
    <m/>
    <m/>
    <m/>
    <m/>
  </r>
  <r>
    <x v="17"/>
    <n v="40886"/>
    <x v="2"/>
    <x v="2"/>
    <x v="22"/>
    <n v="1.33"/>
    <x v="3"/>
    <x v="2"/>
    <m/>
    <m/>
    <m/>
    <m/>
    <m/>
    <m/>
    <m/>
    <m/>
    <m/>
    <m/>
  </r>
  <r>
    <x v="5"/>
    <n v="78511"/>
    <x v="23"/>
    <x v="2"/>
    <x v="79"/>
    <n v="0.56999999999999995"/>
    <x v="41"/>
    <x v="1"/>
    <m/>
    <m/>
    <m/>
    <m/>
    <m/>
    <m/>
    <m/>
    <m/>
    <m/>
    <m/>
  </r>
  <r>
    <x v="5"/>
    <n v="136127"/>
    <x v="22"/>
    <x v="0"/>
    <x v="81"/>
    <n v="0.56999999999999995"/>
    <x v="18"/>
    <x v="1"/>
    <m/>
    <m/>
    <m/>
    <m/>
    <m/>
    <m/>
    <m/>
    <m/>
    <m/>
    <m/>
  </r>
  <r>
    <x v="16"/>
    <n v="45592"/>
    <x v="12"/>
    <x v="3"/>
    <x v="35"/>
    <n v="1.1000000000000001"/>
    <x v="77"/>
    <x v="0"/>
    <m/>
    <m/>
    <m/>
    <m/>
    <m/>
    <m/>
    <m/>
    <m/>
    <m/>
    <m/>
  </r>
  <r>
    <x v="0"/>
    <n v="134859"/>
    <x v="3"/>
    <x v="0"/>
    <x v="29"/>
    <n v="1.3"/>
    <x v="56"/>
    <x v="0"/>
    <m/>
    <m/>
    <m/>
    <m/>
    <m/>
    <m/>
    <m/>
    <m/>
    <m/>
    <m/>
  </r>
  <r>
    <x v="18"/>
    <n v="119678"/>
    <x v="19"/>
    <x v="2"/>
    <x v="83"/>
    <n v="1.01"/>
    <x v="19"/>
    <x v="1"/>
    <m/>
    <m/>
    <m/>
    <m/>
    <m/>
    <m/>
    <m/>
    <m/>
    <m/>
    <m/>
  </r>
  <r>
    <x v="10"/>
    <n v="62402"/>
    <x v="18"/>
    <x v="0"/>
    <x v="36"/>
    <n v="0.81"/>
    <x v="69"/>
    <x v="2"/>
    <m/>
    <m/>
    <m/>
    <m/>
    <m/>
    <m/>
    <m/>
    <m/>
    <m/>
    <m/>
  </r>
  <r>
    <x v="6"/>
    <n v="53478"/>
    <x v="10"/>
    <x v="3"/>
    <x v="84"/>
    <n v="0.75"/>
    <x v="38"/>
    <x v="2"/>
    <m/>
    <m/>
    <m/>
    <m/>
    <m/>
    <m/>
    <m/>
    <m/>
    <m/>
    <m/>
  </r>
  <r>
    <x v="11"/>
    <n v="52005"/>
    <x v="13"/>
    <x v="3"/>
    <x v="3"/>
    <n v="1.37"/>
    <x v="78"/>
    <x v="2"/>
    <m/>
    <m/>
    <m/>
    <m/>
    <m/>
    <m/>
    <m/>
    <m/>
    <m/>
    <m/>
  </r>
  <r>
    <x v="0"/>
    <n v="82389"/>
    <x v="26"/>
    <x v="3"/>
    <x v="71"/>
    <n v="1.1499999999999999"/>
    <x v="40"/>
    <x v="0"/>
    <m/>
    <m/>
    <m/>
    <m/>
    <m/>
    <m/>
    <m/>
    <m/>
    <m/>
    <m/>
  </r>
  <r>
    <x v="17"/>
    <n v="84336"/>
    <x v="23"/>
    <x v="2"/>
    <x v="19"/>
    <n v="0.54"/>
    <x v="64"/>
    <x v="2"/>
    <m/>
    <m/>
    <m/>
    <m/>
    <m/>
    <m/>
    <m/>
    <m/>
    <m/>
    <m/>
  </r>
  <r>
    <x v="4"/>
    <n v="112594"/>
    <x v="19"/>
    <x v="2"/>
    <x v="22"/>
    <n v="0.83"/>
    <x v="72"/>
    <x v="2"/>
    <m/>
    <m/>
    <m/>
    <m/>
    <m/>
    <m/>
    <m/>
    <m/>
    <m/>
    <m/>
  </r>
  <r>
    <x v="0"/>
    <n v="85243"/>
    <x v="27"/>
    <x v="3"/>
    <x v="68"/>
    <n v="0.57999999999999996"/>
    <x v="9"/>
    <x v="0"/>
    <m/>
    <m/>
    <m/>
    <m/>
    <m/>
    <m/>
    <m/>
    <m/>
    <m/>
    <m/>
  </r>
  <r>
    <x v="10"/>
    <n v="85668"/>
    <x v="23"/>
    <x v="0"/>
    <x v="18"/>
    <n v="1.38"/>
    <x v="64"/>
    <x v="2"/>
    <m/>
    <m/>
    <m/>
    <m/>
    <m/>
    <m/>
    <m/>
    <m/>
    <m/>
    <m/>
  </r>
  <r>
    <x v="3"/>
    <n v="82428"/>
    <x v="29"/>
    <x v="3"/>
    <x v="54"/>
    <n v="1.17"/>
    <x v="68"/>
    <x v="2"/>
    <m/>
    <m/>
    <m/>
    <m/>
    <m/>
    <m/>
    <m/>
    <m/>
    <m/>
    <m/>
  </r>
  <r>
    <x v="12"/>
    <n v="107240"/>
    <x v="15"/>
    <x v="3"/>
    <x v="67"/>
    <n v="0.82"/>
    <x v="6"/>
    <x v="2"/>
    <m/>
    <m/>
    <m/>
    <m/>
    <m/>
    <m/>
    <m/>
    <m/>
    <m/>
    <m/>
  </r>
  <r>
    <x v="10"/>
    <n v="120270"/>
    <x v="18"/>
    <x v="0"/>
    <x v="57"/>
    <n v="1.19"/>
    <x v="79"/>
    <x v="2"/>
    <m/>
    <m/>
    <m/>
    <m/>
    <m/>
    <m/>
    <m/>
    <m/>
    <m/>
    <m/>
  </r>
  <r>
    <x v="5"/>
    <n v="74605"/>
    <x v="20"/>
    <x v="0"/>
    <x v="72"/>
    <n v="1.05"/>
    <x v="5"/>
    <x v="1"/>
    <m/>
    <m/>
    <m/>
    <m/>
    <m/>
    <m/>
    <m/>
    <m/>
    <m/>
    <m/>
  </r>
  <r>
    <x v="10"/>
    <n v="140059"/>
    <x v="22"/>
    <x v="3"/>
    <x v="46"/>
    <n v="1.1399999999999999"/>
    <x v="11"/>
    <x v="2"/>
    <m/>
    <m/>
    <m/>
    <m/>
    <m/>
    <m/>
    <m/>
    <m/>
    <m/>
    <m/>
  </r>
  <r>
    <x v="6"/>
    <n v="96155"/>
    <x v="17"/>
    <x v="3"/>
    <x v="71"/>
    <n v="0.86"/>
    <x v="14"/>
    <x v="2"/>
    <m/>
    <m/>
    <m/>
    <m/>
    <m/>
    <m/>
    <m/>
    <m/>
    <m/>
    <m/>
  </r>
  <r>
    <x v="2"/>
    <n v="131971"/>
    <x v="6"/>
    <x v="0"/>
    <x v="72"/>
    <n v="1.36"/>
    <x v="0"/>
    <x v="0"/>
    <m/>
    <m/>
    <m/>
    <m/>
    <m/>
    <m/>
    <m/>
    <m/>
    <m/>
    <m/>
  </r>
  <r>
    <x v="7"/>
    <n v="57413"/>
    <x v="21"/>
    <x v="2"/>
    <x v="85"/>
    <n v="0.9"/>
    <x v="15"/>
    <x v="1"/>
    <m/>
    <m/>
    <m/>
    <m/>
    <m/>
    <m/>
    <m/>
    <m/>
    <m/>
    <m/>
  </r>
  <r>
    <x v="3"/>
    <n v="138125"/>
    <x v="2"/>
    <x v="3"/>
    <x v="54"/>
    <n v="0.94"/>
    <x v="6"/>
    <x v="2"/>
    <m/>
    <m/>
    <m/>
    <m/>
    <m/>
    <m/>
    <m/>
    <m/>
    <m/>
    <m/>
  </r>
  <r>
    <x v="8"/>
    <n v="42602"/>
    <x v="26"/>
    <x v="1"/>
    <x v="56"/>
    <n v="0.73"/>
    <x v="26"/>
    <x v="2"/>
    <m/>
    <m/>
    <m/>
    <m/>
    <m/>
    <m/>
    <m/>
    <m/>
    <m/>
    <m/>
  </r>
  <r>
    <x v="1"/>
    <n v="110070"/>
    <x v="29"/>
    <x v="0"/>
    <x v="86"/>
    <n v="1.35"/>
    <x v="18"/>
    <x v="1"/>
    <m/>
    <m/>
    <m/>
    <m/>
    <m/>
    <m/>
    <m/>
    <m/>
    <m/>
    <m/>
  </r>
  <r>
    <x v="10"/>
    <n v="50954"/>
    <x v="23"/>
    <x v="0"/>
    <x v="8"/>
    <n v="1.38"/>
    <x v="8"/>
    <x v="2"/>
    <m/>
    <m/>
    <m/>
    <m/>
    <m/>
    <m/>
    <m/>
    <m/>
    <m/>
    <m/>
  </r>
  <r>
    <x v="9"/>
    <n v="118691"/>
    <x v="4"/>
    <x v="1"/>
    <x v="27"/>
    <n v="0.89"/>
    <x v="56"/>
    <x v="0"/>
    <m/>
    <m/>
    <m/>
    <m/>
    <m/>
    <m/>
    <m/>
    <m/>
    <m/>
    <m/>
  </r>
  <r>
    <x v="11"/>
    <n v="120453"/>
    <x v="29"/>
    <x v="3"/>
    <x v="32"/>
    <n v="0.81"/>
    <x v="31"/>
    <x v="2"/>
    <m/>
    <m/>
    <m/>
    <m/>
    <m/>
    <m/>
    <m/>
    <m/>
    <m/>
    <m/>
  </r>
  <r>
    <x v="3"/>
    <n v="37214"/>
    <x v="20"/>
    <x v="1"/>
    <x v="79"/>
    <n v="0.72"/>
    <x v="3"/>
    <x v="2"/>
    <m/>
    <m/>
    <m/>
    <m/>
    <m/>
    <m/>
    <m/>
    <m/>
    <m/>
    <m/>
  </r>
  <r>
    <x v="1"/>
    <n v="139269"/>
    <x v="19"/>
    <x v="2"/>
    <x v="87"/>
    <n v="1.45"/>
    <x v="13"/>
    <x v="1"/>
    <m/>
    <m/>
    <m/>
    <m/>
    <m/>
    <m/>
    <m/>
    <m/>
    <m/>
    <m/>
  </r>
  <r>
    <x v="2"/>
    <n v="119285"/>
    <x v="24"/>
    <x v="1"/>
    <x v="69"/>
    <n v="0.63"/>
    <x v="32"/>
    <x v="0"/>
    <m/>
    <m/>
    <m/>
    <m/>
    <m/>
    <m/>
    <m/>
    <m/>
    <m/>
    <m/>
  </r>
  <r>
    <x v="1"/>
    <n v="122268"/>
    <x v="4"/>
    <x v="3"/>
    <x v="18"/>
    <n v="0.81"/>
    <x v="7"/>
    <x v="1"/>
    <m/>
    <m/>
    <m/>
    <m/>
    <m/>
    <m/>
    <m/>
    <m/>
    <m/>
    <m/>
  </r>
  <r>
    <x v="9"/>
    <n v="118791"/>
    <x v="27"/>
    <x v="3"/>
    <x v="10"/>
    <n v="1.21"/>
    <x v="35"/>
    <x v="0"/>
    <m/>
    <m/>
    <m/>
    <m/>
    <m/>
    <m/>
    <m/>
    <m/>
    <m/>
    <m/>
  </r>
  <r>
    <x v="9"/>
    <n v="86408"/>
    <x v="11"/>
    <x v="2"/>
    <x v="11"/>
    <n v="1.1299999999999999"/>
    <x v="80"/>
    <x v="0"/>
    <m/>
    <m/>
    <m/>
    <m/>
    <m/>
    <m/>
    <m/>
    <m/>
    <m/>
    <m/>
  </r>
  <r>
    <x v="4"/>
    <n v="136464"/>
    <x v="28"/>
    <x v="1"/>
    <x v="88"/>
    <n v="0.89"/>
    <x v="48"/>
    <x v="2"/>
    <m/>
    <m/>
    <m/>
    <m/>
    <m/>
    <m/>
    <m/>
    <m/>
    <m/>
    <m/>
  </r>
  <r>
    <x v="13"/>
    <n v="56049"/>
    <x v="12"/>
    <x v="3"/>
    <x v="31"/>
    <n v="1.44"/>
    <x v="23"/>
    <x v="2"/>
    <m/>
    <m/>
    <m/>
    <m/>
    <m/>
    <m/>
    <m/>
    <m/>
    <m/>
    <m/>
  </r>
  <r>
    <x v="13"/>
    <n v="84845"/>
    <x v="0"/>
    <x v="1"/>
    <x v="35"/>
    <n v="0.6"/>
    <x v="43"/>
    <x v="2"/>
    <m/>
    <m/>
    <m/>
    <m/>
    <m/>
    <m/>
    <m/>
    <m/>
    <m/>
    <m/>
  </r>
  <r>
    <x v="13"/>
    <n v="133937"/>
    <x v="9"/>
    <x v="0"/>
    <x v="18"/>
    <n v="1.19"/>
    <x v="46"/>
    <x v="2"/>
    <m/>
    <m/>
    <m/>
    <m/>
    <m/>
    <m/>
    <m/>
    <m/>
    <m/>
    <m/>
  </r>
  <r>
    <x v="5"/>
    <n v="143557"/>
    <x v="2"/>
    <x v="2"/>
    <x v="31"/>
    <n v="1.06"/>
    <x v="74"/>
    <x v="1"/>
    <m/>
    <m/>
    <m/>
    <m/>
    <m/>
    <m/>
    <m/>
    <m/>
    <m/>
    <m/>
  </r>
  <r>
    <x v="12"/>
    <n v="32994"/>
    <x v="13"/>
    <x v="1"/>
    <x v="9"/>
    <n v="1.27"/>
    <x v="33"/>
    <x v="2"/>
    <m/>
    <m/>
    <m/>
    <m/>
    <m/>
    <m/>
    <m/>
    <m/>
    <m/>
    <m/>
  </r>
  <r>
    <x v="16"/>
    <n v="54351"/>
    <x v="22"/>
    <x v="1"/>
    <x v="35"/>
    <n v="0.6"/>
    <x v="58"/>
    <x v="2"/>
    <m/>
    <m/>
    <m/>
    <m/>
    <m/>
    <m/>
    <m/>
    <m/>
    <m/>
    <m/>
  </r>
  <r>
    <x v="7"/>
    <n v="74816"/>
    <x v="26"/>
    <x v="0"/>
    <x v="73"/>
    <n v="0.74"/>
    <x v="70"/>
    <x v="1"/>
    <m/>
    <m/>
    <m/>
    <m/>
    <m/>
    <m/>
    <m/>
    <m/>
    <m/>
    <m/>
  </r>
  <r>
    <x v="4"/>
    <n v="103788"/>
    <x v="25"/>
    <x v="3"/>
    <x v="71"/>
    <n v="1.1100000000000001"/>
    <x v="64"/>
    <x v="2"/>
    <m/>
    <m/>
    <m/>
    <m/>
    <m/>
    <m/>
    <m/>
    <m/>
    <m/>
    <m/>
  </r>
  <r>
    <x v="7"/>
    <n v="40103"/>
    <x v="27"/>
    <x v="3"/>
    <x v="4"/>
    <n v="0.56999999999999995"/>
    <x v="41"/>
    <x v="1"/>
    <m/>
    <m/>
    <m/>
    <m/>
    <m/>
    <m/>
    <m/>
    <m/>
    <m/>
    <m/>
  </r>
  <r>
    <x v="19"/>
    <n v="34458"/>
    <x v="27"/>
    <x v="2"/>
    <x v="43"/>
    <n v="0.93"/>
    <x v="8"/>
    <x v="2"/>
    <m/>
    <m/>
    <m/>
    <m/>
    <m/>
    <m/>
    <m/>
    <m/>
    <m/>
    <m/>
  </r>
  <r>
    <x v="2"/>
    <n v="59493"/>
    <x v="6"/>
    <x v="3"/>
    <x v="27"/>
    <n v="0.61"/>
    <x v="81"/>
    <x v="0"/>
    <m/>
    <m/>
    <m/>
    <m/>
    <m/>
    <m/>
    <m/>
    <m/>
    <m/>
    <m/>
  </r>
  <r>
    <x v="12"/>
    <n v="93059"/>
    <x v="17"/>
    <x v="2"/>
    <x v="46"/>
    <n v="0.79"/>
    <x v="71"/>
    <x v="2"/>
    <m/>
    <m/>
    <m/>
    <m/>
    <m/>
    <m/>
    <m/>
    <m/>
    <m/>
    <m/>
  </r>
  <r>
    <x v="13"/>
    <n v="121683"/>
    <x v="3"/>
    <x v="1"/>
    <x v="89"/>
    <n v="1.01"/>
    <x v="26"/>
    <x v="2"/>
    <m/>
    <m/>
    <m/>
    <m/>
    <m/>
    <m/>
    <m/>
    <m/>
    <m/>
    <m/>
  </r>
  <r>
    <x v="11"/>
    <n v="46322"/>
    <x v="12"/>
    <x v="1"/>
    <x v="90"/>
    <n v="1.1100000000000001"/>
    <x v="46"/>
    <x v="2"/>
    <m/>
    <m/>
    <m/>
    <m/>
    <m/>
    <m/>
    <m/>
    <m/>
    <m/>
    <m/>
  </r>
  <r>
    <x v="3"/>
    <n v="100293"/>
    <x v="20"/>
    <x v="3"/>
    <x v="21"/>
    <n v="0.52"/>
    <x v="49"/>
    <x v="2"/>
    <m/>
    <m/>
    <m/>
    <m/>
    <m/>
    <m/>
    <m/>
    <m/>
    <m/>
    <m/>
  </r>
  <r>
    <x v="16"/>
    <n v="79298"/>
    <x v="20"/>
    <x v="3"/>
    <x v="20"/>
    <n v="1.46"/>
    <x v="0"/>
    <x v="0"/>
    <m/>
    <m/>
    <m/>
    <m/>
    <m/>
    <m/>
    <m/>
    <m/>
    <m/>
    <m/>
  </r>
  <r>
    <x v="2"/>
    <n v="73937"/>
    <x v="0"/>
    <x v="1"/>
    <x v="75"/>
    <n v="0.62"/>
    <x v="0"/>
    <x v="0"/>
    <m/>
    <m/>
    <m/>
    <m/>
    <m/>
    <m/>
    <m/>
    <m/>
    <m/>
    <m/>
  </r>
  <r>
    <x v="11"/>
    <n v="146464"/>
    <x v="12"/>
    <x v="2"/>
    <x v="65"/>
    <n v="0.56999999999999995"/>
    <x v="78"/>
    <x v="2"/>
    <m/>
    <m/>
    <m/>
    <m/>
    <m/>
    <m/>
    <m/>
    <m/>
    <m/>
    <m/>
  </r>
  <r>
    <x v="14"/>
    <n v="106274"/>
    <x v="5"/>
    <x v="2"/>
    <x v="64"/>
    <n v="1.29"/>
    <x v="2"/>
    <x v="0"/>
    <m/>
    <m/>
    <m/>
    <m/>
    <m/>
    <m/>
    <m/>
    <m/>
    <m/>
    <m/>
  </r>
  <r>
    <x v="17"/>
    <n v="32581"/>
    <x v="22"/>
    <x v="1"/>
    <x v="3"/>
    <n v="1.04"/>
    <x v="66"/>
    <x v="2"/>
    <m/>
    <m/>
    <m/>
    <m/>
    <m/>
    <m/>
    <m/>
    <m/>
    <m/>
    <m/>
  </r>
  <r>
    <x v="16"/>
    <n v="142309"/>
    <x v="3"/>
    <x v="0"/>
    <x v="31"/>
    <n v="0.56999999999999995"/>
    <x v="77"/>
    <x v="0"/>
    <m/>
    <m/>
    <m/>
    <m/>
    <m/>
    <m/>
    <m/>
    <m/>
    <m/>
    <m/>
  </r>
  <r>
    <x v="19"/>
    <n v="85612"/>
    <x v="6"/>
    <x v="2"/>
    <x v="18"/>
    <n v="0.56999999999999995"/>
    <x v="45"/>
    <x v="2"/>
    <m/>
    <m/>
    <m/>
    <m/>
    <m/>
    <m/>
    <m/>
    <m/>
    <m/>
    <m/>
  </r>
  <r>
    <x v="16"/>
    <n v="65710"/>
    <x v="9"/>
    <x v="3"/>
    <x v="3"/>
    <n v="0.66"/>
    <x v="39"/>
    <x v="0"/>
    <m/>
    <m/>
    <m/>
    <m/>
    <m/>
    <m/>
    <m/>
    <m/>
    <m/>
    <m/>
  </r>
  <r>
    <x v="0"/>
    <n v="46999"/>
    <x v="27"/>
    <x v="0"/>
    <x v="32"/>
    <n v="1.1000000000000001"/>
    <x v="24"/>
    <x v="0"/>
    <m/>
    <m/>
    <m/>
    <m/>
    <m/>
    <m/>
    <m/>
    <m/>
    <m/>
    <m/>
  </r>
  <r>
    <x v="9"/>
    <n v="142701"/>
    <x v="22"/>
    <x v="1"/>
    <x v="75"/>
    <n v="1.1399999999999999"/>
    <x v="81"/>
    <x v="0"/>
    <m/>
    <m/>
    <m/>
    <m/>
    <m/>
    <m/>
    <m/>
    <m/>
    <m/>
    <m/>
  </r>
  <r>
    <x v="7"/>
    <n v="54031"/>
    <x v="4"/>
    <x v="1"/>
    <x v="35"/>
    <n v="1.29"/>
    <x v="52"/>
    <x v="1"/>
    <m/>
    <m/>
    <m/>
    <m/>
    <m/>
    <m/>
    <m/>
    <m/>
    <m/>
    <m/>
  </r>
  <r>
    <x v="3"/>
    <n v="115679"/>
    <x v="22"/>
    <x v="1"/>
    <x v="41"/>
    <n v="0.7"/>
    <x v="50"/>
    <x v="2"/>
    <m/>
    <m/>
    <m/>
    <m/>
    <m/>
    <m/>
    <m/>
    <m/>
    <m/>
    <m/>
  </r>
  <r>
    <x v="6"/>
    <n v="63724"/>
    <x v="27"/>
    <x v="1"/>
    <x v="91"/>
    <n v="1.36"/>
    <x v="58"/>
    <x v="2"/>
    <m/>
    <m/>
    <m/>
    <m/>
    <m/>
    <m/>
    <m/>
    <m/>
    <m/>
    <m/>
  </r>
  <r>
    <x v="10"/>
    <n v="131154"/>
    <x v="20"/>
    <x v="0"/>
    <x v="9"/>
    <n v="1.26"/>
    <x v="33"/>
    <x v="2"/>
    <m/>
    <m/>
    <m/>
    <m/>
    <m/>
    <m/>
    <m/>
    <m/>
    <m/>
    <m/>
  </r>
  <r>
    <x v="6"/>
    <n v="100014"/>
    <x v="17"/>
    <x v="3"/>
    <x v="90"/>
    <n v="1.21"/>
    <x v="36"/>
    <x v="2"/>
    <m/>
    <m/>
    <m/>
    <m/>
    <m/>
    <m/>
    <m/>
    <m/>
    <m/>
    <m/>
  </r>
  <r>
    <x v="18"/>
    <n v="35232"/>
    <x v="10"/>
    <x v="2"/>
    <x v="92"/>
    <n v="1.0900000000000001"/>
    <x v="19"/>
    <x v="1"/>
    <m/>
    <m/>
    <m/>
    <m/>
    <m/>
    <m/>
    <m/>
    <m/>
    <m/>
    <m/>
  </r>
  <r>
    <x v="13"/>
    <n v="114425"/>
    <x v="20"/>
    <x v="1"/>
    <x v="24"/>
    <n v="1.1399999999999999"/>
    <x v="22"/>
    <x v="2"/>
    <m/>
    <m/>
    <m/>
    <m/>
    <m/>
    <m/>
    <m/>
    <m/>
    <m/>
    <m/>
  </r>
  <r>
    <x v="1"/>
    <n v="116795"/>
    <x v="16"/>
    <x v="2"/>
    <x v="93"/>
    <n v="1.46"/>
    <x v="82"/>
    <x v="1"/>
    <m/>
    <m/>
    <m/>
    <m/>
    <m/>
    <m/>
    <m/>
    <m/>
    <m/>
    <m/>
  </r>
  <r>
    <x v="9"/>
    <n v="53559"/>
    <x v="0"/>
    <x v="3"/>
    <x v="60"/>
    <n v="0.57999999999999996"/>
    <x v="0"/>
    <x v="0"/>
    <m/>
    <m/>
    <m/>
    <m/>
    <m/>
    <m/>
    <m/>
    <m/>
    <m/>
    <m/>
  </r>
  <r>
    <x v="2"/>
    <n v="94418"/>
    <x v="17"/>
    <x v="0"/>
    <x v="45"/>
    <n v="1.4"/>
    <x v="83"/>
    <x v="0"/>
    <m/>
    <m/>
    <m/>
    <m/>
    <m/>
    <m/>
    <m/>
    <m/>
    <m/>
    <m/>
  </r>
  <r>
    <x v="12"/>
    <n v="117954"/>
    <x v="3"/>
    <x v="1"/>
    <x v="3"/>
    <n v="0.56999999999999995"/>
    <x v="48"/>
    <x v="2"/>
    <m/>
    <m/>
    <m/>
    <m/>
    <m/>
    <m/>
    <m/>
    <m/>
    <m/>
    <m/>
  </r>
  <r>
    <x v="6"/>
    <n v="105831"/>
    <x v="4"/>
    <x v="0"/>
    <x v="93"/>
    <n v="0.83"/>
    <x v="71"/>
    <x v="2"/>
    <m/>
    <m/>
    <m/>
    <m/>
    <m/>
    <m/>
    <m/>
    <m/>
    <m/>
    <m/>
  </r>
  <r>
    <x v="8"/>
    <n v="48814"/>
    <x v="6"/>
    <x v="3"/>
    <x v="61"/>
    <n v="0.57999999999999996"/>
    <x v="78"/>
    <x v="2"/>
    <m/>
    <m/>
    <m/>
    <m/>
    <m/>
    <m/>
    <m/>
    <m/>
    <m/>
    <m/>
  </r>
  <r>
    <x v="1"/>
    <n v="147904"/>
    <x v="24"/>
    <x v="2"/>
    <x v="76"/>
    <n v="0.81"/>
    <x v="75"/>
    <x v="1"/>
    <m/>
    <m/>
    <m/>
    <m/>
    <m/>
    <m/>
    <m/>
    <m/>
    <m/>
    <m/>
  </r>
  <r>
    <x v="17"/>
    <n v="116694"/>
    <x v="7"/>
    <x v="2"/>
    <x v="38"/>
    <n v="1.39"/>
    <x v="84"/>
    <x v="2"/>
    <m/>
    <m/>
    <m/>
    <m/>
    <m/>
    <m/>
    <m/>
    <m/>
    <m/>
    <m/>
  </r>
  <r>
    <x v="0"/>
    <n v="74739"/>
    <x v="27"/>
    <x v="2"/>
    <x v="72"/>
    <n v="0.63"/>
    <x v="73"/>
    <x v="0"/>
    <m/>
    <m/>
    <m/>
    <m/>
    <m/>
    <m/>
    <m/>
    <m/>
    <m/>
    <m/>
  </r>
  <r>
    <x v="5"/>
    <n v="110357"/>
    <x v="22"/>
    <x v="2"/>
    <x v="67"/>
    <n v="0.67"/>
    <x v="75"/>
    <x v="1"/>
    <m/>
    <m/>
    <m/>
    <m/>
    <m/>
    <m/>
    <m/>
    <m/>
    <m/>
    <m/>
  </r>
  <r>
    <x v="11"/>
    <n v="44079"/>
    <x v="27"/>
    <x v="2"/>
    <x v="94"/>
    <n v="1.23"/>
    <x v="68"/>
    <x v="2"/>
    <m/>
    <m/>
    <m/>
    <m/>
    <m/>
    <m/>
    <m/>
    <m/>
    <m/>
    <m/>
  </r>
  <r>
    <x v="10"/>
    <n v="103648"/>
    <x v="11"/>
    <x v="3"/>
    <x v="33"/>
    <n v="0.73"/>
    <x v="6"/>
    <x v="2"/>
    <m/>
    <m/>
    <m/>
    <m/>
    <m/>
    <m/>
    <m/>
    <m/>
    <m/>
    <m/>
  </r>
  <r>
    <x v="10"/>
    <n v="143892"/>
    <x v="28"/>
    <x v="0"/>
    <x v="34"/>
    <n v="1.2"/>
    <x v="33"/>
    <x v="2"/>
    <m/>
    <m/>
    <m/>
    <m/>
    <m/>
    <m/>
    <m/>
    <m/>
    <m/>
    <m/>
  </r>
  <r>
    <x v="12"/>
    <n v="135296"/>
    <x v="16"/>
    <x v="2"/>
    <x v="53"/>
    <n v="1.17"/>
    <x v="78"/>
    <x v="2"/>
    <m/>
    <m/>
    <m/>
    <m/>
    <m/>
    <m/>
    <m/>
    <m/>
    <m/>
    <m/>
  </r>
  <r>
    <x v="14"/>
    <n v="66639"/>
    <x v="29"/>
    <x v="0"/>
    <x v="59"/>
    <n v="1.27"/>
    <x v="17"/>
    <x v="0"/>
    <m/>
    <m/>
    <m/>
    <m/>
    <m/>
    <m/>
    <m/>
    <m/>
    <m/>
    <m/>
  </r>
  <r>
    <x v="13"/>
    <n v="105476"/>
    <x v="1"/>
    <x v="3"/>
    <x v="36"/>
    <n v="1.43"/>
    <x v="84"/>
    <x v="2"/>
    <m/>
    <m/>
    <m/>
    <m/>
    <m/>
    <m/>
    <m/>
    <m/>
    <m/>
    <m/>
  </r>
  <r>
    <x v="10"/>
    <n v="71830"/>
    <x v="9"/>
    <x v="0"/>
    <x v="49"/>
    <n v="1.1499999999999999"/>
    <x v="48"/>
    <x v="2"/>
    <m/>
    <m/>
    <m/>
    <m/>
    <m/>
    <m/>
    <m/>
    <m/>
    <m/>
    <m/>
  </r>
  <r>
    <x v="3"/>
    <n v="129555"/>
    <x v="4"/>
    <x v="2"/>
    <x v="90"/>
    <n v="1.29"/>
    <x v="6"/>
    <x v="2"/>
    <m/>
    <m/>
    <m/>
    <m/>
    <m/>
    <m/>
    <m/>
    <m/>
    <m/>
    <m/>
  </r>
  <r>
    <x v="8"/>
    <n v="91576"/>
    <x v="29"/>
    <x v="1"/>
    <x v="24"/>
    <n v="1.1000000000000001"/>
    <x v="46"/>
    <x v="2"/>
    <m/>
    <m/>
    <m/>
    <m/>
    <m/>
    <m/>
    <m/>
    <m/>
    <m/>
    <m/>
  </r>
  <r>
    <x v="12"/>
    <n v="137524"/>
    <x v="2"/>
    <x v="1"/>
    <x v="72"/>
    <n v="0.56000000000000005"/>
    <x v="85"/>
    <x v="1"/>
    <m/>
    <m/>
    <m/>
    <m/>
    <m/>
    <m/>
    <m/>
    <m/>
    <m/>
    <m/>
  </r>
  <r>
    <x v="14"/>
    <n v="148360"/>
    <x v="14"/>
    <x v="2"/>
    <x v="0"/>
    <n v="0.84"/>
    <x v="2"/>
    <x v="0"/>
    <m/>
    <m/>
    <m/>
    <m/>
    <m/>
    <m/>
    <m/>
    <m/>
    <m/>
    <m/>
  </r>
  <r>
    <x v="1"/>
    <n v="55464"/>
    <x v="15"/>
    <x v="1"/>
    <x v="18"/>
    <n v="1.4"/>
    <x v="41"/>
    <x v="1"/>
    <m/>
    <m/>
    <m/>
    <m/>
    <m/>
    <m/>
    <m/>
    <m/>
    <m/>
    <m/>
  </r>
  <r>
    <x v="12"/>
    <n v="85798"/>
    <x v="26"/>
    <x v="2"/>
    <x v="93"/>
    <n v="0.6"/>
    <x v="68"/>
    <x v="2"/>
    <m/>
    <m/>
    <m/>
    <m/>
    <m/>
    <m/>
    <m/>
    <m/>
    <m/>
    <m/>
  </r>
  <r>
    <x v="1"/>
    <n v="133243"/>
    <x v="8"/>
    <x v="0"/>
    <x v="17"/>
    <n v="1.07"/>
    <x v="54"/>
    <x v="1"/>
    <m/>
    <m/>
    <m/>
    <m/>
    <m/>
    <m/>
    <m/>
    <m/>
    <m/>
    <m/>
  </r>
  <r>
    <x v="5"/>
    <n v="84710"/>
    <x v="20"/>
    <x v="3"/>
    <x v="53"/>
    <n v="1.1100000000000001"/>
    <x v="37"/>
    <x v="1"/>
    <m/>
    <m/>
    <m/>
    <m/>
    <m/>
    <m/>
    <m/>
    <m/>
    <m/>
    <m/>
  </r>
  <r>
    <x v="10"/>
    <n v="38848"/>
    <x v="22"/>
    <x v="1"/>
    <x v="59"/>
    <n v="0.98"/>
    <x v="4"/>
    <x v="2"/>
    <m/>
    <m/>
    <m/>
    <m/>
    <m/>
    <m/>
    <m/>
    <m/>
    <m/>
    <m/>
  </r>
  <r>
    <x v="7"/>
    <n v="95942"/>
    <x v="19"/>
    <x v="0"/>
    <x v="49"/>
    <n v="1.44"/>
    <x v="61"/>
    <x v="1"/>
    <m/>
    <m/>
    <m/>
    <m/>
    <m/>
    <m/>
    <m/>
    <m/>
    <m/>
    <m/>
  </r>
  <r>
    <x v="13"/>
    <n v="45086"/>
    <x v="5"/>
    <x v="2"/>
    <x v="57"/>
    <n v="1.1499999999999999"/>
    <x v="65"/>
    <x v="2"/>
    <m/>
    <m/>
    <m/>
    <m/>
    <m/>
    <m/>
    <m/>
    <m/>
    <m/>
    <m/>
  </r>
  <r>
    <x v="15"/>
    <n v="39343"/>
    <x v="3"/>
    <x v="1"/>
    <x v="66"/>
    <n v="0.72"/>
    <x v="54"/>
    <x v="1"/>
    <m/>
    <m/>
    <m/>
    <m/>
    <m/>
    <m/>
    <m/>
    <m/>
    <m/>
    <m/>
  </r>
  <r>
    <x v="19"/>
    <n v="89550"/>
    <x v="18"/>
    <x v="3"/>
    <x v="78"/>
    <n v="1.34"/>
    <x v="86"/>
    <x v="2"/>
    <m/>
    <m/>
    <m/>
    <m/>
    <m/>
    <m/>
    <m/>
    <m/>
    <m/>
    <m/>
  </r>
  <r>
    <x v="13"/>
    <n v="70317"/>
    <x v="7"/>
    <x v="2"/>
    <x v="58"/>
    <n v="0.51"/>
    <x v="26"/>
    <x v="2"/>
    <m/>
    <m/>
    <m/>
    <m/>
    <m/>
    <m/>
    <m/>
    <m/>
    <m/>
    <m/>
  </r>
  <r>
    <x v="4"/>
    <n v="102055"/>
    <x v="27"/>
    <x v="3"/>
    <x v="30"/>
    <n v="1.33"/>
    <x v="31"/>
    <x v="2"/>
    <m/>
    <m/>
    <m/>
    <m/>
    <m/>
    <m/>
    <m/>
    <m/>
    <m/>
    <m/>
  </r>
  <r>
    <x v="12"/>
    <n v="145660"/>
    <x v="27"/>
    <x v="2"/>
    <x v="70"/>
    <n v="1.5"/>
    <x v="48"/>
    <x v="2"/>
    <m/>
    <m/>
    <m/>
    <m/>
    <m/>
    <m/>
    <m/>
    <m/>
    <m/>
    <m/>
  </r>
  <r>
    <x v="12"/>
    <n v="64785"/>
    <x v="7"/>
    <x v="2"/>
    <x v="95"/>
    <n v="0.94"/>
    <x v="69"/>
    <x v="2"/>
    <m/>
    <m/>
    <m/>
    <m/>
    <m/>
    <m/>
    <m/>
    <m/>
    <m/>
    <m/>
  </r>
  <r>
    <x v="13"/>
    <n v="70149"/>
    <x v="7"/>
    <x v="0"/>
    <x v="8"/>
    <n v="0.76"/>
    <x v="6"/>
    <x v="2"/>
    <m/>
    <m/>
    <m/>
    <m/>
    <m/>
    <m/>
    <m/>
    <m/>
    <m/>
    <m/>
  </r>
  <r>
    <x v="6"/>
    <n v="100122"/>
    <x v="29"/>
    <x v="1"/>
    <x v="85"/>
    <n v="1.2"/>
    <x v="84"/>
    <x v="2"/>
    <m/>
    <m/>
    <m/>
    <m/>
    <m/>
    <m/>
    <m/>
    <m/>
    <m/>
    <m/>
  </r>
  <r>
    <x v="8"/>
    <n v="46524"/>
    <x v="12"/>
    <x v="2"/>
    <x v="24"/>
    <n v="0.72"/>
    <x v="87"/>
    <x v="2"/>
    <m/>
    <m/>
    <m/>
    <m/>
    <m/>
    <m/>
    <m/>
    <m/>
    <m/>
    <m/>
  </r>
  <r>
    <x v="6"/>
    <n v="82347"/>
    <x v="0"/>
    <x v="0"/>
    <x v="90"/>
    <n v="0.83"/>
    <x v="36"/>
    <x v="2"/>
    <m/>
    <m/>
    <m/>
    <m/>
    <m/>
    <m/>
    <m/>
    <m/>
    <m/>
    <m/>
  </r>
  <r>
    <x v="1"/>
    <n v="71743"/>
    <x v="25"/>
    <x v="1"/>
    <x v="54"/>
    <n v="0.53"/>
    <x v="18"/>
    <x v="1"/>
    <m/>
    <m/>
    <m/>
    <m/>
    <m/>
    <m/>
    <m/>
    <m/>
    <m/>
    <m/>
  </r>
  <r>
    <x v="8"/>
    <n v="118302"/>
    <x v="29"/>
    <x v="2"/>
    <x v="51"/>
    <n v="1.17"/>
    <x v="12"/>
    <x v="2"/>
    <m/>
    <m/>
    <m/>
    <m/>
    <m/>
    <m/>
    <m/>
    <m/>
    <m/>
    <m/>
  </r>
  <r>
    <x v="4"/>
    <n v="96706"/>
    <x v="10"/>
    <x v="1"/>
    <x v="65"/>
    <n v="1.1599999999999999"/>
    <x v="68"/>
    <x v="2"/>
    <m/>
    <m/>
    <m/>
    <m/>
    <m/>
    <m/>
    <m/>
    <m/>
    <m/>
    <m/>
  </r>
  <r>
    <x v="13"/>
    <n v="95780"/>
    <x v="26"/>
    <x v="0"/>
    <x v="66"/>
    <n v="0.63"/>
    <x v="55"/>
    <x v="2"/>
    <m/>
    <m/>
    <m/>
    <m/>
    <m/>
    <m/>
    <m/>
    <m/>
    <m/>
    <m/>
  </r>
  <r>
    <x v="3"/>
    <n v="78899"/>
    <x v="5"/>
    <x v="0"/>
    <x v="54"/>
    <n v="0.79"/>
    <x v="55"/>
    <x v="2"/>
    <m/>
    <m/>
    <m/>
    <m/>
    <m/>
    <m/>
    <m/>
    <m/>
    <m/>
    <m/>
  </r>
  <r>
    <x v="17"/>
    <n v="92559"/>
    <x v="0"/>
    <x v="2"/>
    <x v="76"/>
    <n v="1.44"/>
    <x v="87"/>
    <x v="2"/>
    <m/>
    <m/>
    <m/>
    <m/>
    <m/>
    <m/>
    <m/>
    <m/>
    <m/>
    <m/>
  </r>
  <r>
    <x v="0"/>
    <n v="140168"/>
    <x v="14"/>
    <x v="1"/>
    <x v="79"/>
    <n v="0.63"/>
    <x v="76"/>
    <x v="0"/>
    <m/>
    <m/>
    <m/>
    <m/>
    <m/>
    <m/>
    <m/>
    <m/>
    <m/>
    <m/>
  </r>
  <r>
    <x v="3"/>
    <n v="143857"/>
    <x v="0"/>
    <x v="2"/>
    <x v="91"/>
    <n v="1.0900000000000001"/>
    <x v="49"/>
    <x v="2"/>
    <m/>
    <m/>
    <m/>
    <m/>
    <m/>
    <m/>
    <m/>
    <m/>
    <m/>
    <m/>
  </r>
  <r>
    <x v="9"/>
    <n v="37189"/>
    <x v="3"/>
    <x v="2"/>
    <x v="70"/>
    <n v="1.49"/>
    <x v="0"/>
    <x v="0"/>
    <m/>
    <m/>
    <m/>
    <m/>
    <m/>
    <m/>
    <m/>
    <m/>
    <m/>
    <m/>
  </r>
  <r>
    <x v="6"/>
    <n v="91158"/>
    <x v="3"/>
    <x v="2"/>
    <x v="71"/>
    <n v="0.82"/>
    <x v="64"/>
    <x v="2"/>
    <m/>
    <m/>
    <m/>
    <m/>
    <m/>
    <m/>
    <m/>
    <m/>
    <m/>
    <m/>
  </r>
  <r>
    <x v="2"/>
    <n v="52394"/>
    <x v="3"/>
    <x v="1"/>
    <x v="69"/>
    <n v="0.5"/>
    <x v="51"/>
    <x v="0"/>
    <m/>
    <m/>
    <m/>
    <m/>
    <m/>
    <m/>
    <m/>
    <m/>
    <m/>
    <m/>
  </r>
  <r>
    <x v="18"/>
    <n v="50245"/>
    <x v="14"/>
    <x v="3"/>
    <x v="44"/>
    <n v="0.89"/>
    <x v="37"/>
    <x v="1"/>
    <m/>
    <m/>
    <m/>
    <m/>
    <m/>
    <m/>
    <m/>
    <m/>
    <m/>
    <m/>
  </r>
  <r>
    <x v="13"/>
    <n v="48624"/>
    <x v="15"/>
    <x v="2"/>
    <x v="48"/>
    <n v="0.82"/>
    <x v="11"/>
    <x v="2"/>
    <m/>
    <m/>
    <m/>
    <m/>
    <m/>
    <m/>
    <m/>
    <m/>
    <m/>
    <m/>
  </r>
  <r>
    <x v="5"/>
    <n v="46626"/>
    <x v="20"/>
    <x v="1"/>
    <x v="38"/>
    <n v="0.59"/>
    <x v="88"/>
    <x v="1"/>
    <m/>
    <m/>
    <m/>
    <m/>
    <m/>
    <m/>
    <m/>
    <m/>
    <m/>
    <m/>
  </r>
  <r>
    <x v="7"/>
    <n v="74950"/>
    <x v="26"/>
    <x v="3"/>
    <x v="66"/>
    <n v="1.27"/>
    <x v="13"/>
    <x v="1"/>
    <m/>
    <m/>
    <m/>
    <m/>
    <m/>
    <m/>
    <m/>
    <m/>
    <m/>
    <m/>
  </r>
  <r>
    <x v="2"/>
    <n v="130211"/>
    <x v="22"/>
    <x v="3"/>
    <x v="14"/>
    <n v="0.65"/>
    <x v="89"/>
    <x v="0"/>
    <m/>
    <m/>
    <m/>
    <m/>
    <m/>
    <m/>
    <m/>
    <m/>
    <m/>
    <m/>
  </r>
  <r>
    <x v="17"/>
    <n v="117460"/>
    <x v="3"/>
    <x v="2"/>
    <x v="71"/>
    <n v="1.42"/>
    <x v="66"/>
    <x v="2"/>
    <m/>
    <m/>
    <m/>
    <m/>
    <m/>
    <m/>
    <m/>
    <m/>
    <m/>
    <m/>
  </r>
  <r>
    <x v="16"/>
    <n v="115489"/>
    <x v="9"/>
    <x v="0"/>
    <x v="68"/>
    <n v="0.85"/>
    <x v="40"/>
    <x v="0"/>
    <m/>
    <m/>
    <m/>
    <m/>
    <m/>
    <m/>
    <m/>
    <m/>
    <m/>
    <m/>
  </r>
  <r>
    <x v="3"/>
    <n v="143880"/>
    <x v="17"/>
    <x v="0"/>
    <x v="83"/>
    <n v="1.1100000000000001"/>
    <x v="33"/>
    <x v="2"/>
    <m/>
    <m/>
    <m/>
    <m/>
    <m/>
    <m/>
    <m/>
    <m/>
    <m/>
    <m/>
  </r>
  <r>
    <x v="0"/>
    <n v="41569"/>
    <x v="22"/>
    <x v="2"/>
    <x v="39"/>
    <n v="0.8"/>
    <x v="44"/>
    <x v="0"/>
    <m/>
    <m/>
    <m/>
    <m/>
    <m/>
    <m/>
    <m/>
    <m/>
    <m/>
    <m/>
  </r>
  <r>
    <x v="10"/>
    <n v="147027"/>
    <x v="25"/>
    <x v="3"/>
    <x v="75"/>
    <n v="1.18"/>
    <x v="22"/>
    <x v="2"/>
    <m/>
    <m/>
    <m/>
    <m/>
    <m/>
    <m/>
    <m/>
    <m/>
    <m/>
    <m/>
  </r>
  <r>
    <x v="9"/>
    <n v="111384"/>
    <x v="23"/>
    <x v="0"/>
    <x v="7"/>
    <n v="0.82"/>
    <x v="40"/>
    <x v="0"/>
    <m/>
    <m/>
    <m/>
    <m/>
    <m/>
    <m/>
    <m/>
    <m/>
    <m/>
    <m/>
  </r>
  <r>
    <x v="13"/>
    <n v="107463"/>
    <x v="20"/>
    <x v="1"/>
    <x v="59"/>
    <n v="0.92"/>
    <x v="58"/>
    <x v="2"/>
    <m/>
    <m/>
    <m/>
    <m/>
    <m/>
    <m/>
    <m/>
    <m/>
    <m/>
    <m/>
  </r>
  <r>
    <x v="6"/>
    <n v="74148"/>
    <x v="29"/>
    <x v="1"/>
    <x v="44"/>
    <n v="0.52"/>
    <x v="53"/>
    <x v="2"/>
    <m/>
    <m/>
    <m/>
    <m/>
    <m/>
    <m/>
    <m/>
    <m/>
    <m/>
    <m/>
  </r>
  <r>
    <x v="14"/>
    <n v="59793"/>
    <x v="0"/>
    <x v="1"/>
    <x v="42"/>
    <n v="0.72"/>
    <x v="17"/>
    <x v="0"/>
    <m/>
    <m/>
    <m/>
    <m/>
    <m/>
    <m/>
    <m/>
    <m/>
    <m/>
    <m/>
  </r>
  <r>
    <x v="19"/>
    <n v="102095"/>
    <x v="21"/>
    <x v="0"/>
    <x v="49"/>
    <n v="1.26"/>
    <x v="50"/>
    <x v="2"/>
    <m/>
    <m/>
    <m/>
    <m/>
    <m/>
    <m/>
    <m/>
    <m/>
    <m/>
    <m/>
  </r>
  <r>
    <x v="15"/>
    <n v="112508"/>
    <x v="0"/>
    <x v="0"/>
    <x v="48"/>
    <n v="0.88"/>
    <x v="75"/>
    <x v="1"/>
    <m/>
    <m/>
    <m/>
    <m/>
    <m/>
    <m/>
    <m/>
    <m/>
    <m/>
    <m/>
  </r>
  <r>
    <x v="3"/>
    <n v="97598"/>
    <x v="8"/>
    <x v="2"/>
    <x v="80"/>
    <n v="0.69"/>
    <x v="43"/>
    <x v="2"/>
    <m/>
    <m/>
    <m/>
    <m/>
    <m/>
    <m/>
    <m/>
    <m/>
    <m/>
    <m/>
  </r>
  <r>
    <x v="8"/>
    <n v="98472"/>
    <x v="4"/>
    <x v="3"/>
    <x v="38"/>
    <n v="1.18"/>
    <x v="26"/>
    <x v="2"/>
    <m/>
    <m/>
    <m/>
    <m/>
    <m/>
    <m/>
    <m/>
    <m/>
    <m/>
    <m/>
  </r>
  <r>
    <x v="4"/>
    <n v="108291"/>
    <x v="9"/>
    <x v="1"/>
    <x v="94"/>
    <n v="0.68"/>
    <x v="55"/>
    <x v="2"/>
    <m/>
    <m/>
    <m/>
    <m/>
    <m/>
    <m/>
    <m/>
    <m/>
    <m/>
    <m/>
  </r>
  <r>
    <x v="8"/>
    <n v="130342"/>
    <x v="7"/>
    <x v="3"/>
    <x v="48"/>
    <n v="1.42"/>
    <x v="20"/>
    <x v="2"/>
    <m/>
    <m/>
    <m/>
    <m/>
    <m/>
    <m/>
    <m/>
    <m/>
    <m/>
    <m/>
  </r>
  <r>
    <x v="7"/>
    <n v="73894"/>
    <x v="20"/>
    <x v="3"/>
    <x v="0"/>
    <n v="1.3"/>
    <x v="61"/>
    <x v="1"/>
    <m/>
    <m/>
    <m/>
    <m/>
    <m/>
    <m/>
    <m/>
    <m/>
    <m/>
    <m/>
  </r>
  <r>
    <x v="17"/>
    <n v="49023"/>
    <x v="22"/>
    <x v="0"/>
    <x v="40"/>
    <n v="1.02"/>
    <x v="58"/>
    <x v="2"/>
    <m/>
    <m/>
    <m/>
    <m/>
    <m/>
    <m/>
    <m/>
    <m/>
    <m/>
    <m/>
  </r>
  <r>
    <x v="5"/>
    <n v="34758"/>
    <x v="17"/>
    <x v="1"/>
    <x v="6"/>
    <n v="0.98"/>
    <x v="18"/>
    <x v="1"/>
    <m/>
    <m/>
    <m/>
    <m/>
    <m/>
    <m/>
    <m/>
    <m/>
    <m/>
    <m/>
  </r>
  <r>
    <x v="9"/>
    <n v="47065"/>
    <x v="8"/>
    <x v="3"/>
    <x v="70"/>
    <n v="1.06"/>
    <x v="62"/>
    <x v="0"/>
    <m/>
    <m/>
    <m/>
    <m/>
    <m/>
    <m/>
    <m/>
    <m/>
    <m/>
    <m/>
  </r>
  <r>
    <x v="1"/>
    <n v="53464"/>
    <x v="14"/>
    <x v="1"/>
    <x v="5"/>
    <n v="0.51"/>
    <x v="7"/>
    <x v="1"/>
    <m/>
    <m/>
    <m/>
    <m/>
    <m/>
    <m/>
    <m/>
    <m/>
    <m/>
    <m/>
  </r>
  <r>
    <x v="10"/>
    <n v="102572"/>
    <x v="6"/>
    <x v="2"/>
    <x v="4"/>
    <n v="1.4"/>
    <x v="48"/>
    <x v="2"/>
    <m/>
    <m/>
    <m/>
    <m/>
    <m/>
    <m/>
    <m/>
    <m/>
    <m/>
    <m/>
  </r>
  <r>
    <x v="2"/>
    <n v="67344"/>
    <x v="14"/>
    <x v="2"/>
    <x v="0"/>
    <n v="1.29"/>
    <x v="9"/>
    <x v="0"/>
    <m/>
    <m/>
    <m/>
    <m/>
    <m/>
    <m/>
    <m/>
    <m/>
    <m/>
    <m/>
  </r>
  <r>
    <x v="16"/>
    <n v="122759"/>
    <x v="11"/>
    <x v="1"/>
    <x v="87"/>
    <n v="1.1000000000000001"/>
    <x v="9"/>
    <x v="0"/>
    <m/>
    <m/>
    <m/>
    <m/>
    <m/>
    <m/>
    <m/>
    <m/>
    <m/>
    <m/>
  </r>
  <r>
    <x v="9"/>
    <n v="66444"/>
    <x v="7"/>
    <x v="0"/>
    <x v="88"/>
    <n v="1.24"/>
    <x v="73"/>
    <x v="0"/>
    <m/>
    <m/>
    <m/>
    <m/>
    <m/>
    <m/>
    <m/>
    <m/>
    <m/>
    <m/>
  </r>
  <r>
    <x v="3"/>
    <n v="46932"/>
    <x v="10"/>
    <x v="1"/>
    <x v="25"/>
    <n v="0.54"/>
    <x v="11"/>
    <x v="2"/>
    <m/>
    <m/>
    <m/>
    <m/>
    <m/>
    <m/>
    <m/>
    <m/>
    <m/>
    <m/>
  </r>
  <r>
    <x v="1"/>
    <n v="55363"/>
    <x v="5"/>
    <x v="3"/>
    <x v="81"/>
    <n v="0.68"/>
    <x v="21"/>
    <x v="1"/>
    <m/>
    <m/>
    <m/>
    <m/>
    <m/>
    <m/>
    <m/>
    <m/>
    <m/>
    <m/>
  </r>
  <r>
    <x v="15"/>
    <n v="30893"/>
    <x v="29"/>
    <x v="1"/>
    <x v="96"/>
    <n v="1.31"/>
    <x v="75"/>
    <x v="1"/>
    <m/>
    <m/>
    <m/>
    <m/>
    <m/>
    <m/>
    <m/>
    <m/>
    <m/>
    <m/>
  </r>
  <r>
    <x v="13"/>
    <n v="84962"/>
    <x v="16"/>
    <x v="2"/>
    <x v="21"/>
    <n v="1.1000000000000001"/>
    <x v="78"/>
    <x v="2"/>
    <m/>
    <m/>
    <m/>
    <m/>
    <m/>
    <m/>
    <m/>
    <m/>
    <m/>
    <m/>
  </r>
  <r>
    <x v="6"/>
    <n v="94173"/>
    <x v="6"/>
    <x v="3"/>
    <x v="53"/>
    <n v="0.74"/>
    <x v="71"/>
    <x v="2"/>
    <m/>
    <m/>
    <m/>
    <m/>
    <m/>
    <m/>
    <m/>
    <m/>
    <m/>
    <m/>
  </r>
  <r>
    <x v="1"/>
    <n v="82949"/>
    <x v="27"/>
    <x v="3"/>
    <x v="93"/>
    <n v="1.49"/>
    <x v="42"/>
    <x v="1"/>
    <m/>
    <m/>
    <m/>
    <m/>
    <m/>
    <m/>
    <m/>
    <m/>
    <m/>
    <m/>
  </r>
  <r>
    <x v="2"/>
    <n v="141738"/>
    <x v="26"/>
    <x v="0"/>
    <x v="11"/>
    <n v="1.1399999999999999"/>
    <x v="9"/>
    <x v="0"/>
    <m/>
    <m/>
    <m/>
    <m/>
    <m/>
    <m/>
    <m/>
    <m/>
    <m/>
    <m/>
  </r>
  <r>
    <x v="1"/>
    <n v="80492"/>
    <x v="28"/>
    <x v="2"/>
    <x v="8"/>
    <n v="0.64"/>
    <x v="42"/>
    <x v="1"/>
    <m/>
    <m/>
    <m/>
    <m/>
    <m/>
    <m/>
    <m/>
    <m/>
    <m/>
    <m/>
  </r>
  <r>
    <x v="6"/>
    <n v="117527"/>
    <x v="0"/>
    <x v="1"/>
    <x v="84"/>
    <n v="0.51"/>
    <x v="43"/>
    <x v="2"/>
    <m/>
    <m/>
    <m/>
    <m/>
    <m/>
    <m/>
    <m/>
    <m/>
    <m/>
    <m/>
  </r>
  <r>
    <x v="7"/>
    <n v="83639"/>
    <x v="27"/>
    <x v="3"/>
    <x v="85"/>
    <n v="0.56999999999999995"/>
    <x v="29"/>
    <x v="1"/>
    <m/>
    <m/>
    <m/>
    <m/>
    <m/>
    <m/>
    <m/>
    <m/>
    <m/>
    <m/>
  </r>
  <r>
    <x v="12"/>
    <n v="66993"/>
    <x v="23"/>
    <x v="2"/>
    <x v="97"/>
    <n v="0.82"/>
    <x v="22"/>
    <x v="2"/>
    <m/>
    <m/>
    <m/>
    <m/>
    <m/>
    <m/>
    <m/>
    <m/>
    <m/>
    <m/>
  </r>
  <r>
    <x v="0"/>
    <n v="61551"/>
    <x v="20"/>
    <x v="3"/>
    <x v="22"/>
    <n v="0.67"/>
    <x v="67"/>
    <x v="0"/>
    <m/>
    <m/>
    <m/>
    <m/>
    <m/>
    <m/>
    <m/>
    <m/>
    <m/>
    <m/>
  </r>
  <r>
    <x v="1"/>
    <n v="63896"/>
    <x v="4"/>
    <x v="3"/>
    <x v="80"/>
    <n v="1.49"/>
    <x v="37"/>
    <x v="1"/>
    <m/>
    <m/>
    <m/>
    <m/>
    <m/>
    <m/>
    <m/>
    <m/>
    <m/>
    <m/>
  </r>
  <r>
    <x v="9"/>
    <n v="63686"/>
    <x v="20"/>
    <x v="2"/>
    <x v="9"/>
    <n v="1.28"/>
    <x v="90"/>
    <x v="0"/>
    <m/>
    <m/>
    <m/>
    <m/>
    <m/>
    <m/>
    <m/>
    <m/>
    <m/>
    <m/>
  </r>
  <r>
    <x v="17"/>
    <n v="147256"/>
    <x v="27"/>
    <x v="3"/>
    <x v="64"/>
    <n v="1.45"/>
    <x v="53"/>
    <x v="2"/>
    <m/>
    <m/>
    <m/>
    <m/>
    <m/>
    <m/>
    <m/>
    <m/>
    <m/>
    <m/>
  </r>
  <r>
    <x v="2"/>
    <n v="103531"/>
    <x v="2"/>
    <x v="0"/>
    <x v="87"/>
    <n v="0.94"/>
    <x v="89"/>
    <x v="0"/>
    <m/>
    <m/>
    <m/>
    <m/>
    <m/>
    <m/>
    <m/>
    <m/>
    <m/>
    <m/>
  </r>
  <r>
    <x v="11"/>
    <n v="53991"/>
    <x v="20"/>
    <x v="1"/>
    <x v="92"/>
    <n v="0.78"/>
    <x v="87"/>
    <x v="2"/>
    <m/>
    <m/>
    <m/>
    <m/>
    <m/>
    <m/>
    <m/>
    <m/>
    <m/>
    <m/>
  </r>
  <r>
    <x v="11"/>
    <n v="39269"/>
    <x v="16"/>
    <x v="2"/>
    <x v="37"/>
    <n v="0.62"/>
    <x v="12"/>
    <x v="2"/>
    <m/>
    <m/>
    <m/>
    <m/>
    <m/>
    <m/>
    <m/>
    <m/>
    <m/>
    <m/>
  </r>
  <r>
    <x v="4"/>
    <n v="149391"/>
    <x v="17"/>
    <x v="3"/>
    <x v="26"/>
    <n v="0.69"/>
    <x v="8"/>
    <x v="2"/>
    <m/>
    <m/>
    <m/>
    <m/>
    <m/>
    <m/>
    <m/>
    <m/>
    <m/>
    <m/>
  </r>
  <r>
    <x v="5"/>
    <n v="124598"/>
    <x v="29"/>
    <x v="0"/>
    <x v="98"/>
    <n v="0.85"/>
    <x v="19"/>
    <x v="1"/>
    <m/>
    <m/>
    <m/>
    <m/>
    <m/>
    <m/>
    <m/>
    <m/>
    <m/>
    <m/>
  </r>
  <r>
    <x v="14"/>
    <n v="89470"/>
    <x v="2"/>
    <x v="1"/>
    <x v="32"/>
    <n v="0.65"/>
    <x v="17"/>
    <x v="0"/>
    <m/>
    <m/>
    <m/>
    <m/>
    <m/>
    <m/>
    <m/>
    <m/>
    <m/>
    <m/>
  </r>
  <r>
    <x v="14"/>
    <n v="34321"/>
    <x v="12"/>
    <x v="3"/>
    <x v="91"/>
    <n v="0.88"/>
    <x v="67"/>
    <x v="0"/>
    <m/>
    <m/>
    <m/>
    <m/>
    <m/>
    <m/>
    <m/>
    <m/>
    <m/>
    <m/>
  </r>
  <r>
    <x v="13"/>
    <n v="50977"/>
    <x v="15"/>
    <x v="1"/>
    <x v="0"/>
    <n v="0.61"/>
    <x v="38"/>
    <x v="2"/>
    <m/>
    <m/>
    <m/>
    <m/>
    <m/>
    <m/>
    <m/>
    <m/>
    <m/>
    <m/>
  </r>
  <r>
    <x v="16"/>
    <n v="62167"/>
    <x v="3"/>
    <x v="2"/>
    <x v="8"/>
    <n v="0.59"/>
    <x v="17"/>
    <x v="0"/>
    <m/>
    <m/>
    <m/>
    <m/>
    <m/>
    <m/>
    <m/>
    <m/>
    <m/>
    <m/>
  </r>
  <r>
    <x v="9"/>
    <n v="108518"/>
    <x v="0"/>
    <x v="1"/>
    <x v="18"/>
    <n v="1.03"/>
    <x v="73"/>
    <x v="0"/>
    <m/>
    <m/>
    <m/>
    <m/>
    <m/>
    <m/>
    <m/>
    <m/>
    <m/>
    <m/>
  </r>
  <r>
    <x v="10"/>
    <n v="93752"/>
    <x v="7"/>
    <x v="3"/>
    <x v="12"/>
    <n v="0.97"/>
    <x v="65"/>
    <x v="2"/>
    <m/>
    <m/>
    <m/>
    <m/>
    <m/>
    <m/>
    <m/>
    <m/>
    <m/>
    <m/>
  </r>
  <r>
    <x v="0"/>
    <n v="77691"/>
    <x v="28"/>
    <x v="3"/>
    <x v="78"/>
    <n v="1.23"/>
    <x v="40"/>
    <x v="0"/>
    <m/>
    <m/>
    <m/>
    <m/>
    <m/>
    <m/>
    <m/>
    <m/>
    <m/>
    <m/>
  </r>
  <r>
    <x v="15"/>
    <n v="59813"/>
    <x v="13"/>
    <x v="3"/>
    <x v="3"/>
    <n v="1.08"/>
    <x v="7"/>
    <x v="1"/>
    <m/>
    <m/>
    <m/>
    <m/>
    <m/>
    <m/>
    <m/>
    <m/>
    <m/>
    <m/>
  </r>
  <r>
    <x v="13"/>
    <n v="95603"/>
    <x v="0"/>
    <x v="0"/>
    <x v="40"/>
    <n v="1.1100000000000001"/>
    <x v="69"/>
    <x v="2"/>
    <m/>
    <m/>
    <m/>
    <m/>
    <m/>
    <m/>
    <m/>
    <m/>
    <m/>
    <m/>
  </r>
  <r>
    <x v="13"/>
    <n v="118150"/>
    <x v="29"/>
    <x v="0"/>
    <x v="64"/>
    <n v="0.89"/>
    <x v="46"/>
    <x v="2"/>
    <m/>
    <m/>
    <m/>
    <m/>
    <m/>
    <m/>
    <m/>
    <m/>
    <m/>
    <m/>
  </r>
  <r>
    <x v="16"/>
    <n v="31996"/>
    <x v="23"/>
    <x v="3"/>
    <x v="69"/>
    <n v="0.83"/>
    <x v="40"/>
    <x v="0"/>
    <m/>
    <m/>
    <m/>
    <m/>
    <m/>
    <m/>
    <m/>
    <m/>
    <m/>
    <m/>
  </r>
  <r>
    <x v="2"/>
    <n v="108015"/>
    <x v="2"/>
    <x v="3"/>
    <x v="17"/>
    <n v="1.21"/>
    <x v="35"/>
    <x v="0"/>
    <m/>
    <m/>
    <m/>
    <m/>
    <m/>
    <m/>
    <m/>
    <m/>
    <m/>
    <m/>
  </r>
  <r>
    <x v="17"/>
    <n v="59709"/>
    <x v="10"/>
    <x v="3"/>
    <x v="27"/>
    <n v="1.03"/>
    <x v="10"/>
    <x v="2"/>
    <m/>
    <m/>
    <m/>
    <m/>
    <m/>
    <m/>
    <m/>
    <m/>
    <m/>
    <m/>
  </r>
  <r>
    <x v="3"/>
    <n v="33203"/>
    <x v="25"/>
    <x v="2"/>
    <x v="71"/>
    <n v="1.42"/>
    <x v="3"/>
    <x v="2"/>
    <m/>
    <m/>
    <m/>
    <m/>
    <m/>
    <m/>
    <m/>
    <m/>
    <m/>
    <m/>
  </r>
  <r>
    <x v="19"/>
    <n v="39327"/>
    <x v="16"/>
    <x v="1"/>
    <x v="34"/>
    <n v="0.89"/>
    <x v="11"/>
    <x v="2"/>
    <m/>
    <m/>
    <m/>
    <m/>
    <m/>
    <m/>
    <m/>
    <m/>
    <m/>
    <m/>
  </r>
  <r>
    <x v="2"/>
    <n v="37868"/>
    <x v="5"/>
    <x v="2"/>
    <x v="62"/>
    <n v="1.35"/>
    <x v="76"/>
    <x v="0"/>
    <m/>
    <m/>
    <m/>
    <m/>
    <m/>
    <m/>
    <m/>
    <m/>
    <m/>
    <m/>
  </r>
  <r>
    <x v="10"/>
    <n v="76097"/>
    <x v="6"/>
    <x v="2"/>
    <x v="56"/>
    <n v="0.96"/>
    <x v="4"/>
    <x v="2"/>
    <m/>
    <m/>
    <m/>
    <m/>
    <m/>
    <m/>
    <m/>
    <m/>
    <m/>
    <m/>
  </r>
  <r>
    <x v="11"/>
    <n v="117838"/>
    <x v="8"/>
    <x v="2"/>
    <x v="90"/>
    <n v="1.34"/>
    <x v="10"/>
    <x v="2"/>
    <m/>
    <m/>
    <m/>
    <m/>
    <m/>
    <m/>
    <m/>
    <m/>
    <m/>
    <m/>
  </r>
  <r>
    <x v="11"/>
    <n v="136931"/>
    <x v="28"/>
    <x v="0"/>
    <x v="15"/>
    <n v="1.47"/>
    <x v="38"/>
    <x v="2"/>
    <m/>
    <m/>
    <m/>
    <m/>
    <m/>
    <m/>
    <m/>
    <m/>
    <m/>
    <m/>
  </r>
  <r>
    <x v="8"/>
    <n v="76900"/>
    <x v="19"/>
    <x v="3"/>
    <x v="28"/>
    <n v="1.41"/>
    <x v="22"/>
    <x v="2"/>
    <m/>
    <m/>
    <m/>
    <m/>
    <m/>
    <m/>
    <m/>
    <m/>
    <m/>
    <m/>
  </r>
  <r>
    <x v="6"/>
    <n v="41221"/>
    <x v="5"/>
    <x v="1"/>
    <x v="21"/>
    <n v="1.18"/>
    <x v="79"/>
    <x v="2"/>
    <m/>
    <m/>
    <m/>
    <m/>
    <m/>
    <m/>
    <m/>
    <m/>
    <m/>
    <m/>
  </r>
  <r>
    <x v="0"/>
    <n v="30654"/>
    <x v="10"/>
    <x v="2"/>
    <x v="48"/>
    <n v="1.17"/>
    <x v="9"/>
    <x v="0"/>
    <m/>
    <m/>
    <m/>
    <m/>
    <m/>
    <m/>
    <m/>
    <m/>
    <m/>
    <m/>
  </r>
  <r>
    <x v="13"/>
    <n v="112928"/>
    <x v="27"/>
    <x v="2"/>
    <x v="67"/>
    <n v="0.71"/>
    <x v="26"/>
    <x v="2"/>
    <m/>
    <m/>
    <m/>
    <m/>
    <m/>
    <m/>
    <m/>
    <m/>
    <m/>
    <m/>
  </r>
  <r>
    <x v="7"/>
    <n v="99444"/>
    <x v="20"/>
    <x v="2"/>
    <x v="52"/>
    <n v="1.1200000000000001"/>
    <x v="47"/>
    <x v="1"/>
    <m/>
    <m/>
    <m/>
    <m/>
    <m/>
    <m/>
    <m/>
    <m/>
    <m/>
    <m/>
  </r>
  <r>
    <x v="1"/>
    <n v="115092"/>
    <x v="17"/>
    <x v="3"/>
    <x v="7"/>
    <n v="1.3"/>
    <x v="70"/>
    <x v="1"/>
    <m/>
    <m/>
    <m/>
    <m/>
    <m/>
    <m/>
    <m/>
    <m/>
    <m/>
    <m/>
  </r>
  <r>
    <x v="4"/>
    <n v="123122"/>
    <x v="18"/>
    <x v="3"/>
    <x v="39"/>
    <n v="0.68"/>
    <x v="26"/>
    <x v="2"/>
    <m/>
    <m/>
    <m/>
    <m/>
    <m/>
    <m/>
    <m/>
    <m/>
    <m/>
    <m/>
  </r>
  <r>
    <x v="5"/>
    <n v="49177"/>
    <x v="24"/>
    <x v="0"/>
    <x v="17"/>
    <n v="0.85"/>
    <x v="18"/>
    <x v="1"/>
    <m/>
    <m/>
    <m/>
    <m/>
    <m/>
    <m/>
    <m/>
    <m/>
    <m/>
    <m/>
  </r>
  <r>
    <x v="1"/>
    <n v="107360"/>
    <x v="6"/>
    <x v="0"/>
    <x v="63"/>
    <n v="1.3"/>
    <x v="82"/>
    <x v="1"/>
    <m/>
    <m/>
    <m/>
    <m/>
    <m/>
    <m/>
    <m/>
    <m/>
    <m/>
    <m/>
  </r>
  <r>
    <x v="6"/>
    <n v="132877"/>
    <x v="5"/>
    <x v="0"/>
    <x v="48"/>
    <n v="1.26"/>
    <x v="14"/>
    <x v="2"/>
    <m/>
    <m/>
    <m/>
    <m/>
    <m/>
    <m/>
    <m/>
    <m/>
    <m/>
    <m/>
  </r>
  <r>
    <x v="8"/>
    <n v="73158"/>
    <x v="9"/>
    <x v="2"/>
    <x v="78"/>
    <n v="0.9"/>
    <x v="11"/>
    <x v="2"/>
    <m/>
    <m/>
    <m/>
    <m/>
    <m/>
    <m/>
    <m/>
    <m/>
    <m/>
    <m/>
  </r>
  <r>
    <x v="1"/>
    <n v="87889"/>
    <x v="14"/>
    <x v="1"/>
    <x v="94"/>
    <n v="1.49"/>
    <x v="7"/>
    <x v="1"/>
    <m/>
    <m/>
    <m/>
    <m/>
    <m/>
    <m/>
    <m/>
    <m/>
    <m/>
    <m/>
  </r>
  <r>
    <x v="14"/>
    <n v="136196"/>
    <x v="28"/>
    <x v="0"/>
    <x v="88"/>
    <n v="1.27"/>
    <x v="67"/>
    <x v="0"/>
    <m/>
    <m/>
    <m/>
    <m/>
    <m/>
    <m/>
    <m/>
    <m/>
    <m/>
    <m/>
  </r>
  <r>
    <x v="4"/>
    <n v="133801"/>
    <x v="5"/>
    <x v="3"/>
    <x v="3"/>
    <n v="1.39"/>
    <x v="72"/>
    <x v="2"/>
    <m/>
    <m/>
    <m/>
    <m/>
    <m/>
    <m/>
    <m/>
    <m/>
    <m/>
    <m/>
  </r>
  <r>
    <x v="0"/>
    <n v="109557"/>
    <x v="19"/>
    <x v="3"/>
    <x v="66"/>
    <n v="0.9"/>
    <x v="60"/>
    <x v="0"/>
    <m/>
    <m/>
    <m/>
    <m/>
    <m/>
    <m/>
    <m/>
    <m/>
    <m/>
    <m/>
  </r>
  <r>
    <x v="7"/>
    <n v="54502"/>
    <x v="13"/>
    <x v="1"/>
    <x v="16"/>
    <n v="0.83"/>
    <x v="27"/>
    <x v="1"/>
    <m/>
    <m/>
    <m/>
    <m/>
    <m/>
    <m/>
    <m/>
    <m/>
    <m/>
    <m/>
  </r>
  <r>
    <x v="13"/>
    <n v="128878"/>
    <x v="12"/>
    <x v="1"/>
    <x v="57"/>
    <n v="1.23"/>
    <x v="58"/>
    <x v="2"/>
    <m/>
    <m/>
    <m/>
    <m/>
    <m/>
    <m/>
    <m/>
    <m/>
    <m/>
    <m/>
  </r>
  <r>
    <x v="5"/>
    <n v="136802"/>
    <x v="6"/>
    <x v="3"/>
    <x v="57"/>
    <n v="1.02"/>
    <x v="85"/>
    <x v="1"/>
    <m/>
    <m/>
    <m/>
    <m/>
    <m/>
    <m/>
    <m/>
    <m/>
    <m/>
    <m/>
  </r>
  <r>
    <x v="5"/>
    <n v="80901"/>
    <x v="27"/>
    <x v="0"/>
    <x v="94"/>
    <n v="1.31"/>
    <x v="37"/>
    <x v="1"/>
    <m/>
    <m/>
    <m/>
    <m/>
    <m/>
    <m/>
    <m/>
    <m/>
    <m/>
    <m/>
  </r>
  <r>
    <x v="19"/>
    <n v="96214"/>
    <x v="28"/>
    <x v="1"/>
    <x v="95"/>
    <n v="1.37"/>
    <x v="68"/>
    <x v="2"/>
    <m/>
    <m/>
    <m/>
    <m/>
    <m/>
    <m/>
    <m/>
    <m/>
    <m/>
    <m/>
  </r>
  <r>
    <x v="4"/>
    <n v="104755"/>
    <x v="8"/>
    <x v="1"/>
    <x v="15"/>
    <n v="0.94"/>
    <x v="87"/>
    <x v="2"/>
    <m/>
    <m/>
    <m/>
    <m/>
    <m/>
    <m/>
    <m/>
    <m/>
    <m/>
    <m/>
  </r>
  <r>
    <x v="6"/>
    <n v="134580"/>
    <x v="5"/>
    <x v="0"/>
    <x v="32"/>
    <n v="0.81"/>
    <x v="66"/>
    <x v="2"/>
    <m/>
    <m/>
    <m/>
    <m/>
    <m/>
    <m/>
    <m/>
    <m/>
    <m/>
    <m/>
  </r>
  <r>
    <x v="6"/>
    <n v="63477"/>
    <x v="25"/>
    <x v="1"/>
    <x v="49"/>
    <n v="1.24"/>
    <x v="48"/>
    <x v="2"/>
    <m/>
    <m/>
    <m/>
    <m/>
    <m/>
    <m/>
    <m/>
    <m/>
    <m/>
    <m/>
  </r>
  <r>
    <x v="3"/>
    <n v="142134"/>
    <x v="7"/>
    <x v="1"/>
    <x v="50"/>
    <n v="0.63"/>
    <x v="71"/>
    <x v="2"/>
    <m/>
    <m/>
    <m/>
    <m/>
    <m/>
    <m/>
    <m/>
    <m/>
    <m/>
    <m/>
  </r>
  <r>
    <x v="15"/>
    <n v="119080"/>
    <x v="21"/>
    <x v="0"/>
    <x v="42"/>
    <n v="0.82"/>
    <x v="54"/>
    <x v="1"/>
    <m/>
    <m/>
    <m/>
    <m/>
    <m/>
    <m/>
    <m/>
    <m/>
    <m/>
    <m/>
  </r>
  <r>
    <x v="9"/>
    <n v="42467"/>
    <x v="14"/>
    <x v="0"/>
    <x v="64"/>
    <n v="1.19"/>
    <x v="81"/>
    <x v="0"/>
    <m/>
    <m/>
    <m/>
    <m/>
    <m/>
    <m/>
    <m/>
    <m/>
    <m/>
    <m/>
  </r>
  <r>
    <x v="12"/>
    <n v="100601"/>
    <x v="24"/>
    <x v="3"/>
    <x v="40"/>
    <n v="0.93"/>
    <x v="68"/>
    <x v="2"/>
    <m/>
    <m/>
    <m/>
    <m/>
    <m/>
    <m/>
    <m/>
    <m/>
    <m/>
    <m/>
  </r>
  <r>
    <x v="9"/>
    <n v="148764"/>
    <x v="14"/>
    <x v="2"/>
    <x v="27"/>
    <n v="0.62"/>
    <x v="83"/>
    <x v="0"/>
    <m/>
    <m/>
    <m/>
    <m/>
    <m/>
    <m/>
    <m/>
    <m/>
    <m/>
    <m/>
  </r>
  <r>
    <x v="18"/>
    <n v="113795"/>
    <x v="19"/>
    <x v="1"/>
    <x v="90"/>
    <n v="0.54"/>
    <x v="7"/>
    <x v="1"/>
    <m/>
    <m/>
    <m/>
    <m/>
    <m/>
    <m/>
    <m/>
    <m/>
    <m/>
    <m/>
  </r>
  <r>
    <x v="17"/>
    <n v="45994"/>
    <x v="13"/>
    <x v="0"/>
    <x v="99"/>
    <n v="0.72"/>
    <x v="55"/>
    <x v="2"/>
    <m/>
    <m/>
    <m/>
    <m/>
    <m/>
    <m/>
    <m/>
    <m/>
    <m/>
    <m/>
  </r>
  <r>
    <x v="5"/>
    <n v="66701"/>
    <x v="15"/>
    <x v="2"/>
    <x v="1"/>
    <n v="0.72"/>
    <x v="74"/>
    <x v="1"/>
    <m/>
    <m/>
    <m/>
    <m/>
    <m/>
    <m/>
    <m/>
    <m/>
    <m/>
    <m/>
  </r>
  <r>
    <x v="7"/>
    <n v="63785"/>
    <x v="17"/>
    <x v="1"/>
    <x v="90"/>
    <n v="0.96"/>
    <x v="88"/>
    <x v="1"/>
    <m/>
    <m/>
    <m/>
    <m/>
    <m/>
    <m/>
    <m/>
    <m/>
    <m/>
    <m/>
  </r>
  <r>
    <x v="11"/>
    <n v="122282"/>
    <x v="24"/>
    <x v="2"/>
    <x v="97"/>
    <n v="1.04"/>
    <x v="10"/>
    <x v="2"/>
    <m/>
    <m/>
    <m/>
    <m/>
    <m/>
    <m/>
    <m/>
    <m/>
    <m/>
    <m/>
  </r>
  <r>
    <x v="8"/>
    <n v="30229"/>
    <x v="0"/>
    <x v="0"/>
    <x v="98"/>
    <n v="0.78"/>
    <x v="36"/>
    <x v="2"/>
    <m/>
    <m/>
    <m/>
    <m/>
    <m/>
    <m/>
    <m/>
    <m/>
    <m/>
    <m/>
  </r>
  <r>
    <x v="18"/>
    <n v="45620"/>
    <x v="12"/>
    <x v="2"/>
    <x v="6"/>
    <n v="0.6"/>
    <x v="1"/>
    <x v="1"/>
    <m/>
    <m/>
    <m/>
    <m/>
    <m/>
    <m/>
    <m/>
    <m/>
    <m/>
    <m/>
  </r>
  <r>
    <x v="15"/>
    <n v="68104"/>
    <x v="26"/>
    <x v="2"/>
    <x v="89"/>
    <n v="0.95"/>
    <x v="29"/>
    <x v="1"/>
    <m/>
    <m/>
    <m/>
    <m/>
    <m/>
    <m/>
    <m/>
    <m/>
    <m/>
    <m/>
  </r>
  <r>
    <x v="12"/>
    <n v="78733"/>
    <x v="15"/>
    <x v="3"/>
    <x v="56"/>
    <n v="1.23"/>
    <x v="38"/>
    <x v="2"/>
    <m/>
    <m/>
    <m/>
    <m/>
    <m/>
    <m/>
    <m/>
    <m/>
    <m/>
    <m/>
  </r>
  <r>
    <x v="12"/>
    <n v="33320"/>
    <x v="27"/>
    <x v="1"/>
    <x v="74"/>
    <n v="0.53"/>
    <x v="31"/>
    <x v="2"/>
    <m/>
    <m/>
    <m/>
    <m/>
    <m/>
    <m/>
    <m/>
    <m/>
    <m/>
    <m/>
  </r>
  <r>
    <x v="12"/>
    <n v="137648"/>
    <x v="4"/>
    <x v="1"/>
    <x v="52"/>
    <n v="0.68"/>
    <x v="55"/>
    <x v="2"/>
    <m/>
    <m/>
    <m/>
    <m/>
    <m/>
    <m/>
    <m/>
    <m/>
    <m/>
    <m/>
  </r>
  <r>
    <x v="17"/>
    <n v="53104"/>
    <x v="24"/>
    <x v="0"/>
    <x v="78"/>
    <n v="1.46"/>
    <x v="57"/>
    <x v="2"/>
    <m/>
    <m/>
    <m/>
    <m/>
    <m/>
    <m/>
    <m/>
    <m/>
    <m/>
    <m/>
  </r>
  <r>
    <x v="14"/>
    <n v="69451"/>
    <x v="23"/>
    <x v="3"/>
    <x v="25"/>
    <n v="0.65"/>
    <x v="83"/>
    <x v="0"/>
    <m/>
    <m/>
    <m/>
    <m/>
    <m/>
    <m/>
    <m/>
    <m/>
    <m/>
    <m/>
  </r>
  <r>
    <x v="4"/>
    <n v="104854"/>
    <x v="18"/>
    <x v="0"/>
    <x v="89"/>
    <n v="1.06"/>
    <x v="10"/>
    <x v="2"/>
    <m/>
    <m/>
    <m/>
    <m/>
    <m/>
    <m/>
    <m/>
    <m/>
    <m/>
    <m/>
  </r>
  <r>
    <x v="19"/>
    <n v="35147"/>
    <x v="7"/>
    <x v="2"/>
    <x v="8"/>
    <n v="0.69"/>
    <x v="71"/>
    <x v="2"/>
    <m/>
    <m/>
    <m/>
    <m/>
    <m/>
    <m/>
    <m/>
    <m/>
    <m/>
    <m/>
  </r>
  <r>
    <x v="13"/>
    <n v="68563"/>
    <x v="23"/>
    <x v="0"/>
    <x v="96"/>
    <n v="1.32"/>
    <x v="30"/>
    <x v="2"/>
    <m/>
    <m/>
    <m/>
    <m/>
    <m/>
    <m/>
    <m/>
    <m/>
    <m/>
    <m/>
  </r>
  <r>
    <x v="5"/>
    <n v="133496"/>
    <x v="3"/>
    <x v="2"/>
    <x v="94"/>
    <n v="0.68"/>
    <x v="1"/>
    <x v="1"/>
    <m/>
    <m/>
    <m/>
    <m/>
    <m/>
    <m/>
    <m/>
    <m/>
    <m/>
    <m/>
  </r>
  <r>
    <x v="0"/>
    <n v="79692"/>
    <x v="8"/>
    <x v="3"/>
    <x v="20"/>
    <n v="0.57999999999999996"/>
    <x v="56"/>
    <x v="0"/>
    <m/>
    <m/>
    <m/>
    <m/>
    <m/>
    <m/>
    <m/>
    <m/>
    <m/>
    <m/>
  </r>
  <r>
    <x v="18"/>
    <n v="135585"/>
    <x v="3"/>
    <x v="2"/>
    <x v="89"/>
    <n v="0.82"/>
    <x v="88"/>
    <x v="1"/>
    <m/>
    <m/>
    <m/>
    <m/>
    <m/>
    <m/>
    <m/>
    <m/>
    <m/>
    <m/>
  </r>
  <r>
    <x v="19"/>
    <n v="59545"/>
    <x v="25"/>
    <x v="3"/>
    <x v="25"/>
    <n v="0.68"/>
    <x v="85"/>
    <x v="1"/>
    <m/>
    <m/>
    <m/>
    <m/>
    <m/>
    <m/>
    <m/>
    <m/>
    <m/>
    <m/>
  </r>
  <r>
    <x v="12"/>
    <n v="138777"/>
    <x v="24"/>
    <x v="1"/>
    <x v="8"/>
    <n v="0.6"/>
    <x v="6"/>
    <x v="2"/>
    <m/>
    <m/>
    <m/>
    <m/>
    <m/>
    <m/>
    <m/>
    <m/>
    <m/>
    <m/>
  </r>
  <r>
    <x v="17"/>
    <n v="88760"/>
    <x v="14"/>
    <x v="2"/>
    <x v="42"/>
    <n v="0.56000000000000005"/>
    <x v="53"/>
    <x v="2"/>
    <m/>
    <m/>
    <m/>
    <m/>
    <m/>
    <m/>
    <m/>
    <m/>
    <m/>
    <m/>
  </r>
  <r>
    <x v="17"/>
    <n v="106870"/>
    <x v="22"/>
    <x v="3"/>
    <x v="68"/>
    <n v="0.8"/>
    <x v="57"/>
    <x v="2"/>
    <m/>
    <m/>
    <m/>
    <m/>
    <m/>
    <m/>
    <m/>
    <m/>
    <m/>
    <m/>
  </r>
  <r>
    <x v="1"/>
    <n v="32147"/>
    <x v="16"/>
    <x v="3"/>
    <x v="45"/>
    <n v="1.1399999999999999"/>
    <x v="54"/>
    <x v="1"/>
    <m/>
    <m/>
    <m/>
    <m/>
    <m/>
    <m/>
    <m/>
    <m/>
    <m/>
    <m/>
  </r>
  <r>
    <x v="3"/>
    <n v="140463"/>
    <x v="16"/>
    <x v="0"/>
    <x v="57"/>
    <n v="1.45"/>
    <x v="33"/>
    <x v="2"/>
    <m/>
    <m/>
    <m/>
    <m/>
    <m/>
    <m/>
    <m/>
    <m/>
    <m/>
    <m/>
  </r>
  <r>
    <x v="16"/>
    <n v="148623"/>
    <x v="5"/>
    <x v="3"/>
    <x v="89"/>
    <n v="0.94"/>
    <x v="28"/>
    <x v="0"/>
    <m/>
    <m/>
    <m/>
    <m/>
    <m/>
    <m/>
    <m/>
    <m/>
    <m/>
    <m/>
  </r>
  <r>
    <x v="1"/>
    <n v="49360"/>
    <x v="15"/>
    <x v="3"/>
    <x v="90"/>
    <n v="0.63"/>
    <x v="54"/>
    <x v="1"/>
    <m/>
    <m/>
    <m/>
    <m/>
    <m/>
    <m/>
    <m/>
    <m/>
    <m/>
    <m/>
  </r>
  <r>
    <x v="10"/>
    <n v="45605"/>
    <x v="22"/>
    <x v="0"/>
    <x v="28"/>
    <n v="1.43"/>
    <x v="33"/>
    <x v="2"/>
    <m/>
    <m/>
    <m/>
    <m/>
    <m/>
    <m/>
    <m/>
    <m/>
    <m/>
    <m/>
  </r>
  <r>
    <x v="10"/>
    <n v="103953"/>
    <x v="17"/>
    <x v="0"/>
    <x v="27"/>
    <n v="0.63"/>
    <x v="84"/>
    <x v="2"/>
    <m/>
    <m/>
    <m/>
    <m/>
    <m/>
    <m/>
    <m/>
    <m/>
    <m/>
    <m/>
  </r>
  <r>
    <x v="19"/>
    <n v="76531"/>
    <x v="21"/>
    <x v="2"/>
    <x v="15"/>
    <n v="0.5"/>
    <x v="25"/>
    <x v="2"/>
    <m/>
    <m/>
    <m/>
    <m/>
    <m/>
    <m/>
    <m/>
    <m/>
    <m/>
    <m/>
  </r>
  <r>
    <x v="2"/>
    <n v="139198"/>
    <x v="9"/>
    <x v="1"/>
    <x v="37"/>
    <n v="1.43"/>
    <x v="77"/>
    <x v="0"/>
    <m/>
    <m/>
    <m/>
    <m/>
    <m/>
    <m/>
    <m/>
    <m/>
    <m/>
    <m/>
  </r>
  <r>
    <x v="4"/>
    <n v="111199"/>
    <x v="24"/>
    <x v="3"/>
    <x v="69"/>
    <n v="1.1299999999999999"/>
    <x v="72"/>
    <x v="2"/>
    <m/>
    <m/>
    <m/>
    <m/>
    <m/>
    <m/>
    <m/>
    <m/>
    <m/>
    <m/>
  </r>
  <r>
    <x v="10"/>
    <n v="65321"/>
    <x v="11"/>
    <x v="1"/>
    <x v="20"/>
    <n v="1.31"/>
    <x v="65"/>
    <x v="2"/>
    <m/>
    <m/>
    <m/>
    <m/>
    <m/>
    <m/>
    <m/>
    <m/>
    <m/>
    <m/>
  </r>
  <r>
    <x v="11"/>
    <n v="77218"/>
    <x v="9"/>
    <x v="2"/>
    <x v="50"/>
    <n v="1"/>
    <x v="10"/>
    <x v="2"/>
    <m/>
    <m/>
    <m/>
    <m/>
    <m/>
    <m/>
    <m/>
    <m/>
    <m/>
    <m/>
  </r>
  <r>
    <x v="12"/>
    <n v="39752"/>
    <x v="14"/>
    <x v="2"/>
    <x v="34"/>
    <n v="0.71"/>
    <x v="87"/>
    <x v="2"/>
    <m/>
    <m/>
    <m/>
    <m/>
    <m/>
    <m/>
    <m/>
    <m/>
    <m/>
    <m/>
  </r>
  <r>
    <x v="5"/>
    <n v="34792"/>
    <x v="29"/>
    <x v="3"/>
    <x v="69"/>
    <n v="1.1200000000000001"/>
    <x v="16"/>
    <x v="1"/>
    <m/>
    <m/>
    <m/>
    <m/>
    <m/>
    <m/>
    <m/>
    <m/>
    <m/>
    <m/>
  </r>
  <r>
    <x v="12"/>
    <n v="44591"/>
    <x v="12"/>
    <x v="0"/>
    <x v="12"/>
    <n v="1.37"/>
    <x v="53"/>
    <x v="2"/>
    <m/>
    <m/>
    <m/>
    <m/>
    <m/>
    <m/>
    <m/>
    <m/>
    <m/>
    <m/>
  </r>
  <r>
    <x v="12"/>
    <n v="35424"/>
    <x v="25"/>
    <x v="2"/>
    <x v="39"/>
    <n v="1.0900000000000001"/>
    <x v="53"/>
    <x v="2"/>
    <m/>
    <m/>
    <m/>
    <m/>
    <m/>
    <m/>
    <m/>
    <m/>
    <m/>
    <m/>
  </r>
  <r>
    <x v="12"/>
    <n v="89789"/>
    <x v="0"/>
    <x v="3"/>
    <x v="3"/>
    <n v="1.35"/>
    <x v="11"/>
    <x v="2"/>
    <m/>
    <m/>
    <m/>
    <m/>
    <m/>
    <m/>
    <m/>
    <m/>
    <m/>
    <m/>
  </r>
  <r>
    <x v="0"/>
    <n v="38804"/>
    <x v="14"/>
    <x v="2"/>
    <x v="64"/>
    <n v="0.61"/>
    <x v="39"/>
    <x v="0"/>
    <m/>
    <m/>
    <m/>
    <m/>
    <m/>
    <m/>
    <m/>
    <m/>
    <m/>
    <m/>
  </r>
  <r>
    <x v="19"/>
    <n v="58400"/>
    <x v="1"/>
    <x v="1"/>
    <x v="15"/>
    <n v="0.88"/>
    <x v="10"/>
    <x v="2"/>
    <m/>
    <m/>
    <m/>
    <m/>
    <m/>
    <m/>
    <m/>
    <m/>
    <m/>
    <m/>
  </r>
  <r>
    <x v="13"/>
    <n v="129525"/>
    <x v="7"/>
    <x v="1"/>
    <x v="22"/>
    <n v="0.55000000000000004"/>
    <x v="4"/>
    <x v="2"/>
    <m/>
    <m/>
    <m/>
    <m/>
    <m/>
    <m/>
    <m/>
    <m/>
    <m/>
    <m/>
  </r>
  <r>
    <x v="7"/>
    <n v="145183"/>
    <x v="6"/>
    <x v="0"/>
    <x v="16"/>
    <n v="1.48"/>
    <x v="41"/>
    <x v="1"/>
    <m/>
    <m/>
    <m/>
    <m/>
    <m/>
    <m/>
    <m/>
    <m/>
    <m/>
    <m/>
  </r>
  <r>
    <x v="17"/>
    <n v="82066"/>
    <x v="26"/>
    <x v="3"/>
    <x v="99"/>
    <n v="1.3"/>
    <x v="45"/>
    <x v="2"/>
    <m/>
    <m/>
    <m/>
    <m/>
    <m/>
    <m/>
    <m/>
    <m/>
    <m/>
    <m/>
  </r>
  <r>
    <x v="13"/>
    <n v="59059"/>
    <x v="20"/>
    <x v="0"/>
    <x v="27"/>
    <n v="1.1399999999999999"/>
    <x v="69"/>
    <x v="2"/>
    <m/>
    <m/>
    <m/>
    <m/>
    <m/>
    <m/>
    <m/>
    <m/>
    <m/>
    <m/>
  </r>
  <r>
    <x v="1"/>
    <n v="57499"/>
    <x v="5"/>
    <x v="3"/>
    <x v="17"/>
    <n v="1.22"/>
    <x v="82"/>
    <x v="1"/>
    <m/>
    <m/>
    <m/>
    <m/>
    <m/>
    <m/>
    <m/>
    <m/>
    <m/>
    <m/>
  </r>
  <r>
    <x v="4"/>
    <n v="122103"/>
    <x v="18"/>
    <x v="0"/>
    <x v="7"/>
    <n v="1.07"/>
    <x v="23"/>
    <x v="2"/>
    <m/>
    <m/>
    <m/>
    <m/>
    <m/>
    <m/>
    <m/>
    <m/>
    <m/>
    <m/>
  </r>
  <r>
    <x v="7"/>
    <n v="47806"/>
    <x v="4"/>
    <x v="0"/>
    <x v="97"/>
    <n v="1"/>
    <x v="47"/>
    <x v="1"/>
    <m/>
    <m/>
    <m/>
    <m/>
    <m/>
    <m/>
    <m/>
    <m/>
    <m/>
    <m/>
  </r>
  <r>
    <x v="10"/>
    <n v="104702"/>
    <x v="26"/>
    <x v="1"/>
    <x v="73"/>
    <n v="0.64"/>
    <x v="79"/>
    <x v="2"/>
    <m/>
    <m/>
    <m/>
    <m/>
    <m/>
    <m/>
    <m/>
    <m/>
    <m/>
    <m/>
  </r>
  <r>
    <x v="7"/>
    <n v="37373"/>
    <x v="25"/>
    <x v="3"/>
    <x v="65"/>
    <n v="1.18"/>
    <x v="15"/>
    <x v="1"/>
    <m/>
    <m/>
    <m/>
    <m/>
    <m/>
    <m/>
    <m/>
    <m/>
    <m/>
    <m/>
  </r>
  <r>
    <x v="13"/>
    <n v="98519"/>
    <x v="9"/>
    <x v="1"/>
    <x v="91"/>
    <n v="0.88"/>
    <x v="86"/>
    <x v="2"/>
    <m/>
    <m/>
    <m/>
    <m/>
    <m/>
    <m/>
    <m/>
    <m/>
    <m/>
    <m/>
  </r>
  <r>
    <x v="14"/>
    <n v="72578"/>
    <x v="13"/>
    <x v="1"/>
    <x v="89"/>
    <n v="0.92"/>
    <x v="9"/>
    <x v="0"/>
    <m/>
    <m/>
    <m/>
    <m/>
    <m/>
    <m/>
    <m/>
    <m/>
    <m/>
    <m/>
  </r>
  <r>
    <x v="0"/>
    <n v="94280"/>
    <x v="17"/>
    <x v="3"/>
    <x v="13"/>
    <n v="0.79"/>
    <x v="80"/>
    <x v="0"/>
    <m/>
    <m/>
    <m/>
    <m/>
    <m/>
    <m/>
    <m/>
    <m/>
    <m/>
    <m/>
  </r>
  <r>
    <x v="11"/>
    <n v="43777"/>
    <x v="26"/>
    <x v="2"/>
    <x v="86"/>
    <n v="0.55000000000000004"/>
    <x v="38"/>
    <x v="2"/>
    <m/>
    <m/>
    <m/>
    <m/>
    <m/>
    <m/>
    <m/>
    <m/>
    <m/>
    <m/>
  </r>
  <r>
    <x v="18"/>
    <n v="81040"/>
    <x v="29"/>
    <x v="0"/>
    <x v="67"/>
    <n v="1.04"/>
    <x v="88"/>
    <x v="1"/>
    <m/>
    <m/>
    <m/>
    <m/>
    <m/>
    <m/>
    <m/>
    <m/>
    <m/>
    <m/>
  </r>
  <r>
    <x v="17"/>
    <n v="97313"/>
    <x v="8"/>
    <x v="1"/>
    <x v="92"/>
    <n v="1.49"/>
    <x v="14"/>
    <x v="2"/>
    <m/>
    <m/>
    <m/>
    <m/>
    <m/>
    <m/>
    <m/>
    <m/>
    <m/>
    <m/>
  </r>
  <r>
    <x v="6"/>
    <n v="59092"/>
    <x v="27"/>
    <x v="3"/>
    <x v="9"/>
    <n v="0.86"/>
    <x v="22"/>
    <x v="2"/>
    <m/>
    <m/>
    <m/>
    <m/>
    <m/>
    <m/>
    <m/>
    <m/>
    <m/>
    <m/>
  </r>
  <r>
    <x v="10"/>
    <n v="66613"/>
    <x v="6"/>
    <x v="0"/>
    <x v="43"/>
    <n v="0.86"/>
    <x v="20"/>
    <x v="2"/>
    <m/>
    <m/>
    <m/>
    <m/>
    <m/>
    <m/>
    <m/>
    <m/>
    <m/>
    <m/>
  </r>
  <r>
    <x v="1"/>
    <n v="40292"/>
    <x v="15"/>
    <x v="1"/>
    <x v="19"/>
    <n v="0.63"/>
    <x v="18"/>
    <x v="1"/>
    <m/>
    <m/>
    <m/>
    <m/>
    <m/>
    <m/>
    <m/>
    <m/>
    <m/>
    <m/>
  </r>
  <r>
    <x v="18"/>
    <n v="111335"/>
    <x v="24"/>
    <x v="0"/>
    <x v="74"/>
    <n v="1.5"/>
    <x v="63"/>
    <x v="1"/>
    <m/>
    <m/>
    <m/>
    <m/>
    <m/>
    <m/>
    <m/>
    <m/>
    <m/>
    <m/>
  </r>
  <r>
    <x v="1"/>
    <n v="86747"/>
    <x v="28"/>
    <x v="0"/>
    <x v="50"/>
    <n v="1.1299999999999999"/>
    <x v="37"/>
    <x v="1"/>
    <m/>
    <m/>
    <m/>
    <m/>
    <m/>
    <m/>
    <m/>
    <m/>
    <m/>
    <m/>
  </r>
  <r>
    <x v="17"/>
    <n v="129318"/>
    <x v="1"/>
    <x v="0"/>
    <x v="68"/>
    <n v="1.45"/>
    <x v="86"/>
    <x v="2"/>
    <m/>
    <m/>
    <m/>
    <m/>
    <m/>
    <m/>
    <m/>
    <m/>
    <m/>
    <m/>
  </r>
  <r>
    <x v="18"/>
    <n v="38789"/>
    <x v="12"/>
    <x v="3"/>
    <x v="14"/>
    <n v="1.23"/>
    <x v="13"/>
    <x v="1"/>
    <m/>
    <m/>
    <m/>
    <m/>
    <m/>
    <m/>
    <m/>
    <m/>
    <m/>
    <m/>
  </r>
  <r>
    <x v="10"/>
    <n v="85823"/>
    <x v="28"/>
    <x v="2"/>
    <x v="58"/>
    <n v="1.02"/>
    <x v="57"/>
    <x v="2"/>
    <m/>
    <m/>
    <m/>
    <m/>
    <m/>
    <m/>
    <m/>
    <m/>
    <m/>
    <m/>
  </r>
  <r>
    <x v="5"/>
    <n v="123286"/>
    <x v="25"/>
    <x v="2"/>
    <x v="93"/>
    <n v="0.77"/>
    <x v="15"/>
    <x v="1"/>
    <m/>
    <m/>
    <m/>
    <m/>
    <m/>
    <m/>
    <m/>
    <m/>
    <m/>
    <m/>
  </r>
  <r>
    <x v="4"/>
    <n v="63161"/>
    <x v="6"/>
    <x v="3"/>
    <x v="28"/>
    <n v="0.57999999999999996"/>
    <x v="33"/>
    <x v="2"/>
    <m/>
    <m/>
    <m/>
    <m/>
    <m/>
    <m/>
    <m/>
    <m/>
    <m/>
    <m/>
  </r>
  <r>
    <x v="12"/>
    <n v="103889"/>
    <x v="26"/>
    <x v="3"/>
    <x v="1"/>
    <n v="0.93"/>
    <x v="71"/>
    <x v="2"/>
    <m/>
    <m/>
    <m/>
    <m/>
    <m/>
    <m/>
    <m/>
    <m/>
    <m/>
    <m/>
  </r>
  <r>
    <x v="18"/>
    <n v="135584"/>
    <x v="5"/>
    <x v="1"/>
    <x v="57"/>
    <n v="1.38"/>
    <x v="21"/>
    <x v="1"/>
    <m/>
    <m/>
    <m/>
    <m/>
    <m/>
    <m/>
    <m/>
    <m/>
    <m/>
    <m/>
  </r>
  <r>
    <x v="3"/>
    <n v="50968"/>
    <x v="12"/>
    <x v="2"/>
    <x v="14"/>
    <n v="1.25"/>
    <x v="33"/>
    <x v="2"/>
    <m/>
    <m/>
    <m/>
    <m/>
    <m/>
    <m/>
    <m/>
    <m/>
    <m/>
    <m/>
  </r>
  <r>
    <x v="6"/>
    <n v="137814"/>
    <x v="28"/>
    <x v="0"/>
    <x v="66"/>
    <n v="0.56999999999999995"/>
    <x v="14"/>
    <x v="2"/>
    <m/>
    <m/>
    <m/>
    <m/>
    <m/>
    <m/>
    <m/>
    <m/>
    <m/>
    <m/>
  </r>
  <r>
    <x v="6"/>
    <n v="83015"/>
    <x v="26"/>
    <x v="2"/>
    <x v="80"/>
    <n v="1.1599999999999999"/>
    <x v="6"/>
    <x v="2"/>
    <m/>
    <m/>
    <m/>
    <m/>
    <m/>
    <m/>
    <m/>
    <m/>
    <m/>
    <m/>
  </r>
  <r>
    <x v="12"/>
    <n v="86862"/>
    <x v="14"/>
    <x v="3"/>
    <x v="37"/>
    <n v="1.04"/>
    <x v="31"/>
    <x v="2"/>
    <m/>
    <m/>
    <m/>
    <m/>
    <m/>
    <m/>
    <m/>
    <m/>
    <m/>
    <m/>
  </r>
  <r>
    <x v="18"/>
    <n v="115501"/>
    <x v="26"/>
    <x v="0"/>
    <x v="27"/>
    <n v="0.51"/>
    <x v="34"/>
    <x v="1"/>
    <m/>
    <m/>
    <m/>
    <m/>
    <m/>
    <m/>
    <m/>
    <m/>
    <m/>
    <m/>
  </r>
  <r>
    <x v="6"/>
    <n v="141768"/>
    <x v="24"/>
    <x v="0"/>
    <x v="30"/>
    <n v="1"/>
    <x v="46"/>
    <x v="2"/>
    <m/>
    <m/>
    <m/>
    <m/>
    <m/>
    <m/>
    <m/>
    <m/>
    <m/>
    <m/>
  </r>
  <r>
    <x v="16"/>
    <n v="53524"/>
    <x v="15"/>
    <x v="1"/>
    <x v="77"/>
    <n v="0.82"/>
    <x v="73"/>
    <x v="0"/>
    <m/>
    <m/>
    <m/>
    <m/>
    <m/>
    <m/>
    <m/>
    <m/>
    <m/>
    <m/>
  </r>
  <r>
    <x v="15"/>
    <n v="38419"/>
    <x v="28"/>
    <x v="2"/>
    <x v="21"/>
    <n v="1.21"/>
    <x v="16"/>
    <x v="1"/>
    <m/>
    <m/>
    <m/>
    <m/>
    <m/>
    <m/>
    <m/>
    <m/>
    <m/>
    <m/>
  </r>
  <r>
    <x v="13"/>
    <n v="94800"/>
    <x v="21"/>
    <x v="1"/>
    <x v="32"/>
    <n v="1.29"/>
    <x v="8"/>
    <x v="2"/>
    <m/>
    <m/>
    <m/>
    <m/>
    <m/>
    <m/>
    <m/>
    <m/>
    <m/>
    <m/>
  </r>
  <r>
    <x v="11"/>
    <n v="111976"/>
    <x v="4"/>
    <x v="2"/>
    <x v="31"/>
    <n v="1.31"/>
    <x v="50"/>
    <x v="2"/>
    <m/>
    <m/>
    <m/>
    <m/>
    <m/>
    <m/>
    <m/>
    <m/>
    <m/>
    <m/>
  </r>
  <r>
    <x v="2"/>
    <n v="67909"/>
    <x v="18"/>
    <x v="2"/>
    <x v="7"/>
    <n v="0.87"/>
    <x v="35"/>
    <x v="0"/>
    <m/>
    <m/>
    <m/>
    <m/>
    <m/>
    <m/>
    <m/>
    <m/>
    <m/>
    <m/>
  </r>
  <r>
    <x v="5"/>
    <n v="46934"/>
    <x v="8"/>
    <x v="3"/>
    <x v="79"/>
    <n v="0.64"/>
    <x v="29"/>
    <x v="1"/>
    <m/>
    <m/>
    <m/>
    <m/>
    <m/>
    <m/>
    <m/>
    <m/>
    <m/>
    <m/>
  </r>
  <r>
    <x v="4"/>
    <n v="41586"/>
    <x v="6"/>
    <x v="3"/>
    <x v="74"/>
    <n v="0.91"/>
    <x v="72"/>
    <x v="2"/>
    <m/>
    <m/>
    <m/>
    <m/>
    <m/>
    <m/>
    <m/>
    <m/>
    <m/>
    <m/>
  </r>
  <r>
    <x v="4"/>
    <n v="77013"/>
    <x v="12"/>
    <x v="0"/>
    <x v="63"/>
    <n v="0.8"/>
    <x v="68"/>
    <x v="2"/>
    <m/>
    <m/>
    <m/>
    <m/>
    <m/>
    <m/>
    <m/>
    <m/>
    <m/>
    <m/>
  </r>
  <r>
    <x v="10"/>
    <n v="133693"/>
    <x v="23"/>
    <x v="2"/>
    <x v="85"/>
    <n v="0.56000000000000005"/>
    <x v="53"/>
    <x v="2"/>
    <m/>
    <m/>
    <m/>
    <m/>
    <m/>
    <m/>
    <m/>
    <m/>
    <m/>
    <m/>
  </r>
  <r>
    <x v="1"/>
    <n v="78825"/>
    <x v="20"/>
    <x v="3"/>
    <x v="31"/>
    <n v="0.85"/>
    <x v="27"/>
    <x v="1"/>
    <m/>
    <m/>
    <m/>
    <m/>
    <m/>
    <m/>
    <m/>
    <m/>
    <m/>
    <m/>
  </r>
  <r>
    <x v="3"/>
    <n v="131505"/>
    <x v="28"/>
    <x v="3"/>
    <x v="95"/>
    <n v="1.25"/>
    <x v="84"/>
    <x v="2"/>
    <m/>
    <m/>
    <m/>
    <m/>
    <m/>
    <m/>
    <m/>
    <m/>
    <m/>
    <m/>
  </r>
  <r>
    <x v="16"/>
    <n v="90107"/>
    <x v="10"/>
    <x v="3"/>
    <x v="2"/>
    <n v="0.92"/>
    <x v="28"/>
    <x v="0"/>
    <m/>
    <m/>
    <m/>
    <m/>
    <m/>
    <m/>
    <m/>
    <m/>
    <m/>
    <m/>
  </r>
  <r>
    <x v="8"/>
    <n v="71916"/>
    <x v="0"/>
    <x v="1"/>
    <x v="47"/>
    <n v="1.31"/>
    <x v="8"/>
    <x v="2"/>
    <m/>
    <m/>
    <m/>
    <m/>
    <m/>
    <m/>
    <m/>
    <m/>
    <m/>
    <m/>
  </r>
  <r>
    <x v="14"/>
    <n v="129794"/>
    <x v="18"/>
    <x v="3"/>
    <x v="95"/>
    <n v="1.36"/>
    <x v="90"/>
    <x v="0"/>
    <m/>
    <m/>
    <m/>
    <m/>
    <m/>
    <m/>
    <m/>
    <m/>
    <m/>
    <m/>
  </r>
  <r>
    <x v="1"/>
    <n v="82186"/>
    <x v="18"/>
    <x v="1"/>
    <x v="0"/>
    <n v="1.42"/>
    <x v="7"/>
    <x v="1"/>
    <m/>
    <m/>
    <m/>
    <m/>
    <m/>
    <m/>
    <m/>
    <m/>
    <m/>
    <m/>
  </r>
  <r>
    <x v="17"/>
    <n v="72531"/>
    <x v="13"/>
    <x v="3"/>
    <x v="97"/>
    <n v="1.31"/>
    <x v="86"/>
    <x v="2"/>
    <m/>
    <m/>
    <m/>
    <m/>
    <m/>
    <m/>
    <m/>
    <m/>
    <m/>
    <m/>
  </r>
  <r>
    <x v="2"/>
    <n v="127596"/>
    <x v="11"/>
    <x v="1"/>
    <x v="39"/>
    <n v="1.44"/>
    <x v="40"/>
    <x v="0"/>
    <m/>
    <m/>
    <m/>
    <m/>
    <m/>
    <m/>
    <m/>
    <m/>
    <m/>
    <m/>
  </r>
  <r>
    <x v="14"/>
    <n v="124826"/>
    <x v="28"/>
    <x v="2"/>
    <x v="75"/>
    <n v="0.56000000000000005"/>
    <x v="67"/>
    <x v="0"/>
    <m/>
    <m/>
    <m/>
    <m/>
    <m/>
    <m/>
    <m/>
    <m/>
    <m/>
    <m/>
  </r>
  <r>
    <x v="7"/>
    <n v="48320"/>
    <x v="26"/>
    <x v="2"/>
    <x v="93"/>
    <n v="0.98"/>
    <x v="47"/>
    <x v="1"/>
    <m/>
    <m/>
    <m/>
    <m/>
    <m/>
    <m/>
    <m/>
    <m/>
    <m/>
    <m/>
  </r>
  <r>
    <x v="4"/>
    <n v="62449"/>
    <x v="10"/>
    <x v="0"/>
    <x v="69"/>
    <n v="1.46"/>
    <x v="71"/>
    <x v="2"/>
    <m/>
    <m/>
    <m/>
    <m/>
    <m/>
    <m/>
    <m/>
    <m/>
    <m/>
    <m/>
  </r>
  <r>
    <x v="0"/>
    <n v="84097"/>
    <x v="19"/>
    <x v="0"/>
    <x v="92"/>
    <n v="1.25"/>
    <x v="35"/>
    <x v="0"/>
    <m/>
    <m/>
    <m/>
    <m/>
    <m/>
    <m/>
    <m/>
    <m/>
    <m/>
    <m/>
  </r>
  <r>
    <x v="2"/>
    <n v="64629"/>
    <x v="0"/>
    <x v="0"/>
    <x v="52"/>
    <n v="0.78"/>
    <x v="17"/>
    <x v="0"/>
    <m/>
    <m/>
    <m/>
    <m/>
    <m/>
    <m/>
    <m/>
    <m/>
    <m/>
    <m/>
  </r>
  <r>
    <x v="17"/>
    <n v="38859"/>
    <x v="7"/>
    <x v="2"/>
    <x v="10"/>
    <n v="0.57999999999999996"/>
    <x v="33"/>
    <x v="2"/>
    <m/>
    <m/>
    <m/>
    <m/>
    <m/>
    <m/>
    <m/>
    <m/>
    <m/>
    <m/>
  </r>
  <r>
    <x v="17"/>
    <n v="40082"/>
    <x v="12"/>
    <x v="0"/>
    <x v="16"/>
    <n v="1.43"/>
    <x v="48"/>
    <x v="2"/>
    <m/>
    <m/>
    <m/>
    <m/>
    <m/>
    <m/>
    <m/>
    <m/>
    <m/>
    <m/>
  </r>
  <r>
    <x v="10"/>
    <n v="136153"/>
    <x v="15"/>
    <x v="0"/>
    <x v="62"/>
    <n v="0.92"/>
    <x v="65"/>
    <x v="2"/>
    <m/>
    <m/>
    <m/>
    <m/>
    <m/>
    <m/>
    <m/>
    <m/>
    <m/>
    <m/>
  </r>
  <r>
    <x v="2"/>
    <n v="70612"/>
    <x v="26"/>
    <x v="0"/>
    <x v="27"/>
    <n v="1.1499999999999999"/>
    <x v="77"/>
    <x v="0"/>
    <m/>
    <m/>
    <m/>
    <m/>
    <m/>
    <m/>
    <m/>
    <m/>
    <m/>
    <m/>
  </r>
  <r>
    <x v="3"/>
    <n v="118444"/>
    <x v="18"/>
    <x v="0"/>
    <x v="33"/>
    <n v="0.78"/>
    <x v="31"/>
    <x v="2"/>
    <m/>
    <m/>
    <m/>
    <m/>
    <m/>
    <m/>
    <m/>
    <m/>
    <m/>
    <m/>
  </r>
  <r>
    <x v="1"/>
    <n v="94204"/>
    <x v="15"/>
    <x v="3"/>
    <x v="55"/>
    <n v="1.04"/>
    <x v="1"/>
    <x v="1"/>
    <m/>
    <m/>
    <m/>
    <m/>
    <m/>
    <m/>
    <m/>
    <m/>
    <m/>
    <m/>
  </r>
  <r>
    <x v="15"/>
    <n v="39852"/>
    <x v="5"/>
    <x v="2"/>
    <x v="13"/>
    <n v="1.1399999999999999"/>
    <x v="18"/>
    <x v="1"/>
    <m/>
    <m/>
    <m/>
    <m/>
    <m/>
    <m/>
    <m/>
    <m/>
    <m/>
    <m/>
  </r>
  <r>
    <x v="18"/>
    <n v="144476"/>
    <x v="12"/>
    <x v="2"/>
    <x v="79"/>
    <n v="0.61"/>
    <x v="34"/>
    <x v="1"/>
    <m/>
    <m/>
    <m/>
    <m/>
    <m/>
    <m/>
    <m/>
    <m/>
    <m/>
    <m/>
  </r>
  <r>
    <x v="3"/>
    <n v="128336"/>
    <x v="16"/>
    <x v="2"/>
    <x v="89"/>
    <n v="0.83"/>
    <x v="78"/>
    <x v="2"/>
    <m/>
    <m/>
    <m/>
    <m/>
    <m/>
    <m/>
    <m/>
    <m/>
    <m/>
    <m/>
  </r>
  <r>
    <x v="8"/>
    <n v="77598"/>
    <x v="18"/>
    <x v="3"/>
    <x v="76"/>
    <n v="1.21"/>
    <x v="12"/>
    <x v="2"/>
    <m/>
    <m/>
    <m/>
    <m/>
    <m/>
    <m/>
    <m/>
    <m/>
    <m/>
    <m/>
  </r>
  <r>
    <x v="1"/>
    <n v="60628"/>
    <x v="2"/>
    <x v="2"/>
    <x v="88"/>
    <n v="0.67"/>
    <x v="42"/>
    <x v="1"/>
    <m/>
    <m/>
    <m/>
    <m/>
    <m/>
    <m/>
    <m/>
    <m/>
    <m/>
    <m/>
  </r>
  <r>
    <x v="12"/>
    <n v="96188"/>
    <x v="16"/>
    <x v="2"/>
    <x v="40"/>
    <n v="0.57999999999999996"/>
    <x v="31"/>
    <x v="2"/>
    <m/>
    <m/>
    <m/>
    <m/>
    <m/>
    <m/>
    <m/>
    <m/>
    <m/>
    <m/>
  </r>
  <r>
    <x v="19"/>
    <n v="42516"/>
    <x v="11"/>
    <x v="2"/>
    <x v="74"/>
    <n v="1.0900000000000001"/>
    <x v="11"/>
    <x v="2"/>
    <m/>
    <m/>
    <m/>
    <m/>
    <m/>
    <m/>
    <m/>
    <m/>
    <m/>
    <m/>
  </r>
  <r>
    <x v="5"/>
    <n v="54722"/>
    <x v="4"/>
    <x v="2"/>
    <x v="74"/>
    <n v="0.96"/>
    <x v="15"/>
    <x v="1"/>
    <m/>
    <m/>
    <m/>
    <m/>
    <m/>
    <m/>
    <m/>
    <m/>
    <m/>
    <m/>
  </r>
  <r>
    <x v="11"/>
    <n v="58743"/>
    <x v="14"/>
    <x v="1"/>
    <x v="77"/>
    <n v="1.42"/>
    <x v="50"/>
    <x v="2"/>
    <m/>
    <m/>
    <m/>
    <m/>
    <m/>
    <m/>
    <m/>
    <m/>
    <m/>
    <m/>
  </r>
  <r>
    <x v="15"/>
    <n v="31695"/>
    <x v="11"/>
    <x v="1"/>
    <x v="41"/>
    <n v="0.98"/>
    <x v="13"/>
    <x v="1"/>
    <m/>
    <m/>
    <m/>
    <m/>
    <m/>
    <m/>
    <m/>
    <m/>
    <m/>
    <m/>
  </r>
  <r>
    <x v="9"/>
    <n v="93294"/>
    <x v="21"/>
    <x v="1"/>
    <x v="36"/>
    <n v="0.54"/>
    <x v="39"/>
    <x v="0"/>
    <m/>
    <m/>
    <m/>
    <m/>
    <m/>
    <m/>
    <m/>
    <m/>
    <m/>
    <m/>
  </r>
  <r>
    <x v="1"/>
    <n v="116310"/>
    <x v="9"/>
    <x v="2"/>
    <x v="92"/>
    <n v="1.42"/>
    <x v="18"/>
    <x v="1"/>
    <m/>
    <m/>
    <m/>
    <m/>
    <m/>
    <m/>
    <m/>
    <m/>
    <m/>
    <m/>
  </r>
  <r>
    <x v="18"/>
    <n v="60615"/>
    <x v="17"/>
    <x v="0"/>
    <x v="79"/>
    <n v="0.98"/>
    <x v="34"/>
    <x v="1"/>
    <m/>
    <m/>
    <m/>
    <m/>
    <m/>
    <m/>
    <m/>
    <m/>
    <m/>
    <m/>
  </r>
  <r>
    <x v="12"/>
    <n v="64568"/>
    <x v="8"/>
    <x v="2"/>
    <x v="22"/>
    <n v="1.27"/>
    <x v="23"/>
    <x v="2"/>
    <m/>
    <m/>
    <m/>
    <m/>
    <m/>
    <m/>
    <m/>
    <m/>
    <m/>
    <m/>
  </r>
  <r>
    <x v="1"/>
    <n v="34507"/>
    <x v="1"/>
    <x v="3"/>
    <x v="13"/>
    <n v="0.77"/>
    <x v="75"/>
    <x v="1"/>
    <m/>
    <m/>
    <m/>
    <m/>
    <m/>
    <m/>
    <m/>
    <m/>
    <m/>
    <m/>
  </r>
  <r>
    <x v="18"/>
    <n v="58343"/>
    <x v="27"/>
    <x v="1"/>
    <x v="76"/>
    <n v="0.76"/>
    <x v="37"/>
    <x v="1"/>
    <m/>
    <m/>
    <m/>
    <m/>
    <m/>
    <m/>
    <m/>
    <m/>
    <m/>
    <m/>
  </r>
  <r>
    <x v="1"/>
    <n v="84544"/>
    <x v="23"/>
    <x v="2"/>
    <x v="79"/>
    <n v="1.28"/>
    <x v="52"/>
    <x v="1"/>
    <m/>
    <m/>
    <m/>
    <m/>
    <m/>
    <m/>
    <m/>
    <m/>
    <m/>
    <m/>
  </r>
  <r>
    <x v="18"/>
    <n v="112790"/>
    <x v="2"/>
    <x v="0"/>
    <x v="50"/>
    <n v="0.63"/>
    <x v="52"/>
    <x v="1"/>
    <m/>
    <m/>
    <m/>
    <m/>
    <m/>
    <m/>
    <m/>
    <m/>
    <m/>
    <m/>
  </r>
  <r>
    <x v="17"/>
    <n v="99918"/>
    <x v="11"/>
    <x v="3"/>
    <x v="65"/>
    <n v="0.96"/>
    <x v="49"/>
    <x v="2"/>
    <m/>
    <m/>
    <m/>
    <m/>
    <m/>
    <m/>
    <m/>
    <m/>
    <m/>
    <m/>
  </r>
  <r>
    <x v="9"/>
    <n v="47290"/>
    <x v="9"/>
    <x v="2"/>
    <x v="8"/>
    <n v="1.4"/>
    <x v="89"/>
    <x v="0"/>
    <m/>
    <m/>
    <m/>
    <m/>
    <m/>
    <m/>
    <m/>
    <m/>
    <m/>
    <m/>
  </r>
  <r>
    <x v="17"/>
    <n v="78002"/>
    <x v="20"/>
    <x v="3"/>
    <x v="39"/>
    <n v="1.1599999999999999"/>
    <x v="25"/>
    <x v="2"/>
    <m/>
    <m/>
    <m/>
    <m/>
    <m/>
    <m/>
    <m/>
    <m/>
    <m/>
    <m/>
  </r>
  <r>
    <x v="10"/>
    <n v="39372"/>
    <x v="19"/>
    <x v="3"/>
    <x v="25"/>
    <n v="0.77"/>
    <x v="72"/>
    <x v="2"/>
    <m/>
    <m/>
    <m/>
    <m/>
    <m/>
    <m/>
    <m/>
    <m/>
    <m/>
    <m/>
  </r>
  <r>
    <x v="15"/>
    <n v="87911"/>
    <x v="20"/>
    <x v="3"/>
    <x v="21"/>
    <n v="0.55000000000000004"/>
    <x v="74"/>
    <x v="1"/>
    <m/>
    <m/>
    <m/>
    <m/>
    <m/>
    <m/>
    <m/>
    <m/>
    <m/>
    <m/>
  </r>
  <r>
    <x v="7"/>
    <n v="87920"/>
    <x v="29"/>
    <x v="3"/>
    <x v="58"/>
    <n v="0.55000000000000004"/>
    <x v="47"/>
    <x v="1"/>
    <m/>
    <m/>
    <m/>
    <m/>
    <m/>
    <m/>
    <m/>
    <m/>
    <m/>
    <m/>
  </r>
  <r>
    <x v="15"/>
    <n v="86768"/>
    <x v="19"/>
    <x v="1"/>
    <x v="73"/>
    <n v="1.0900000000000001"/>
    <x v="15"/>
    <x v="1"/>
    <m/>
    <m/>
    <m/>
    <m/>
    <m/>
    <m/>
    <m/>
    <m/>
    <m/>
    <m/>
  </r>
  <r>
    <x v="0"/>
    <n v="43866"/>
    <x v="19"/>
    <x v="0"/>
    <x v="48"/>
    <n v="0.9"/>
    <x v="44"/>
    <x v="0"/>
    <m/>
    <m/>
    <m/>
    <m/>
    <m/>
    <m/>
    <m/>
    <m/>
    <m/>
    <m/>
  </r>
  <r>
    <x v="0"/>
    <n v="133627"/>
    <x v="28"/>
    <x v="3"/>
    <x v="44"/>
    <n v="0.9"/>
    <x v="73"/>
    <x v="0"/>
    <m/>
    <m/>
    <m/>
    <m/>
    <m/>
    <m/>
    <m/>
    <m/>
    <m/>
    <m/>
  </r>
  <r>
    <x v="0"/>
    <n v="45700"/>
    <x v="10"/>
    <x v="0"/>
    <x v="70"/>
    <n v="1.42"/>
    <x v="73"/>
    <x v="0"/>
    <m/>
    <m/>
    <m/>
    <m/>
    <m/>
    <m/>
    <m/>
    <m/>
    <m/>
    <m/>
  </r>
  <r>
    <x v="1"/>
    <n v="112799"/>
    <x v="17"/>
    <x v="1"/>
    <x v="30"/>
    <n v="1.1499999999999999"/>
    <x v="1"/>
    <x v="1"/>
    <m/>
    <m/>
    <m/>
    <m/>
    <m/>
    <m/>
    <m/>
    <m/>
    <m/>
    <m/>
  </r>
  <r>
    <x v="3"/>
    <n v="74458"/>
    <x v="21"/>
    <x v="1"/>
    <x v="32"/>
    <n v="1.23"/>
    <x v="46"/>
    <x v="2"/>
    <m/>
    <m/>
    <m/>
    <m/>
    <m/>
    <m/>
    <m/>
    <m/>
    <m/>
    <m/>
  </r>
  <r>
    <x v="18"/>
    <n v="50125"/>
    <x v="11"/>
    <x v="1"/>
    <x v="85"/>
    <n v="1.18"/>
    <x v="29"/>
    <x v="1"/>
    <m/>
    <m/>
    <m/>
    <m/>
    <m/>
    <m/>
    <m/>
    <m/>
    <m/>
    <m/>
  </r>
  <r>
    <x v="6"/>
    <n v="78926"/>
    <x v="0"/>
    <x v="2"/>
    <x v="0"/>
    <n v="1.0900000000000001"/>
    <x v="43"/>
    <x v="2"/>
    <m/>
    <m/>
    <m/>
    <m/>
    <m/>
    <m/>
    <m/>
    <m/>
    <m/>
    <m/>
  </r>
  <r>
    <x v="13"/>
    <n v="138778"/>
    <x v="23"/>
    <x v="0"/>
    <x v="97"/>
    <n v="1"/>
    <x v="87"/>
    <x v="2"/>
    <m/>
    <m/>
    <m/>
    <m/>
    <m/>
    <m/>
    <m/>
    <m/>
    <m/>
    <m/>
  </r>
  <r>
    <x v="14"/>
    <n v="30671"/>
    <x v="10"/>
    <x v="2"/>
    <x v="1"/>
    <n v="0.94"/>
    <x v="73"/>
    <x v="0"/>
    <m/>
    <m/>
    <m/>
    <m/>
    <m/>
    <m/>
    <m/>
    <m/>
    <m/>
    <m/>
  </r>
  <r>
    <x v="8"/>
    <n v="114153"/>
    <x v="27"/>
    <x v="0"/>
    <x v="88"/>
    <n v="1.4"/>
    <x v="48"/>
    <x v="2"/>
    <m/>
    <m/>
    <m/>
    <m/>
    <m/>
    <m/>
    <m/>
    <m/>
    <m/>
    <m/>
  </r>
  <r>
    <x v="17"/>
    <n v="69574"/>
    <x v="23"/>
    <x v="1"/>
    <x v="14"/>
    <n v="0.62"/>
    <x v="50"/>
    <x v="2"/>
    <m/>
    <m/>
    <m/>
    <m/>
    <m/>
    <m/>
    <m/>
    <m/>
    <m/>
    <m/>
  </r>
  <r>
    <x v="8"/>
    <n v="144616"/>
    <x v="27"/>
    <x v="3"/>
    <x v="31"/>
    <n v="0.87"/>
    <x v="84"/>
    <x v="2"/>
    <m/>
    <m/>
    <m/>
    <m/>
    <m/>
    <m/>
    <m/>
    <m/>
    <m/>
    <m/>
  </r>
  <r>
    <x v="2"/>
    <n v="144313"/>
    <x v="6"/>
    <x v="1"/>
    <x v="9"/>
    <n v="1.37"/>
    <x v="2"/>
    <x v="0"/>
    <m/>
    <m/>
    <m/>
    <m/>
    <m/>
    <m/>
    <m/>
    <m/>
    <m/>
    <m/>
  </r>
  <r>
    <x v="5"/>
    <n v="79047"/>
    <x v="20"/>
    <x v="1"/>
    <x v="57"/>
    <n v="0.67"/>
    <x v="54"/>
    <x v="1"/>
    <m/>
    <m/>
    <m/>
    <m/>
    <m/>
    <m/>
    <m/>
    <m/>
    <m/>
    <m/>
  </r>
  <r>
    <x v="14"/>
    <n v="116649"/>
    <x v="15"/>
    <x v="2"/>
    <x v="11"/>
    <n v="0.75"/>
    <x v="24"/>
    <x v="0"/>
    <m/>
    <m/>
    <m/>
    <m/>
    <m/>
    <m/>
    <m/>
    <m/>
    <m/>
    <m/>
  </r>
  <r>
    <x v="8"/>
    <n v="131192"/>
    <x v="2"/>
    <x v="1"/>
    <x v="62"/>
    <n v="1.22"/>
    <x v="23"/>
    <x v="2"/>
    <m/>
    <m/>
    <m/>
    <m/>
    <m/>
    <m/>
    <m/>
    <m/>
    <m/>
    <m/>
  </r>
  <r>
    <x v="8"/>
    <n v="84165"/>
    <x v="26"/>
    <x v="1"/>
    <x v="76"/>
    <n v="0.99"/>
    <x v="57"/>
    <x v="2"/>
    <m/>
    <m/>
    <m/>
    <m/>
    <m/>
    <m/>
    <m/>
    <m/>
    <m/>
    <m/>
  </r>
  <r>
    <x v="4"/>
    <n v="132488"/>
    <x v="22"/>
    <x v="3"/>
    <x v="16"/>
    <n v="1.1000000000000001"/>
    <x v="55"/>
    <x v="2"/>
    <m/>
    <m/>
    <m/>
    <m/>
    <m/>
    <m/>
    <m/>
    <m/>
    <m/>
    <m/>
  </r>
  <r>
    <x v="16"/>
    <n v="57757"/>
    <x v="2"/>
    <x v="2"/>
    <x v="52"/>
    <n v="0.85"/>
    <x v="62"/>
    <x v="0"/>
    <m/>
    <m/>
    <m/>
    <m/>
    <m/>
    <m/>
    <m/>
    <m/>
    <m/>
    <m/>
  </r>
  <r>
    <x v="19"/>
    <n v="106095"/>
    <x v="12"/>
    <x v="1"/>
    <x v="20"/>
    <n v="1.43"/>
    <x v="11"/>
    <x v="2"/>
    <m/>
    <m/>
    <m/>
    <m/>
    <m/>
    <m/>
    <m/>
    <m/>
    <m/>
    <m/>
  </r>
  <r>
    <x v="18"/>
    <n v="84304"/>
    <x v="24"/>
    <x v="3"/>
    <x v="90"/>
    <n v="1.44"/>
    <x v="19"/>
    <x v="1"/>
    <m/>
    <m/>
    <m/>
    <m/>
    <m/>
    <m/>
    <m/>
    <m/>
    <m/>
    <m/>
  </r>
  <r>
    <x v="18"/>
    <n v="86414"/>
    <x v="24"/>
    <x v="1"/>
    <x v="25"/>
    <n v="1.34"/>
    <x v="75"/>
    <x v="1"/>
    <m/>
    <m/>
    <m/>
    <m/>
    <m/>
    <m/>
    <m/>
    <m/>
    <m/>
    <m/>
  </r>
  <r>
    <x v="12"/>
    <n v="47040"/>
    <x v="21"/>
    <x v="3"/>
    <x v="15"/>
    <n v="0.94"/>
    <x v="4"/>
    <x v="2"/>
    <m/>
    <m/>
    <m/>
    <m/>
    <m/>
    <m/>
    <m/>
    <m/>
    <m/>
    <m/>
  </r>
  <r>
    <x v="12"/>
    <n v="80192"/>
    <x v="6"/>
    <x v="3"/>
    <x v="64"/>
    <n v="1.48"/>
    <x v="64"/>
    <x v="2"/>
    <m/>
    <m/>
    <m/>
    <m/>
    <m/>
    <m/>
    <m/>
    <m/>
    <m/>
    <m/>
  </r>
  <r>
    <x v="4"/>
    <n v="141359"/>
    <x v="28"/>
    <x v="0"/>
    <x v="97"/>
    <n v="0.7"/>
    <x v="87"/>
    <x v="2"/>
    <m/>
    <m/>
    <m/>
    <m/>
    <m/>
    <m/>
    <m/>
    <m/>
    <m/>
    <m/>
  </r>
  <r>
    <x v="2"/>
    <n v="52394"/>
    <x v="12"/>
    <x v="0"/>
    <x v="80"/>
    <n v="1.1200000000000001"/>
    <x v="81"/>
    <x v="0"/>
    <m/>
    <m/>
    <m/>
    <m/>
    <m/>
    <m/>
    <m/>
    <m/>
    <m/>
    <m/>
  </r>
  <r>
    <x v="14"/>
    <n v="75482"/>
    <x v="25"/>
    <x v="1"/>
    <x v="4"/>
    <n v="1.08"/>
    <x v="81"/>
    <x v="0"/>
    <m/>
    <m/>
    <m/>
    <m/>
    <m/>
    <m/>
    <m/>
    <m/>
    <m/>
    <m/>
  </r>
  <r>
    <x v="16"/>
    <n v="147232"/>
    <x v="9"/>
    <x v="2"/>
    <x v="78"/>
    <n v="1.34"/>
    <x v="28"/>
    <x v="0"/>
    <m/>
    <m/>
    <m/>
    <m/>
    <m/>
    <m/>
    <m/>
    <m/>
    <m/>
    <m/>
  </r>
  <r>
    <x v="10"/>
    <n v="147220"/>
    <x v="3"/>
    <x v="1"/>
    <x v="73"/>
    <n v="0.86"/>
    <x v="86"/>
    <x v="2"/>
    <m/>
    <m/>
    <m/>
    <m/>
    <m/>
    <m/>
    <m/>
    <m/>
    <m/>
    <m/>
  </r>
  <r>
    <x v="17"/>
    <n v="107078"/>
    <x v="27"/>
    <x v="3"/>
    <x v="26"/>
    <n v="0.64"/>
    <x v="23"/>
    <x v="2"/>
    <m/>
    <m/>
    <m/>
    <m/>
    <m/>
    <m/>
    <m/>
    <m/>
    <m/>
    <m/>
  </r>
  <r>
    <x v="17"/>
    <n v="63979"/>
    <x v="16"/>
    <x v="3"/>
    <x v="0"/>
    <n v="1.46"/>
    <x v="84"/>
    <x v="2"/>
    <m/>
    <m/>
    <m/>
    <m/>
    <m/>
    <m/>
    <m/>
    <m/>
    <m/>
    <m/>
  </r>
  <r>
    <x v="2"/>
    <n v="120290"/>
    <x v="25"/>
    <x v="2"/>
    <x v="49"/>
    <n v="0.67"/>
    <x v="81"/>
    <x v="0"/>
    <m/>
    <m/>
    <m/>
    <m/>
    <m/>
    <m/>
    <m/>
    <m/>
    <m/>
    <m/>
  </r>
  <r>
    <x v="1"/>
    <n v="51573"/>
    <x v="25"/>
    <x v="1"/>
    <x v="7"/>
    <n v="1.1100000000000001"/>
    <x v="34"/>
    <x v="1"/>
    <m/>
    <m/>
    <m/>
    <m/>
    <m/>
    <m/>
    <m/>
    <m/>
    <m/>
    <m/>
  </r>
  <r>
    <x v="7"/>
    <n v="79984"/>
    <x v="0"/>
    <x v="2"/>
    <x v="62"/>
    <n v="0.83"/>
    <x v="19"/>
    <x v="1"/>
    <m/>
    <m/>
    <m/>
    <m/>
    <m/>
    <m/>
    <m/>
    <m/>
    <m/>
    <m/>
  </r>
  <r>
    <x v="13"/>
    <n v="96770"/>
    <x v="3"/>
    <x v="3"/>
    <x v="96"/>
    <n v="0.52"/>
    <x v="68"/>
    <x v="2"/>
    <m/>
    <m/>
    <m/>
    <m/>
    <m/>
    <m/>
    <m/>
    <m/>
    <m/>
    <m/>
  </r>
  <r>
    <x v="6"/>
    <n v="68031"/>
    <x v="6"/>
    <x v="1"/>
    <x v="100"/>
    <n v="1.17"/>
    <x v="87"/>
    <x v="2"/>
    <m/>
    <m/>
    <m/>
    <m/>
    <m/>
    <m/>
    <m/>
    <m/>
    <m/>
    <m/>
  </r>
  <r>
    <x v="0"/>
    <n v="124238"/>
    <x v="21"/>
    <x v="1"/>
    <x v="55"/>
    <n v="1.1200000000000001"/>
    <x v="83"/>
    <x v="0"/>
    <m/>
    <m/>
    <m/>
    <m/>
    <m/>
    <m/>
    <m/>
    <m/>
    <m/>
    <m/>
  </r>
  <r>
    <x v="12"/>
    <n v="105587"/>
    <x v="19"/>
    <x v="1"/>
    <x v="79"/>
    <n v="0.63"/>
    <x v="12"/>
    <x v="2"/>
    <m/>
    <m/>
    <m/>
    <m/>
    <m/>
    <m/>
    <m/>
    <m/>
    <m/>
    <m/>
  </r>
  <r>
    <x v="5"/>
    <n v="34023"/>
    <x v="29"/>
    <x v="2"/>
    <x v="36"/>
    <n v="0.73"/>
    <x v="15"/>
    <x v="1"/>
    <m/>
    <m/>
    <m/>
    <m/>
    <m/>
    <m/>
    <m/>
    <m/>
    <m/>
    <m/>
  </r>
  <r>
    <x v="6"/>
    <n v="72215"/>
    <x v="18"/>
    <x v="1"/>
    <x v="82"/>
    <n v="0.91"/>
    <x v="71"/>
    <x v="2"/>
    <m/>
    <m/>
    <m/>
    <m/>
    <m/>
    <m/>
    <m/>
    <m/>
    <m/>
    <m/>
  </r>
  <r>
    <x v="19"/>
    <n v="82870"/>
    <x v="18"/>
    <x v="0"/>
    <x v="64"/>
    <n v="1.1100000000000001"/>
    <x v="38"/>
    <x v="2"/>
    <m/>
    <m/>
    <m/>
    <m/>
    <m/>
    <m/>
    <m/>
    <m/>
    <m/>
    <m/>
  </r>
  <r>
    <x v="19"/>
    <n v="32978"/>
    <x v="13"/>
    <x v="0"/>
    <x v="33"/>
    <n v="1.44"/>
    <x v="78"/>
    <x v="2"/>
    <m/>
    <m/>
    <m/>
    <m/>
    <m/>
    <m/>
    <m/>
    <m/>
    <m/>
    <m/>
  </r>
  <r>
    <x v="19"/>
    <n v="45522"/>
    <x v="10"/>
    <x v="0"/>
    <x v="62"/>
    <n v="1.28"/>
    <x v="3"/>
    <x v="2"/>
    <m/>
    <m/>
    <m/>
    <m/>
    <m/>
    <m/>
    <m/>
    <m/>
    <m/>
    <m/>
  </r>
  <r>
    <x v="3"/>
    <n v="63414"/>
    <x v="24"/>
    <x v="2"/>
    <x v="44"/>
    <n v="1.27"/>
    <x v="8"/>
    <x v="2"/>
    <m/>
    <m/>
    <m/>
    <m/>
    <m/>
    <m/>
    <m/>
    <m/>
    <m/>
    <m/>
  </r>
  <r>
    <x v="1"/>
    <n v="47140"/>
    <x v="29"/>
    <x v="3"/>
    <x v="23"/>
    <n v="0.59"/>
    <x v="70"/>
    <x v="1"/>
    <m/>
    <m/>
    <m/>
    <m/>
    <m/>
    <m/>
    <m/>
    <m/>
    <m/>
    <m/>
  </r>
  <r>
    <x v="1"/>
    <n v="140261"/>
    <x v="18"/>
    <x v="2"/>
    <x v="37"/>
    <n v="0.65"/>
    <x v="16"/>
    <x v="1"/>
    <m/>
    <m/>
    <m/>
    <m/>
    <m/>
    <m/>
    <m/>
    <m/>
    <m/>
    <m/>
  </r>
  <r>
    <x v="15"/>
    <n v="62975"/>
    <x v="14"/>
    <x v="0"/>
    <x v="82"/>
    <n v="1.5"/>
    <x v="37"/>
    <x v="1"/>
    <m/>
    <m/>
    <m/>
    <m/>
    <m/>
    <m/>
    <m/>
    <m/>
    <m/>
    <m/>
  </r>
  <r>
    <x v="5"/>
    <n v="146004"/>
    <x v="27"/>
    <x v="1"/>
    <x v="21"/>
    <n v="0.76"/>
    <x v="1"/>
    <x v="1"/>
    <m/>
    <m/>
    <m/>
    <m/>
    <m/>
    <m/>
    <m/>
    <m/>
    <m/>
    <m/>
  </r>
  <r>
    <x v="13"/>
    <n v="57167"/>
    <x v="11"/>
    <x v="2"/>
    <x v="48"/>
    <n v="0.82"/>
    <x v="4"/>
    <x v="2"/>
    <m/>
    <m/>
    <m/>
    <m/>
    <m/>
    <m/>
    <m/>
    <m/>
    <m/>
    <m/>
  </r>
  <r>
    <x v="17"/>
    <n v="39046"/>
    <x v="19"/>
    <x v="2"/>
    <x v="43"/>
    <n v="1.24"/>
    <x v="71"/>
    <x v="2"/>
    <m/>
    <m/>
    <m/>
    <m/>
    <m/>
    <m/>
    <m/>
    <m/>
    <m/>
    <m/>
  </r>
  <r>
    <x v="15"/>
    <n v="113184"/>
    <x v="7"/>
    <x v="2"/>
    <x v="40"/>
    <n v="1.02"/>
    <x v="18"/>
    <x v="1"/>
    <m/>
    <m/>
    <m/>
    <m/>
    <m/>
    <m/>
    <m/>
    <m/>
    <m/>
    <m/>
  </r>
  <r>
    <x v="12"/>
    <n v="52689"/>
    <x v="21"/>
    <x v="2"/>
    <x v="9"/>
    <n v="1.28"/>
    <x v="12"/>
    <x v="2"/>
    <m/>
    <m/>
    <m/>
    <m/>
    <m/>
    <m/>
    <m/>
    <m/>
    <m/>
    <m/>
  </r>
  <r>
    <x v="16"/>
    <n v="125494"/>
    <x v="28"/>
    <x v="0"/>
    <x v="76"/>
    <n v="1.44"/>
    <x v="24"/>
    <x v="0"/>
    <m/>
    <m/>
    <m/>
    <m/>
    <m/>
    <m/>
    <m/>
    <m/>
    <m/>
    <m/>
  </r>
  <r>
    <x v="15"/>
    <n v="111214"/>
    <x v="7"/>
    <x v="3"/>
    <x v="34"/>
    <n v="0.86"/>
    <x v="5"/>
    <x v="1"/>
    <m/>
    <m/>
    <m/>
    <m/>
    <m/>
    <m/>
    <m/>
    <m/>
    <m/>
    <m/>
  </r>
  <r>
    <x v="2"/>
    <n v="139071"/>
    <x v="28"/>
    <x v="1"/>
    <x v="37"/>
    <n v="0.74"/>
    <x v="67"/>
    <x v="0"/>
    <m/>
    <m/>
    <m/>
    <m/>
    <m/>
    <m/>
    <m/>
    <m/>
    <m/>
    <m/>
  </r>
  <r>
    <x v="12"/>
    <n v="34027"/>
    <x v="18"/>
    <x v="3"/>
    <x v="22"/>
    <n v="1.39"/>
    <x v="8"/>
    <x v="2"/>
    <m/>
    <m/>
    <m/>
    <m/>
    <m/>
    <m/>
    <m/>
    <m/>
    <m/>
    <m/>
  </r>
  <r>
    <x v="8"/>
    <n v="129074"/>
    <x v="11"/>
    <x v="3"/>
    <x v="79"/>
    <n v="1.25"/>
    <x v="53"/>
    <x v="2"/>
    <m/>
    <m/>
    <m/>
    <m/>
    <m/>
    <m/>
    <m/>
    <m/>
    <m/>
    <m/>
  </r>
  <r>
    <x v="12"/>
    <n v="114785"/>
    <x v="3"/>
    <x v="2"/>
    <x v="63"/>
    <n v="1.29"/>
    <x v="57"/>
    <x v="2"/>
    <m/>
    <m/>
    <m/>
    <m/>
    <m/>
    <m/>
    <m/>
    <m/>
    <m/>
    <m/>
  </r>
  <r>
    <x v="2"/>
    <n v="149107"/>
    <x v="19"/>
    <x v="0"/>
    <x v="94"/>
    <n v="0.61"/>
    <x v="62"/>
    <x v="0"/>
    <m/>
    <m/>
    <m/>
    <m/>
    <m/>
    <m/>
    <m/>
    <m/>
    <m/>
    <m/>
  </r>
  <r>
    <x v="6"/>
    <n v="42380"/>
    <x v="20"/>
    <x v="1"/>
    <x v="40"/>
    <n v="1.38"/>
    <x v="25"/>
    <x v="2"/>
    <m/>
    <m/>
    <m/>
    <m/>
    <m/>
    <m/>
    <m/>
    <m/>
    <m/>
    <m/>
  </r>
  <r>
    <x v="15"/>
    <n v="81331"/>
    <x v="16"/>
    <x v="2"/>
    <x v="86"/>
    <n v="0.61"/>
    <x v="70"/>
    <x v="1"/>
    <m/>
    <m/>
    <m/>
    <m/>
    <m/>
    <m/>
    <m/>
    <m/>
    <m/>
    <m/>
  </r>
  <r>
    <x v="7"/>
    <n v="38245"/>
    <x v="4"/>
    <x v="0"/>
    <x v="91"/>
    <n v="0.61"/>
    <x v="85"/>
    <x v="1"/>
    <m/>
    <m/>
    <m/>
    <m/>
    <m/>
    <m/>
    <m/>
    <m/>
    <m/>
    <m/>
  </r>
  <r>
    <x v="10"/>
    <n v="76766"/>
    <x v="4"/>
    <x v="1"/>
    <x v="5"/>
    <n v="0.5"/>
    <x v="65"/>
    <x v="2"/>
    <m/>
    <m/>
    <m/>
    <m/>
    <m/>
    <m/>
    <m/>
    <m/>
    <m/>
    <m/>
  </r>
  <r>
    <x v="17"/>
    <n v="121865"/>
    <x v="28"/>
    <x v="1"/>
    <x v="89"/>
    <n v="1.26"/>
    <x v="68"/>
    <x v="2"/>
    <m/>
    <m/>
    <m/>
    <m/>
    <m/>
    <m/>
    <m/>
    <m/>
    <m/>
    <m/>
  </r>
  <r>
    <x v="7"/>
    <n v="133457"/>
    <x v="8"/>
    <x v="1"/>
    <x v="24"/>
    <n v="0.67"/>
    <x v="52"/>
    <x v="1"/>
    <m/>
    <m/>
    <m/>
    <m/>
    <m/>
    <m/>
    <m/>
    <m/>
    <m/>
    <m/>
  </r>
  <r>
    <x v="16"/>
    <n v="131126"/>
    <x v="7"/>
    <x v="3"/>
    <x v="86"/>
    <n v="0.85"/>
    <x v="56"/>
    <x v="0"/>
    <m/>
    <m/>
    <m/>
    <m/>
    <m/>
    <m/>
    <m/>
    <m/>
    <m/>
    <m/>
  </r>
  <r>
    <x v="2"/>
    <n v="73066"/>
    <x v="12"/>
    <x v="0"/>
    <x v="65"/>
    <n v="1.1299999999999999"/>
    <x v="44"/>
    <x v="0"/>
    <m/>
    <m/>
    <m/>
    <m/>
    <m/>
    <m/>
    <m/>
    <m/>
    <m/>
    <m/>
  </r>
  <r>
    <x v="15"/>
    <n v="72875"/>
    <x v="9"/>
    <x v="0"/>
    <x v="35"/>
    <n v="0.51"/>
    <x v="13"/>
    <x v="1"/>
    <m/>
    <m/>
    <m/>
    <m/>
    <m/>
    <m/>
    <m/>
    <m/>
    <m/>
    <m/>
  </r>
  <r>
    <x v="0"/>
    <n v="90011"/>
    <x v="17"/>
    <x v="2"/>
    <x v="9"/>
    <n v="1.1599999999999999"/>
    <x v="77"/>
    <x v="0"/>
    <m/>
    <m/>
    <m/>
    <m/>
    <m/>
    <m/>
    <m/>
    <m/>
    <m/>
    <m/>
  </r>
  <r>
    <x v="3"/>
    <n v="98232"/>
    <x v="7"/>
    <x v="1"/>
    <x v="45"/>
    <n v="0.84"/>
    <x v="66"/>
    <x v="2"/>
    <m/>
    <m/>
    <m/>
    <m/>
    <m/>
    <m/>
    <m/>
    <m/>
    <m/>
    <m/>
  </r>
  <r>
    <x v="17"/>
    <n v="132491"/>
    <x v="6"/>
    <x v="0"/>
    <x v="32"/>
    <n v="1.27"/>
    <x v="4"/>
    <x v="2"/>
    <m/>
    <m/>
    <m/>
    <m/>
    <m/>
    <m/>
    <m/>
    <m/>
    <m/>
    <m/>
  </r>
  <r>
    <x v="12"/>
    <n v="70741"/>
    <x v="17"/>
    <x v="2"/>
    <x v="94"/>
    <n v="0.92"/>
    <x v="11"/>
    <x v="2"/>
    <m/>
    <m/>
    <m/>
    <m/>
    <m/>
    <m/>
    <m/>
    <m/>
    <m/>
    <m/>
  </r>
  <r>
    <x v="16"/>
    <n v="76566"/>
    <x v="19"/>
    <x v="2"/>
    <x v="26"/>
    <n v="0.71"/>
    <x v="2"/>
    <x v="0"/>
    <m/>
    <m/>
    <m/>
    <m/>
    <m/>
    <m/>
    <m/>
    <m/>
    <m/>
    <m/>
  </r>
  <r>
    <x v="5"/>
    <n v="78817"/>
    <x v="0"/>
    <x v="2"/>
    <x v="76"/>
    <n v="1.44"/>
    <x v="7"/>
    <x v="1"/>
    <m/>
    <m/>
    <m/>
    <m/>
    <m/>
    <m/>
    <m/>
    <m/>
    <m/>
    <m/>
  </r>
  <r>
    <x v="3"/>
    <n v="137334"/>
    <x v="14"/>
    <x v="0"/>
    <x v="14"/>
    <n v="1.33"/>
    <x v="86"/>
    <x v="2"/>
    <m/>
    <m/>
    <m/>
    <m/>
    <m/>
    <m/>
    <m/>
    <m/>
    <m/>
    <m/>
  </r>
  <r>
    <x v="4"/>
    <n v="30591"/>
    <x v="22"/>
    <x v="0"/>
    <x v="52"/>
    <n v="1.2"/>
    <x v="23"/>
    <x v="2"/>
    <m/>
    <m/>
    <m/>
    <m/>
    <m/>
    <m/>
    <m/>
    <m/>
    <m/>
    <m/>
  </r>
  <r>
    <x v="14"/>
    <n v="42938"/>
    <x v="27"/>
    <x v="3"/>
    <x v="10"/>
    <n v="0.66"/>
    <x v="77"/>
    <x v="0"/>
    <m/>
    <m/>
    <m/>
    <m/>
    <m/>
    <m/>
    <m/>
    <m/>
    <m/>
    <m/>
  </r>
  <r>
    <x v="2"/>
    <n v="82076"/>
    <x v="22"/>
    <x v="0"/>
    <x v="15"/>
    <n v="1.25"/>
    <x v="44"/>
    <x v="0"/>
    <m/>
    <m/>
    <m/>
    <m/>
    <m/>
    <m/>
    <m/>
    <m/>
    <m/>
    <m/>
  </r>
  <r>
    <x v="18"/>
    <n v="71628"/>
    <x v="11"/>
    <x v="1"/>
    <x v="67"/>
    <n v="0.92"/>
    <x v="34"/>
    <x v="1"/>
    <m/>
    <m/>
    <m/>
    <m/>
    <m/>
    <m/>
    <m/>
    <m/>
    <m/>
    <m/>
  </r>
  <r>
    <x v="16"/>
    <n v="82136"/>
    <x v="2"/>
    <x v="0"/>
    <x v="33"/>
    <n v="0.97"/>
    <x v="83"/>
    <x v="0"/>
    <m/>
    <m/>
    <m/>
    <m/>
    <m/>
    <m/>
    <m/>
    <m/>
    <m/>
    <m/>
  </r>
  <r>
    <x v="19"/>
    <n v="74440"/>
    <x v="16"/>
    <x v="1"/>
    <x v="10"/>
    <n v="0.92"/>
    <x v="48"/>
    <x v="2"/>
    <m/>
    <m/>
    <m/>
    <m/>
    <m/>
    <m/>
    <m/>
    <m/>
    <m/>
    <m/>
  </r>
  <r>
    <x v="15"/>
    <n v="43453"/>
    <x v="16"/>
    <x v="1"/>
    <x v="78"/>
    <n v="0.74"/>
    <x v="54"/>
    <x v="1"/>
    <m/>
    <m/>
    <m/>
    <m/>
    <m/>
    <m/>
    <m/>
    <m/>
    <m/>
    <m/>
  </r>
  <r>
    <x v="17"/>
    <n v="140252"/>
    <x v="16"/>
    <x v="0"/>
    <x v="74"/>
    <n v="1.3"/>
    <x v="58"/>
    <x v="2"/>
    <m/>
    <m/>
    <m/>
    <m/>
    <m/>
    <m/>
    <m/>
    <m/>
    <m/>
    <m/>
  </r>
  <r>
    <x v="4"/>
    <n v="99212"/>
    <x v="12"/>
    <x v="2"/>
    <x v="19"/>
    <n v="1.1499999999999999"/>
    <x v="23"/>
    <x v="2"/>
    <m/>
    <m/>
    <m/>
    <m/>
    <m/>
    <m/>
    <m/>
    <m/>
    <m/>
    <m/>
  </r>
  <r>
    <x v="13"/>
    <n v="50043"/>
    <x v="23"/>
    <x v="0"/>
    <x v="91"/>
    <n v="0.64"/>
    <x v="78"/>
    <x v="2"/>
    <m/>
    <m/>
    <m/>
    <m/>
    <m/>
    <m/>
    <m/>
    <m/>
    <m/>
    <m/>
  </r>
  <r>
    <x v="4"/>
    <n v="33017"/>
    <x v="20"/>
    <x v="0"/>
    <x v="61"/>
    <n v="1.23"/>
    <x v="85"/>
    <x v="1"/>
    <m/>
    <m/>
    <m/>
    <m/>
    <m/>
    <m/>
    <m/>
    <m/>
    <m/>
    <m/>
  </r>
  <r>
    <x v="7"/>
    <n v="118913"/>
    <x v="2"/>
    <x v="0"/>
    <x v="76"/>
    <n v="1.35"/>
    <x v="74"/>
    <x v="1"/>
    <m/>
    <m/>
    <m/>
    <m/>
    <m/>
    <m/>
    <m/>
    <m/>
    <m/>
    <m/>
  </r>
  <r>
    <x v="9"/>
    <n v="144420"/>
    <x v="2"/>
    <x v="0"/>
    <x v="30"/>
    <n v="1.29"/>
    <x v="56"/>
    <x v="0"/>
    <m/>
    <m/>
    <m/>
    <m/>
    <m/>
    <m/>
    <m/>
    <m/>
    <m/>
    <m/>
  </r>
  <r>
    <x v="9"/>
    <n v="126805"/>
    <x v="13"/>
    <x v="3"/>
    <x v="93"/>
    <n v="0.87"/>
    <x v="9"/>
    <x v="0"/>
    <m/>
    <m/>
    <m/>
    <m/>
    <m/>
    <m/>
    <m/>
    <m/>
    <m/>
    <m/>
  </r>
  <r>
    <x v="17"/>
    <n v="144780"/>
    <x v="18"/>
    <x v="3"/>
    <x v="17"/>
    <n v="1.4"/>
    <x v="23"/>
    <x v="2"/>
    <m/>
    <m/>
    <m/>
    <m/>
    <m/>
    <m/>
    <m/>
    <m/>
    <m/>
    <m/>
  </r>
  <r>
    <x v="17"/>
    <n v="137009"/>
    <x v="3"/>
    <x v="3"/>
    <x v="2"/>
    <n v="0.56999999999999995"/>
    <x v="64"/>
    <x v="2"/>
    <m/>
    <m/>
    <m/>
    <m/>
    <m/>
    <m/>
    <m/>
    <m/>
    <m/>
    <m/>
  </r>
  <r>
    <x v="5"/>
    <n v="82328"/>
    <x v="18"/>
    <x v="3"/>
    <x v="97"/>
    <n v="1.17"/>
    <x v="75"/>
    <x v="1"/>
    <m/>
    <m/>
    <m/>
    <m/>
    <m/>
    <m/>
    <m/>
    <m/>
    <m/>
    <m/>
  </r>
  <r>
    <x v="3"/>
    <n v="78542"/>
    <x v="15"/>
    <x v="0"/>
    <x v="2"/>
    <n v="0.65"/>
    <x v="8"/>
    <x v="2"/>
    <m/>
    <m/>
    <m/>
    <m/>
    <m/>
    <m/>
    <m/>
    <m/>
    <m/>
    <m/>
  </r>
  <r>
    <x v="10"/>
    <n v="35703"/>
    <x v="22"/>
    <x v="1"/>
    <x v="47"/>
    <n v="0.6"/>
    <x v="57"/>
    <x v="2"/>
    <m/>
    <m/>
    <m/>
    <m/>
    <m/>
    <m/>
    <m/>
    <m/>
    <m/>
    <m/>
  </r>
  <r>
    <x v="12"/>
    <n v="110146"/>
    <x v="20"/>
    <x v="1"/>
    <x v="6"/>
    <n v="0.72"/>
    <x v="57"/>
    <x v="2"/>
    <m/>
    <m/>
    <m/>
    <m/>
    <m/>
    <m/>
    <m/>
    <m/>
    <m/>
    <m/>
  </r>
  <r>
    <x v="3"/>
    <n v="117052"/>
    <x v="18"/>
    <x v="1"/>
    <x v="50"/>
    <n v="0.95"/>
    <x v="8"/>
    <x v="2"/>
    <m/>
    <m/>
    <m/>
    <m/>
    <m/>
    <m/>
    <m/>
    <m/>
    <m/>
    <m/>
  </r>
  <r>
    <x v="7"/>
    <n v="89254"/>
    <x v="15"/>
    <x v="1"/>
    <x v="24"/>
    <n v="1.38"/>
    <x v="74"/>
    <x v="1"/>
    <m/>
    <m/>
    <m/>
    <m/>
    <m/>
    <m/>
    <m/>
    <m/>
    <m/>
    <m/>
  </r>
  <r>
    <x v="6"/>
    <n v="62009"/>
    <x v="29"/>
    <x v="1"/>
    <x v="10"/>
    <n v="0.71"/>
    <x v="86"/>
    <x v="2"/>
    <m/>
    <m/>
    <m/>
    <m/>
    <m/>
    <m/>
    <m/>
    <m/>
    <m/>
    <m/>
  </r>
  <r>
    <x v="8"/>
    <n v="56651"/>
    <x v="17"/>
    <x v="3"/>
    <x v="62"/>
    <n v="0.59"/>
    <x v="65"/>
    <x v="2"/>
    <m/>
    <m/>
    <m/>
    <m/>
    <m/>
    <m/>
    <m/>
    <m/>
    <m/>
    <m/>
  </r>
  <r>
    <x v="13"/>
    <n v="59410"/>
    <x v="28"/>
    <x v="1"/>
    <x v="27"/>
    <n v="1.33"/>
    <x v="87"/>
    <x v="2"/>
    <m/>
    <m/>
    <m/>
    <m/>
    <m/>
    <m/>
    <m/>
    <m/>
    <m/>
    <m/>
  </r>
  <r>
    <x v="18"/>
    <n v="103844"/>
    <x v="2"/>
    <x v="0"/>
    <x v="13"/>
    <n v="1.35"/>
    <x v="82"/>
    <x v="1"/>
    <m/>
    <m/>
    <m/>
    <m/>
    <m/>
    <m/>
    <m/>
    <m/>
    <m/>
    <m/>
  </r>
  <r>
    <x v="14"/>
    <n v="128035"/>
    <x v="6"/>
    <x v="0"/>
    <x v="87"/>
    <n v="0.78"/>
    <x v="44"/>
    <x v="0"/>
    <m/>
    <m/>
    <m/>
    <m/>
    <m/>
    <m/>
    <m/>
    <m/>
    <m/>
    <m/>
  </r>
  <r>
    <x v="16"/>
    <n v="147270"/>
    <x v="3"/>
    <x v="3"/>
    <x v="41"/>
    <n v="0.55000000000000004"/>
    <x v="35"/>
    <x v="0"/>
    <m/>
    <m/>
    <m/>
    <m/>
    <m/>
    <m/>
    <m/>
    <m/>
    <m/>
    <m/>
  </r>
  <r>
    <x v="18"/>
    <n v="43769"/>
    <x v="2"/>
    <x v="3"/>
    <x v="53"/>
    <n v="0.83"/>
    <x v="5"/>
    <x v="1"/>
    <m/>
    <m/>
    <m/>
    <m/>
    <m/>
    <m/>
    <m/>
    <m/>
    <m/>
    <m/>
  </r>
  <r>
    <x v="4"/>
    <n v="103616"/>
    <x v="29"/>
    <x v="3"/>
    <x v="85"/>
    <n v="0.76"/>
    <x v="43"/>
    <x v="2"/>
    <m/>
    <m/>
    <m/>
    <m/>
    <m/>
    <m/>
    <m/>
    <m/>
    <m/>
    <m/>
  </r>
  <r>
    <x v="2"/>
    <n v="79004"/>
    <x v="0"/>
    <x v="0"/>
    <x v="95"/>
    <n v="0.97"/>
    <x v="90"/>
    <x v="0"/>
    <m/>
    <m/>
    <m/>
    <m/>
    <m/>
    <m/>
    <m/>
    <m/>
    <m/>
    <m/>
  </r>
  <r>
    <x v="13"/>
    <n v="140190"/>
    <x v="25"/>
    <x v="0"/>
    <x v="63"/>
    <n v="0.98"/>
    <x v="45"/>
    <x v="2"/>
    <m/>
    <m/>
    <m/>
    <m/>
    <m/>
    <m/>
    <m/>
    <m/>
    <m/>
    <m/>
  </r>
  <r>
    <x v="16"/>
    <n v="51071"/>
    <x v="8"/>
    <x v="1"/>
    <x v="67"/>
    <n v="0.85"/>
    <x v="83"/>
    <x v="0"/>
    <m/>
    <m/>
    <m/>
    <m/>
    <m/>
    <m/>
    <m/>
    <m/>
    <m/>
    <m/>
  </r>
  <r>
    <x v="19"/>
    <n v="97913"/>
    <x v="13"/>
    <x v="2"/>
    <x v="14"/>
    <n v="0.83"/>
    <x v="36"/>
    <x v="2"/>
    <m/>
    <m/>
    <m/>
    <m/>
    <m/>
    <m/>
    <m/>
    <m/>
    <m/>
    <m/>
  </r>
  <r>
    <x v="11"/>
    <n v="138336"/>
    <x v="18"/>
    <x v="3"/>
    <x v="95"/>
    <n v="1.35"/>
    <x v="10"/>
    <x v="2"/>
    <m/>
    <m/>
    <m/>
    <m/>
    <m/>
    <m/>
    <m/>
    <m/>
    <m/>
    <m/>
  </r>
  <r>
    <x v="15"/>
    <n v="37432"/>
    <x v="6"/>
    <x v="2"/>
    <x v="48"/>
    <n v="0.62"/>
    <x v="5"/>
    <x v="1"/>
    <m/>
    <m/>
    <m/>
    <m/>
    <m/>
    <m/>
    <m/>
    <m/>
    <m/>
    <m/>
  </r>
  <r>
    <x v="11"/>
    <n v="54578"/>
    <x v="9"/>
    <x v="2"/>
    <x v="14"/>
    <n v="0.85"/>
    <x v="79"/>
    <x v="2"/>
    <m/>
    <m/>
    <m/>
    <m/>
    <m/>
    <m/>
    <m/>
    <m/>
    <m/>
    <m/>
  </r>
  <r>
    <x v="4"/>
    <n v="83609"/>
    <x v="19"/>
    <x v="2"/>
    <x v="45"/>
    <n v="0.82"/>
    <x v="69"/>
    <x v="2"/>
    <m/>
    <m/>
    <m/>
    <m/>
    <m/>
    <m/>
    <m/>
    <m/>
    <m/>
    <m/>
  </r>
  <r>
    <x v="3"/>
    <n v="51182"/>
    <x v="18"/>
    <x v="2"/>
    <x v="81"/>
    <n v="1.44"/>
    <x v="50"/>
    <x v="2"/>
    <m/>
    <m/>
    <m/>
    <m/>
    <m/>
    <m/>
    <m/>
    <m/>
    <m/>
    <m/>
  </r>
  <r>
    <x v="10"/>
    <n v="127841"/>
    <x v="14"/>
    <x v="1"/>
    <x v="7"/>
    <n v="0.53"/>
    <x v="69"/>
    <x v="2"/>
    <m/>
    <m/>
    <m/>
    <m/>
    <m/>
    <m/>
    <m/>
    <m/>
    <m/>
    <m/>
  </r>
  <r>
    <x v="1"/>
    <n v="101160"/>
    <x v="22"/>
    <x v="2"/>
    <x v="92"/>
    <n v="0.51"/>
    <x v="42"/>
    <x v="1"/>
    <m/>
    <m/>
    <m/>
    <m/>
    <m/>
    <m/>
    <m/>
    <m/>
    <m/>
    <m/>
  </r>
  <r>
    <x v="19"/>
    <n v="38711"/>
    <x v="16"/>
    <x v="3"/>
    <x v="31"/>
    <n v="1.26"/>
    <x v="66"/>
    <x v="2"/>
    <m/>
    <m/>
    <m/>
    <m/>
    <m/>
    <m/>
    <m/>
    <m/>
    <m/>
    <m/>
  </r>
  <r>
    <x v="13"/>
    <n v="138886"/>
    <x v="6"/>
    <x v="0"/>
    <x v="72"/>
    <n v="1.27"/>
    <x v="38"/>
    <x v="2"/>
    <m/>
    <m/>
    <m/>
    <m/>
    <m/>
    <m/>
    <m/>
    <m/>
    <m/>
    <m/>
  </r>
  <r>
    <x v="1"/>
    <n v="97696"/>
    <x v="1"/>
    <x v="2"/>
    <x v="75"/>
    <n v="0.69"/>
    <x v="74"/>
    <x v="1"/>
    <m/>
    <m/>
    <m/>
    <m/>
    <m/>
    <m/>
    <m/>
    <m/>
    <m/>
    <m/>
  </r>
  <r>
    <x v="16"/>
    <n v="105948"/>
    <x v="26"/>
    <x v="2"/>
    <x v="72"/>
    <n v="1.27"/>
    <x v="2"/>
    <x v="0"/>
    <m/>
    <m/>
    <m/>
    <m/>
    <m/>
    <m/>
    <m/>
    <m/>
    <m/>
    <m/>
  </r>
  <r>
    <x v="11"/>
    <n v="44235"/>
    <x v="13"/>
    <x v="1"/>
    <x v="23"/>
    <n v="1.45"/>
    <x v="69"/>
    <x v="2"/>
    <m/>
    <m/>
    <m/>
    <m/>
    <m/>
    <m/>
    <m/>
    <m/>
    <m/>
    <m/>
  </r>
  <r>
    <x v="16"/>
    <n v="61688"/>
    <x v="27"/>
    <x v="2"/>
    <x v="69"/>
    <n v="1.26"/>
    <x v="17"/>
    <x v="0"/>
    <m/>
    <m/>
    <m/>
    <m/>
    <m/>
    <m/>
    <m/>
    <m/>
    <m/>
    <m/>
  </r>
  <r>
    <x v="0"/>
    <n v="47883"/>
    <x v="4"/>
    <x v="2"/>
    <x v="75"/>
    <n v="0.6"/>
    <x v="24"/>
    <x v="0"/>
    <m/>
    <m/>
    <m/>
    <m/>
    <m/>
    <m/>
    <m/>
    <m/>
    <m/>
    <m/>
  </r>
  <r>
    <x v="9"/>
    <n v="105569"/>
    <x v="13"/>
    <x v="1"/>
    <x v="68"/>
    <n v="1.2"/>
    <x v="83"/>
    <x v="0"/>
    <m/>
    <m/>
    <m/>
    <m/>
    <m/>
    <m/>
    <m/>
    <m/>
    <m/>
    <m/>
  </r>
  <r>
    <x v="3"/>
    <n v="73271"/>
    <x v="10"/>
    <x v="3"/>
    <x v="78"/>
    <n v="0.61"/>
    <x v="4"/>
    <x v="2"/>
    <m/>
    <m/>
    <m/>
    <m/>
    <m/>
    <m/>
    <m/>
    <m/>
    <m/>
    <m/>
  </r>
  <r>
    <x v="7"/>
    <n v="147327"/>
    <x v="13"/>
    <x v="3"/>
    <x v="0"/>
    <n v="1.32"/>
    <x v="54"/>
    <x v="1"/>
    <m/>
    <m/>
    <m/>
    <m/>
    <m/>
    <m/>
    <m/>
    <m/>
    <m/>
    <m/>
  </r>
  <r>
    <x v="0"/>
    <n v="76798"/>
    <x v="24"/>
    <x v="0"/>
    <x v="7"/>
    <n v="0.84"/>
    <x v="90"/>
    <x v="0"/>
    <m/>
    <m/>
    <m/>
    <m/>
    <m/>
    <m/>
    <m/>
    <m/>
    <m/>
    <m/>
  </r>
  <r>
    <x v="15"/>
    <n v="127077"/>
    <x v="10"/>
    <x v="0"/>
    <x v="26"/>
    <n v="1.01"/>
    <x v="15"/>
    <x v="1"/>
    <m/>
    <m/>
    <m/>
    <m/>
    <m/>
    <m/>
    <m/>
    <m/>
    <m/>
    <m/>
  </r>
  <r>
    <x v="2"/>
    <n v="145088"/>
    <x v="7"/>
    <x v="0"/>
    <x v="91"/>
    <n v="0.72"/>
    <x v="51"/>
    <x v="0"/>
    <m/>
    <m/>
    <m/>
    <m/>
    <m/>
    <m/>
    <m/>
    <m/>
    <m/>
    <m/>
  </r>
  <r>
    <x v="12"/>
    <n v="33841"/>
    <x v="0"/>
    <x v="2"/>
    <x v="59"/>
    <n v="1.1599999999999999"/>
    <x v="72"/>
    <x v="2"/>
    <m/>
    <m/>
    <m/>
    <m/>
    <m/>
    <m/>
    <m/>
    <m/>
    <m/>
    <m/>
  </r>
  <r>
    <x v="12"/>
    <n v="141789"/>
    <x v="9"/>
    <x v="3"/>
    <x v="18"/>
    <n v="1.1599999999999999"/>
    <x v="87"/>
    <x v="2"/>
    <m/>
    <m/>
    <m/>
    <m/>
    <m/>
    <m/>
    <m/>
    <m/>
    <m/>
    <m/>
  </r>
  <r>
    <x v="7"/>
    <n v="102828"/>
    <x v="14"/>
    <x v="3"/>
    <x v="50"/>
    <n v="1.04"/>
    <x v="7"/>
    <x v="1"/>
    <m/>
    <m/>
    <m/>
    <m/>
    <m/>
    <m/>
    <m/>
    <m/>
    <m/>
    <m/>
  </r>
  <r>
    <x v="10"/>
    <n v="50754"/>
    <x v="3"/>
    <x v="2"/>
    <x v="31"/>
    <n v="1.46"/>
    <x v="12"/>
    <x v="2"/>
    <m/>
    <m/>
    <m/>
    <m/>
    <m/>
    <m/>
    <m/>
    <m/>
    <m/>
    <m/>
  </r>
  <r>
    <x v="2"/>
    <n v="105481"/>
    <x v="29"/>
    <x v="2"/>
    <x v="93"/>
    <n v="1.06"/>
    <x v="58"/>
    <x v="2"/>
    <m/>
    <m/>
    <m/>
    <m/>
    <m/>
    <m/>
    <m/>
    <m/>
    <m/>
    <m/>
  </r>
  <r>
    <x v="10"/>
    <n v="118110"/>
    <x v="23"/>
    <x v="0"/>
    <x v="88"/>
    <n v="1.43"/>
    <x v="69"/>
    <x v="2"/>
    <m/>
    <m/>
    <m/>
    <m/>
    <m/>
    <m/>
    <m/>
    <m/>
    <m/>
    <m/>
  </r>
  <r>
    <x v="6"/>
    <n v="96178"/>
    <x v="28"/>
    <x v="2"/>
    <x v="21"/>
    <n v="1"/>
    <x v="64"/>
    <x v="2"/>
    <m/>
    <m/>
    <m/>
    <m/>
    <m/>
    <m/>
    <m/>
    <m/>
    <m/>
    <m/>
  </r>
  <r>
    <x v="8"/>
    <n v="146903"/>
    <x v="20"/>
    <x v="1"/>
    <x v="63"/>
    <n v="0.59"/>
    <x v="22"/>
    <x v="2"/>
    <m/>
    <m/>
    <m/>
    <m/>
    <m/>
    <m/>
    <m/>
    <m/>
    <m/>
    <m/>
  </r>
  <r>
    <x v="17"/>
    <n v="101835"/>
    <x v="4"/>
    <x v="0"/>
    <x v="100"/>
    <n v="1.23"/>
    <x v="84"/>
    <x v="2"/>
    <m/>
    <m/>
    <m/>
    <m/>
    <m/>
    <m/>
    <m/>
    <m/>
    <m/>
    <m/>
  </r>
  <r>
    <x v="10"/>
    <n v="144300"/>
    <x v="3"/>
    <x v="1"/>
    <x v="74"/>
    <n v="1.03"/>
    <x v="12"/>
    <x v="2"/>
    <m/>
    <m/>
    <m/>
    <m/>
    <m/>
    <m/>
    <m/>
    <m/>
    <m/>
    <m/>
  </r>
  <r>
    <x v="15"/>
    <n v="80908"/>
    <x v="29"/>
    <x v="2"/>
    <x v="41"/>
    <n v="0.83"/>
    <x v="63"/>
    <x v="1"/>
    <m/>
    <m/>
    <m/>
    <m/>
    <m/>
    <m/>
    <m/>
    <m/>
    <m/>
    <m/>
  </r>
  <r>
    <x v="8"/>
    <n v="30567"/>
    <x v="18"/>
    <x v="3"/>
    <x v="35"/>
    <n v="1.1399999999999999"/>
    <x v="6"/>
    <x v="2"/>
    <m/>
    <m/>
    <m/>
    <m/>
    <m/>
    <m/>
    <m/>
    <m/>
    <m/>
    <m/>
  </r>
  <r>
    <x v="16"/>
    <n v="119342"/>
    <x v="23"/>
    <x v="2"/>
    <x v="93"/>
    <n v="1.47"/>
    <x v="90"/>
    <x v="0"/>
    <m/>
    <m/>
    <m/>
    <m/>
    <m/>
    <m/>
    <m/>
    <m/>
    <m/>
    <m/>
  </r>
  <r>
    <x v="9"/>
    <n v="106762"/>
    <x v="16"/>
    <x v="3"/>
    <x v="54"/>
    <n v="0.68"/>
    <x v="81"/>
    <x v="0"/>
    <m/>
    <m/>
    <m/>
    <m/>
    <m/>
    <m/>
    <m/>
    <m/>
    <m/>
    <m/>
  </r>
  <r>
    <x v="19"/>
    <n v="101486"/>
    <x v="28"/>
    <x v="1"/>
    <x v="98"/>
    <n v="0.86"/>
    <x v="10"/>
    <x v="2"/>
    <m/>
    <m/>
    <m/>
    <m/>
    <m/>
    <m/>
    <m/>
    <m/>
    <m/>
    <m/>
  </r>
  <r>
    <x v="6"/>
    <n v="56926"/>
    <x v="13"/>
    <x v="0"/>
    <x v="25"/>
    <n v="1.03"/>
    <x v="46"/>
    <x v="2"/>
    <m/>
    <m/>
    <m/>
    <m/>
    <m/>
    <m/>
    <m/>
    <m/>
    <m/>
    <m/>
  </r>
  <r>
    <x v="1"/>
    <n v="64986"/>
    <x v="27"/>
    <x v="1"/>
    <x v="56"/>
    <n v="1.36"/>
    <x v="13"/>
    <x v="1"/>
    <m/>
    <m/>
    <m/>
    <m/>
    <m/>
    <m/>
    <m/>
    <m/>
    <m/>
    <m/>
  </r>
  <r>
    <x v="4"/>
    <n v="30944"/>
    <x v="10"/>
    <x v="2"/>
    <x v="4"/>
    <n v="1.33"/>
    <x v="25"/>
    <x v="2"/>
    <m/>
    <m/>
    <m/>
    <m/>
    <m/>
    <m/>
    <m/>
    <m/>
    <m/>
    <m/>
  </r>
  <r>
    <x v="8"/>
    <n v="60540"/>
    <x v="5"/>
    <x v="0"/>
    <x v="21"/>
    <n v="0.75"/>
    <x v="14"/>
    <x v="2"/>
    <m/>
    <m/>
    <m/>
    <m/>
    <m/>
    <m/>
    <m/>
    <m/>
    <m/>
    <m/>
  </r>
  <r>
    <x v="12"/>
    <n v="87410"/>
    <x v="7"/>
    <x v="3"/>
    <x v="76"/>
    <n v="1.05"/>
    <x v="26"/>
    <x v="2"/>
    <m/>
    <m/>
    <m/>
    <m/>
    <m/>
    <m/>
    <m/>
    <m/>
    <m/>
    <m/>
  </r>
  <r>
    <x v="12"/>
    <n v="148362"/>
    <x v="2"/>
    <x v="0"/>
    <x v="30"/>
    <n v="0.8"/>
    <x v="49"/>
    <x v="2"/>
    <m/>
    <m/>
    <m/>
    <m/>
    <m/>
    <m/>
    <m/>
    <m/>
    <m/>
    <m/>
  </r>
  <r>
    <x v="3"/>
    <n v="72460"/>
    <x v="7"/>
    <x v="0"/>
    <x v="49"/>
    <n v="0.76"/>
    <x v="50"/>
    <x v="2"/>
    <m/>
    <m/>
    <m/>
    <m/>
    <m/>
    <m/>
    <m/>
    <m/>
    <m/>
    <m/>
  </r>
  <r>
    <x v="17"/>
    <n v="130257"/>
    <x v="21"/>
    <x v="0"/>
    <x v="29"/>
    <n v="0.69"/>
    <x v="14"/>
    <x v="2"/>
    <m/>
    <m/>
    <m/>
    <m/>
    <m/>
    <m/>
    <m/>
    <m/>
    <m/>
    <m/>
  </r>
  <r>
    <x v="16"/>
    <n v="106054"/>
    <x v="12"/>
    <x v="2"/>
    <x v="48"/>
    <n v="0.54"/>
    <x v="89"/>
    <x v="0"/>
    <m/>
    <m/>
    <m/>
    <m/>
    <m/>
    <m/>
    <m/>
    <m/>
    <m/>
    <m/>
  </r>
  <r>
    <x v="7"/>
    <n v="139588"/>
    <x v="27"/>
    <x v="1"/>
    <x v="58"/>
    <n v="0.84"/>
    <x v="29"/>
    <x v="1"/>
    <m/>
    <m/>
    <m/>
    <m/>
    <m/>
    <m/>
    <m/>
    <m/>
    <m/>
    <m/>
  </r>
  <r>
    <x v="8"/>
    <n v="97143"/>
    <x v="13"/>
    <x v="3"/>
    <x v="82"/>
    <n v="0.71"/>
    <x v="79"/>
    <x v="2"/>
    <m/>
    <m/>
    <m/>
    <m/>
    <m/>
    <m/>
    <m/>
    <m/>
    <m/>
    <m/>
  </r>
  <r>
    <x v="6"/>
    <n v="49798"/>
    <x v="29"/>
    <x v="1"/>
    <x v="9"/>
    <n v="0.69"/>
    <x v="55"/>
    <x v="2"/>
    <m/>
    <m/>
    <m/>
    <m/>
    <m/>
    <m/>
    <m/>
    <m/>
    <m/>
    <m/>
  </r>
  <r>
    <x v="15"/>
    <n v="87748"/>
    <x v="16"/>
    <x v="1"/>
    <x v="4"/>
    <n v="1.24"/>
    <x v="27"/>
    <x v="1"/>
    <m/>
    <m/>
    <m/>
    <m/>
    <m/>
    <m/>
    <m/>
    <m/>
    <m/>
    <m/>
  </r>
  <r>
    <x v="14"/>
    <n v="46254"/>
    <x v="28"/>
    <x v="2"/>
    <x v="1"/>
    <n v="0.69"/>
    <x v="90"/>
    <x v="0"/>
    <m/>
    <m/>
    <m/>
    <m/>
    <m/>
    <m/>
    <m/>
    <m/>
    <m/>
    <m/>
  </r>
  <r>
    <x v="17"/>
    <n v="75211"/>
    <x v="14"/>
    <x v="3"/>
    <x v="38"/>
    <n v="1.45"/>
    <x v="20"/>
    <x v="2"/>
    <m/>
    <m/>
    <m/>
    <m/>
    <m/>
    <m/>
    <m/>
    <m/>
    <m/>
    <m/>
  </r>
  <r>
    <x v="8"/>
    <n v="39695"/>
    <x v="8"/>
    <x v="1"/>
    <x v="89"/>
    <n v="0.97"/>
    <x v="87"/>
    <x v="2"/>
    <m/>
    <m/>
    <m/>
    <m/>
    <m/>
    <m/>
    <m/>
    <m/>
    <m/>
    <m/>
  </r>
  <r>
    <x v="6"/>
    <n v="57740"/>
    <x v="24"/>
    <x v="3"/>
    <x v="46"/>
    <n v="1"/>
    <x v="14"/>
    <x v="2"/>
    <m/>
    <m/>
    <m/>
    <m/>
    <m/>
    <m/>
    <m/>
    <m/>
    <m/>
    <m/>
  </r>
  <r>
    <x v="0"/>
    <n v="99306"/>
    <x v="29"/>
    <x v="3"/>
    <x v="40"/>
    <n v="0.6"/>
    <x v="28"/>
    <x v="0"/>
    <m/>
    <m/>
    <m/>
    <m/>
    <m/>
    <m/>
    <m/>
    <m/>
    <m/>
    <m/>
  </r>
  <r>
    <x v="10"/>
    <n v="54524"/>
    <x v="25"/>
    <x v="2"/>
    <x v="60"/>
    <n v="0.56999999999999995"/>
    <x v="11"/>
    <x v="2"/>
    <m/>
    <m/>
    <m/>
    <m/>
    <m/>
    <m/>
    <m/>
    <m/>
    <m/>
    <m/>
  </r>
  <r>
    <x v="10"/>
    <n v="92345"/>
    <x v="6"/>
    <x v="3"/>
    <x v="32"/>
    <n v="1.41"/>
    <x v="50"/>
    <x v="2"/>
    <m/>
    <m/>
    <m/>
    <m/>
    <m/>
    <m/>
    <m/>
    <m/>
    <m/>
    <m/>
  </r>
  <r>
    <x v="7"/>
    <n v="93220"/>
    <x v="9"/>
    <x v="0"/>
    <x v="100"/>
    <n v="1.47"/>
    <x v="75"/>
    <x v="1"/>
    <m/>
    <m/>
    <m/>
    <m/>
    <m/>
    <m/>
    <m/>
    <m/>
    <m/>
    <m/>
  </r>
  <r>
    <x v="11"/>
    <n v="108610"/>
    <x v="3"/>
    <x v="0"/>
    <x v="41"/>
    <n v="0.73"/>
    <x v="58"/>
    <x v="2"/>
    <m/>
    <m/>
    <m/>
    <m/>
    <m/>
    <m/>
    <m/>
    <m/>
    <m/>
    <m/>
  </r>
  <r>
    <x v="4"/>
    <n v="64722"/>
    <x v="6"/>
    <x v="3"/>
    <x v="32"/>
    <n v="1.17"/>
    <x v="55"/>
    <x v="2"/>
    <m/>
    <m/>
    <m/>
    <m/>
    <m/>
    <m/>
    <m/>
    <m/>
    <m/>
    <m/>
  </r>
  <r>
    <x v="0"/>
    <n v="70910"/>
    <x v="1"/>
    <x v="1"/>
    <x v="96"/>
    <n v="0.87"/>
    <x v="17"/>
    <x v="0"/>
    <m/>
    <m/>
    <m/>
    <m/>
    <m/>
    <m/>
    <m/>
    <m/>
    <m/>
    <m/>
  </r>
  <r>
    <x v="5"/>
    <n v="138347"/>
    <x v="20"/>
    <x v="3"/>
    <x v="70"/>
    <n v="0.96"/>
    <x v="29"/>
    <x v="1"/>
    <m/>
    <m/>
    <m/>
    <m/>
    <m/>
    <m/>
    <m/>
    <m/>
    <m/>
    <m/>
  </r>
  <r>
    <x v="19"/>
    <n v="58152"/>
    <x v="3"/>
    <x v="0"/>
    <x v="29"/>
    <n v="1.05"/>
    <x v="8"/>
    <x v="2"/>
    <m/>
    <m/>
    <m/>
    <m/>
    <m/>
    <m/>
    <m/>
    <m/>
    <m/>
    <m/>
  </r>
  <r>
    <x v="11"/>
    <n v="95063"/>
    <x v="23"/>
    <x v="1"/>
    <x v="22"/>
    <n v="1.03"/>
    <x v="69"/>
    <x v="2"/>
    <m/>
    <m/>
    <m/>
    <m/>
    <m/>
    <m/>
    <m/>
    <m/>
    <m/>
    <m/>
  </r>
  <r>
    <x v="14"/>
    <n v="125761"/>
    <x v="20"/>
    <x v="1"/>
    <x v="2"/>
    <n v="0.76"/>
    <x v="39"/>
    <x v="0"/>
    <m/>
    <m/>
    <m/>
    <m/>
    <m/>
    <m/>
    <m/>
    <m/>
    <m/>
    <m/>
  </r>
  <r>
    <x v="13"/>
    <n v="31645"/>
    <x v="21"/>
    <x v="2"/>
    <x v="15"/>
    <n v="1.32"/>
    <x v="48"/>
    <x v="2"/>
    <m/>
    <m/>
    <m/>
    <m/>
    <m/>
    <m/>
    <m/>
    <m/>
    <m/>
    <m/>
  </r>
  <r>
    <x v="9"/>
    <n v="73262"/>
    <x v="2"/>
    <x v="1"/>
    <x v="73"/>
    <n v="0.51"/>
    <x v="76"/>
    <x v="0"/>
    <m/>
    <m/>
    <m/>
    <m/>
    <m/>
    <m/>
    <m/>
    <m/>
    <m/>
    <m/>
  </r>
  <r>
    <x v="14"/>
    <n v="51730"/>
    <x v="15"/>
    <x v="2"/>
    <x v="34"/>
    <n v="0.72"/>
    <x v="62"/>
    <x v="0"/>
    <m/>
    <m/>
    <m/>
    <m/>
    <m/>
    <m/>
    <m/>
    <m/>
    <m/>
    <m/>
  </r>
  <r>
    <x v="0"/>
    <n v="123878"/>
    <x v="22"/>
    <x v="3"/>
    <x v="72"/>
    <n v="0.77"/>
    <x v="90"/>
    <x v="0"/>
    <m/>
    <m/>
    <m/>
    <m/>
    <m/>
    <m/>
    <m/>
    <m/>
    <m/>
    <m/>
  </r>
  <r>
    <x v="3"/>
    <n v="89300"/>
    <x v="5"/>
    <x v="2"/>
    <x v="80"/>
    <n v="0.93"/>
    <x v="86"/>
    <x v="2"/>
    <m/>
    <m/>
    <m/>
    <m/>
    <m/>
    <m/>
    <m/>
    <m/>
    <m/>
    <m/>
  </r>
  <r>
    <x v="12"/>
    <n v="131971"/>
    <x v="22"/>
    <x v="3"/>
    <x v="39"/>
    <n v="1.43"/>
    <x v="87"/>
    <x v="2"/>
    <m/>
    <m/>
    <m/>
    <m/>
    <m/>
    <m/>
    <m/>
    <m/>
    <m/>
    <m/>
  </r>
  <r>
    <x v="8"/>
    <n v="113441"/>
    <x v="26"/>
    <x v="3"/>
    <x v="12"/>
    <n v="1.1599999999999999"/>
    <x v="57"/>
    <x v="2"/>
    <m/>
    <m/>
    <m/>
    <m/>
    <m/>
    <m/>
    <m/>
    <m/>
    <m/>
    <m/>
  </r>
  <r>
    <x v="9"/>
    <n v="87589"/>
    <x v="13"/>
    <x v="3"/>
    <x v="38"/>
    <n v="1.48"/>
    <x v="24"/>
    <x v="0"/>
    <m/>
    <m/>
    <m/>
    <m/>
    <m/>
    <m/>
    <m/>
    <m/>
    <m/>
    <m/>
  </r>
  <r>
    <x v="13"/>
    <n v="113446"/>
    <x v="18"/>
    <x v="2"/>
    <x v="71"/>
    <n v="1.31"/>
    <x v="4"/>
    <x v="2"/>
    <m/>
    <m/>
    <m/>
    <m/>
    <m/>
    <m/>
    <m/>
    <m/>
    <m/>
    <m/>
  </r>
  <r>
    <x v="14"/>
    <n v="135301"/>
    <x v="15"/>
    <x v="0"/>
    <x v="54"/>
    <n v="1.07"/>
    <x v="24"/>
    <x v="0"/>
    <m/>
    <m/>
    <m/>
    <m/>
    <m/>
    <m/>
    <m/>
    <m/>
    <m/>
    <m/>
  </r>
  <r>
    <x v="11"/>
    <n v="118552"/>
    <x v="21"/>
    <x v="0"/>
    <x v="41"/>
    <n v="0.7"/>
    <x v="72"/>
    <x v="2"/>
    <m/>
    <m/>
    <m/>
    <m/>
    <m/>
    <m/>
    <m/>
    <m/>
    <m/>
    <m/>
  </r>
  <r>
    <x v="19"/>
    <n v="148977"/>
    <x v="12"/>
    <x v="1"/>
    <x v="60"/>
    <n v="1.07"/>
    <x v="84"/>
    <x v="2"/>
    <m/>
    <m/>
    <m/>
    <m/>
    <m/>
    <m/>
    <m/>
    <m/>
    <m/>
    <m/>
  </r>
  <r>
    <x v="10"/>
    <n v="48715"/>
    <x v="25"/>
    <x v="0"/>
    <x v="71"/>
    <n v="0.6"/>
    <x v="31"/>
    <x v="2"/>
    <m/>
    <m/>
    <m/>
    <m/>
    <m/>
    <m/>
    <m/>
    <m/>
    <m/>
    <m/>
  </r>
  <r>
    <x v="8"/>
    <n v="147045"/>
    <x v="11"/>
    <x v="1"/>
    <x v="17"/>
    <n v="0.53"/>
    <x v="87"/>
    <x v="2"/>
    <m/>
    <m/>
    <m/>
    <m/>
    <m/>
    <m/>
    <m/>
    <m/>
    <m/>
    <m/>
  </r>
  <r>
    <x v="3"/>
    <n v="40196"/>
    <x v="28"/>
    <x v="2"/>
    <x v="49"/>
    <n v="1.1100000000000001"/>
    <x v="50"/>
    <x v="2"/>
    <m/>
    <m/>
    <m/>
    <m/>
    <m/>
    <m/>
    <m/>
    <m/>
    <m/>
    <m/>
  </r>
  <r>
    <x v="16"/>
    <n v="141054"/>
    <x v="15"/>
    <x v="1"/>
    <x v="59"/>
    <n v="1.18"/>
    <x v="24"/>
    <x v="0"/>
    <m/>
    <m/>
    <m/>
    <m/>
    <m/>
    <m/>
    <m/>
    <m/>
    <m/>
    <m/>
  </r>
  <r>
    <x v="9"/>
    <n v="132785"/>
    <x v="19"/>
    <x v="1"/>
    <x v="97"/>
    <n v="1.17"/>
    <x v="9"/>
    <x v="0"/>
    <m/>
    <m/>
    <m/>
    <m/>
    <m/>
    <m/>
    <m/>
    <m/>
    <m/>
    <m/>
  </r>
  <r>
    <x v="10"/>
    <n v="123249"/>
    <x v="6"/>
    <x v="0"/>
    <x v="28"/>
    <n v="1.07"/>
    <x v="31"/>
    <x v="2"/>
    <m/>
    <m/>
    <m/>
    <m/>
    <m/>
    <m/>
    <m/>
    <m/>
    <m/>
    <m/>
  </r>
  <r>
    <x v="1"/>
    <n v="62500"/>
    <x v="20"/>
    <x v="3"/>
    <x v="98"/>
    <n v="1.1299999999999999"/>
    <x v="41"/>
    <x v="1"/>
    <m/>
    <m/>
    <m/>
    <m/>
    <m/>
    <m/>
    <m/>
    <m/>
    <m/>
    <m/>
  </r>
  <r>
    <x v="9"/>
    <n v="136128"/>
    <x v="10"/>
    <x v="3"/>
    <x v="28"/>
    <n v="1.41"/>
    <x v="32"/>
    <x v="0"/>
    <m/>
    <m/>
    <m/>
    <m/>
    <m/>
    <m/>
    <m/>
    <m/>
    <m/>
    <m/>
  </r>
  <r>
    <x v="5"/>
    <n v="142109"/>
    <x v="18"/>
    <x v="3"/>
    <x v="16"/>
    <n v="0.87"/>
    <x v="19"/>
    <x v="1"/>
    <m/>
    <m/>
    <m/>
    <m/>
    <m/>
    <m/>
    <m/>
    <m/>
    <m/>
    <m/>
  </r>
  <r>
    <x v="10"/>
    <n v="87737"/>
    <x v="15"/>
    <x v="0"/>
    <x v="56"/>
    <n v="1.44"/>
    <x v="22"/>
    <x v="2"/>
    <m/>
    <m/>
    <m/>
    <m/>
    <m/>
    <m/>
    <m/>
    <m/>
    <m/>
    <m/>
  </r>
  <r>
    <x v="7"/>
    <n v="121903"/>
    <x v="24"/>
    <x v="0"/>
    <x v="47"/>
    <n v="0.71"/>
    <x v="61"/>
    <x v="1"/>
    <m/>
    <m/>
    <m/>
    <m/>
    <m/>
    <m/>
    <m/>
    <m/>
    <m/>
    <m/>
  </r>
  <r>
    <x v="5"/>
    <n v="141654"/>
    <x v="9"/>
    <x v="2"/>
    <x v="73"/>
    <n v="1.39"/>
    <x v="15"/>
    <x v="1"/>
    <m/>
    <m/>
    <m/>
    <m/>
    <m/>
    <m/>
    <m/>
    <m/>
    <m/>
    <m/>
  </r>
  <r>
    <x v="10"/>
    <n v="50662"/>
    <x v="1"/>
    <x v="2"/>
    <x v="44"/>
    <n v="1.2"/>
    <x v="8"/>
    <x v="2"/>
    <m/>
    <m/>
    <m/>
    <m/>
    <m/>
    <m/>
    <m/>
    <m/>
    <m/>
    <m/>
  </r>
  <r>
    <x v="3"/>
    <n v="116755"/>
    <x v="14"/>
    <x v="3"/>
    <x v="90"/>
    <n v="0.56000000000000005"/>
    <x v="66"/>
    <x v="2"/>
    <m/>
    <m/>
    <m/>
    <m/>
    <m/>
    <m/>
    <m/>
    <m/>
    <m/>
    <m/>
  </r>
  <r>
    <x v="12"/>
    <n v="133719"/>
    <x v="8"/>
    <x v="2"/>
    <x v="24"/>
    <n v="0.87"/>
    <x v="4"/>
    <x v="2"/>
    <m/>
    <m/>
    <m/>
    <m/>
    <m/>
    <m/>
    <m/>
    <m/>
    <m/>
    <m/>
  </r>
  <r>
    <x v="8"/>
    <n v="127427"/>
    <x v="20"/>
    <x v="3"/>
    <x v="94"/>
    <n v="1.04"/>
    <x v="64"/>
    <x v="2"/>
    <m/>
    <m/>
    <m/>
    <m/>
    <m/>
    <m/>
    <m/>
    <m/>
    <m/>
    <m/>
  </r>
  <r>
    <x v="17"/>
    <n v="130628"/>
    <x v="16"/>
    <x v="1"/>
    <x v="9"/>
    <n v="1.49"/>
    <x v="64"/>
    <x v="2"/>
    <m/>
    <m/>
    <m/>
    <m/>
    <m/>
    <m/>
    <m/>
    <m/>
    <m/>
    <m/>
  </r>
  <r>
    <x v="7"/>
    <n v="43686"/>
    <x v="23"/>
    <x v="2"/>
    <x v="69"/>
    <n v="0.99"/>
    <x v="13"/>
    <x v="1"/>
    <m/>
    <m/>
    <m/>
    <m/>
    <m/>
    <m/>
    <m/>
    <m/>
    <m/>
    <m/>
  </r>
  <r>
    <x v="1"/>
    <n v="57313"/>
    <x v="27"/>
    <x v="1"/>
    <x v="67"/>
    <n v="1.35"/>
    <x v="7"/>
    <x v="1"/>
    <m/>
    <m/>
    <m/>
    <m/>
    <m/>
    <m/>
    <m/>
    <m/>
    <m/>
    <m/>
  </r>
  <r>
    <x v="10"/>
    <n v="91404"/>
    <x v="8"/>
    <x v="0"/>
    <x v="51"/>
    <n v="0.91"/>
    <x v="50"/>
    <x v="2"/>
    <m/>
    <m/>
    <m/>
    <m/>
    <m/>
    <m/>
    <m/>
    <m/>
    <m/>
    <m/>
  </r>
  <r>
    <x v="4"/>
    <n v="109794"/>
    <x v="1"/>
    <x v="3"/>
    <x v="50"/>
    <n v="1.19"/>
    <x v="78"/>
    <x v="2"/>
    <m/>
    <m/>
    <m/>
    <m/>
    <m/>
    <m/>
    <m/>
    <m/>
    <m/>
    <m/>
  </r>
  <r>
    <x v="8"/>
    <n v="49416"/>
    <x v="18"/>
    <x v="1"/>
    <x v="32"/>
    <n v="0.52"/>
    <x v="50"/>
    <x v="2"/>
    <m/>
    <m/>
    <m/>
    <m/>
    <m/>
    <m/>
    <m/>
    <m/>
    <m/>
    <m/>
  </r>
  <r>
    <x v="18"/>
    <n v="56162"/>
    <x v="10"/>
    <x v="2"/>
    <x v="41"/>
    <n v="1.46"/>
    <x v="70"/>
    <x v="1"/>
    <m/>
    <m/>
    <m/>
    <m/>
    <m/>
    <m/>
    <m/>
    <m/>
    <m/>
    <m/>
  </r>
  <r>
    <x v="9"/>
    <n v="85420"/>
    <x v="21"/>
    <x v="3"/>
    <x v="17"/>
    <n v="1.21"/>
    <x v="62"/>
    <x v="0"/>
    <m/>
    <m/>
    <m/>
    <m/>
    <m/>
    <m/>
    <m/>
    <m/>
    <m/>
    <m/>
  </r>
  <r>
    <x v="4"/>
    <n v="82948"/>
    <x v="21"/>
    <x v="3"/>
    <x v="55"/>
    <n v="1.1499999999999999"/>
    <x v="8"/>
    <x v="2"/>
    <m/>
    <m/>
    <m/>
    <m/>
    <m/>
    <m/>
    <m/>
    <m/>
    <m/>
    <m/>
  </r>
  <r>
    <x v="18"/>
    <n v="91336"/>
    <x v="18"/>
    <x v="1"/>
    <x v="24"/>
    <n v="1.29"/>
    <x v="85"/>
    <x v="1"/>
    <m/>
    <m/>
    <m/>
    <m/>
    <m/>
    <m/>
    <m/>
    <m/>
    <m/>
    <m/>
  </r>
  <r>
    <x v="8"/>
    <n v="104474"/>
    <x v="28"/>
    <x v="0"/>
    <x v="11"/>
    <n v="1.18"/>
    <x v="64"/>
    <x v="2"/>
    <m/>
    <m/>
    <m/>
    <m/>
    <m/>
    <m/>
    <m/>
    <m/>
    <m/>
    <m/>
  </r>
  <r>
    <x v="9"/>
    <n v="72628"/>
    <x v="18"/>
    <x v="0"/>
    <x v="96"/>
    <n v="0.98"/>
    <x v="83"/>
    <x v="0"/>
    <m/>
    <m/>
    <m/>
    <m/>
    <m/>
    <m/>
    <m/>
    <m/>
    <m/>
    <m/>
  </r>
  <r>
    <x v="1"/>
    <n v="135494"/>
    <x v="11"/>
    <x v="2"/>
    <x v="1"/>
    <n v="0.64"/>
    <x v="82"/>
    <x v="1"/>
    <m/>
    <m/>
    <m/>
    <m/>
    <m/>
    <m/>
    <m/>
    <m/>
    <m/>
    <m/>
  </r>
  <r>
    <x v="6"/>
    <n v="71751"/>
    <x v="2"/>
    <x v="2"/>
    <x v="31"/>
    <n v="0.57999999999999996"/>
    <x v="31"/>
    <x v="2"/>
    <m/>
    <m/>
    <m/>
    <m/>
    <m/>
    <m/>
    <m/>
    <m/>
    <m/>
    <m/>
  </r>
  <r>
    <x v="16"/>
    <n v="86087"/>
    <x v="14"/>
    <x v="2"/>
    <x v="18"/>
    <n v="0.57999999999999996"/>
    <x v="40"/>
    <x v="0"/>
    <m/>
    <m/>
    <m/>
    <m/>
    <m/>
    <m/>
    <m/>
    <m/>
    <m/>
    <m/>
  </r>
  <r>
    <x v="18"/>
    <n v="127425"/>
    <x v="12"/>
    <x v="2"/>
    <x v="44"/>
    <n v="0.85"/>
    <x v="61"/>
    <x v="1"/>
    <m/>
    <m/>
    <m/>
    <m/>
    <m/>
    <m/>
    <m/>
    <m/>
    <m/>
    <m/>
  </r>
  <r>
    <x v="12"/>
    <n v="133587"/>
    <x v="28"/>
    <x v="3"/>
    <x v="41"/>
    <n v="0.99"/>
    <x v="79"/>
    <x v="2"/>
    <m/>
    <m/>
    <m/>
    <m/>
    <m/>
    <m/>
    <m/>
    <m/>
    <m/>
    <m/>
  </r>
  <r>
    <x v="0"/>
    <n v="140373"/>
    <x v="22"/>
    <x v="0"/>
    <x v="52"/>
    <n v="1.38"/>
    <x v="24"/>
    <x v="0"/>
    <m/>
    <m/>
    <m/>
    <m/>
    <m/>
    <m/>
    <m/>
    <m/>
    <m/>
    <m/>
  </r>
  <r>
    <x v="5"/>
    <n v="133080"/>
    <x v="29"/>
    <x v="3"/>
    <x v="63"/>
    <n v="1.0900000000000001"/>
    <x v="13"/>
    <x v="1"/>
    <m/>
    <m/>
    <m/>
    <m/>
    <m/>
    <m/>
    <m/>
    <m/>
    <m/>
    <m/>
  </r>
  <r>
    <x v="17"/>
    <n v="123012"/>
    <x v="1"/>
    <x v="1"/>
    <x v="78"/>
    <n v="1.07"/>
    <x v="10"/>
    <x v="2"/>
    <m/>
    <m/>
    <m/>
    <m/>
    <m/>
    <m/>
    <m/>
    <m/>
    <m/>
    <m/>
  </r>
  <r>
    <x v="4"/>
    <n v="76629"/>
    <x v="5"/>
    <x v="0"/>
    <x v="44"/>
    <n v="0.9"/>
    <x v="23"/>
    <x v="2"/>
    <m/>
    <m/>
    <m/>
    <m/>
    <m/>
    <m/>
    <m/>
    <m/>
    <m/>
    <m/>
  </r>
  <r>
    <x v="4"/>
    <n v="33811"/>
    <x v="23"/>
    <x v="1"/>
    <x v="18"/>
    <n v="0.88"/>
    <x v="46"/>
    <x v="2"/>
    <m/>
    <m/>
    <m/>
    <m/>
    <m/>
    <m/>
    <m/>
    <m/>
    <m/>
    <m/>
  </r>
  <r>
    <x v="7"/>
    <n v="95283"/>
    <x v="21"/>
    <x v="2"/>
    <x v="8"/>
    <n v="1.39"/>
    <x v="85"/>
    <x v="1"/>
    <m/>
    <m/>
    <m/>
    <m/>
    <m/>
    <m/>
    <m/>
    <m/>
    <m/>
    <m/>
  </r>
  <r>
    <x v="18"/>
    <n v="113205"/>
    <x v="14"/>
    <x v="2"/>
    <x v="61"/>
    <n v="0.77"/>
    <x v="37"/>
    <x v="1"/>
    <m/>
    <m/>
    <m/>
    <m/>
    <m/>
    <m/>
    <m/>
    <m/>
    <m/>
    <m/>
  </r>
  <r>
    <x v="8"/>
    <n v="100453"/>
    <x v="0"/>
    <x v="3"/>
    <x v="68"/>
    <n v="0.67"/>
    <x v="25"/>
    <x v="2"/>
    <m/>
    <m/>
    <m/>
    <m/>
    <m/>
    <m/>
    <m/>
    <m/>
    <m/>
    <m/>
  </r>
  <r>
    <x v="18"/>
    <n v="68397"/>
    <x v="29"/>
    <x v="0"/>
    <x v="36"/>
    <n v="1.18"/>
    <x v="5"/>
    <x v="1"/>
    <m/>
    <m/>
    <m/>
    <m/>
    <m/>
    <m/>
    <m/>
    <m/>
    <m/>
    <m/>
  </r>
  <r>
    <x v="11"/>
    <n v="113824"/>
    <x v="26"/>
    <x v="3"/>
    <x v="23"/>
    <n v="1.34"/>
    <x v="12"/>
    <x v="2"/>
    <m/>
    <m/>
    <m/>
    <m/>
    <m/>
    <m/>
    <m/>
    <m/>
    <m/>
    <m/>
  </r>
  <r>
    <x v="12"/>
    <n v="50758"/>
    <x v="27"/>
    <x v="3"/>
    <x v="65"/>
    <n v="0.72"/>
    <x v="20"/>
    <x v="2"/>
    <m/>
    <m/>
    <m/>
    <m/>
    <m/>
    <m/>
    <m/>
    <m/>
    <m/>
    <m/>
  </r>
  <r>
    <x v="6"/>
    <n v="135900"/>
    <x v="18"/>
    <x v="0"/>
    <x v="70"/>
    <n v="0.83"/>
    <x v="87"/>
    <x v="2"/>
    <m/>
    <m/>
    <m/>
    <m/>
    <m/>
    <m/>
    <m/>
    <m/>
    <m/>
    <m/>
  </r>
  <r>
    <x v="5"/>
    <n v="133613"/>
    <x v="5"/>
    <x v="1"/>
    <x v="43"/>
    <n v="1.37"/>
    <x v="19"/>
    <x v="1"/>
    <m/>
    <m/>
    <m/>
    <m/>
    <m/>
    <m/>
    <m/>
    <m/>
    <m/>
    <m/>
  </r>
  <r>
    <x v="8"/>
    <n v="93115"/>
    <x v="26"/>
    <x v="2"/>
    <x v="42"/>
    <n v="0.67"/>
    <x v="71"/>
    <x v="2"/>
    <m/>
    <m/>
    <m/>
    <m/>
    <m/>
    <m/>
    <m/>
    <m/>
    <m/>
    <m/>
  </r>
  <r>
    <x v="1"/>
    <n v="129683"/>
    <x v="5"/>
    <x v="0"/>
    <x v="33"/>
    <n v="1.21"/>
    <x v="19"/>
    <x v="1"/>
    <m/>
    <m/>
    <m/>
    <m/>
    <m/>
    <m/>
    <m/>
    <m/>
    <m/>
    <m/>
  </r>
  <r>
    <x v="19"/>
    <n v="83013"/>
    <x v="13"/>
    <x v="3"/>
    <x v="85"/>
    <n v="0.84"/>
    <x v="8"/>
    <x v="2"/>
    <m/>
    <m/>
    <m/>
    <m/>
    <m/>
    <m/>
    <m/>
    <m/>
    <m/>
    <m/>
  </r>
  <r>
    <x v="7"/>
    <n v="45233"/>
    <x v="28"/>
    <x v="2"/>
    <x v="11"/>
    <n v="0.98"/>
    <x v="63"/>
    <x v="1"/>
    <m/>
    <m/>
    <m/>
    <m/>
    <m/>
    <m/>
    <m/>
    <m/>
    <m/>
    <m/>
  </r>
  <r>
    <x v="18"/>
    <n v="50765"/>
    <x v="11"/>
    <x v="1"/>
    <x v="11"/>
    <n v="0.56000000000000005"/>
    <x v="27"/>
    <x v="1"/>
    <m/>
    <m/>
    <m/>
    <m/>
    <m/>
    <m/>
    <m/>
    <m/>
    <m/>
    <m/>
  </r>
  <r>
    <x v="14"/>
    <n v="108766"/>
    <x v="17"/>
    <x v="3"/>
    <x v="84"/>
    <n v="0.85"/>
    <x v="9"/>
    <x v="0"/>
    <m/>
    <m/>
    <m/>
    <m/>
    <m/>
    <m/>
    <m/>
    <m/>
    <m/>
    <m/>
  </r>
  <r>
    <x v="16"/>
    <n v="64297"/>
    <x v="28"/>
    <x v="2"/>
    <x v="36"/>
    <n v="1.03"/>
    <x v="73"/>
    <x v="0"/>
    <m/>
    <m/>
    <m/>
    <m/>
    <m/>
    <m/>
    <m/>
    <m/>
    <m/>
    <m/>
  </r>
  <r>
    <x v="8"/>
    <n v="76126"/>
    <x v="26"/>
    <x v="2"/>
    <x v="95"/>
    <n v="1.39"/>
    <x v="78"/>
    <x v="2"/>
    <m/>
    <m/>
    <m/>
    <m/>
    <m/>
    <m/>
    <m/>
    <m/>
    <m/>
    <m/>
  </r>
  <r>
    <x v="7"/>
    <n v="112694"/>
    <x v="9"/>
    <x v="0"/>
    <x v="33"/>
    <n v="1.43"/>
    <x v="74"/>
    <x v="1"/>
    <m/>
    <m/>
    <m/>
    <m/>
    <m/>
    <m/>
    <m/>
    <m/>
    <m/>
    <m/>
  </r>
  <r>
    <x v="15"/>
    <n v="117287"/>
    <x v="20"/>
    <x v="2"/>
    <x v="26"/>
    <n v="0.6"/>
    <x v="16"/>
    <x v="1"/>
    <m/>
    <m/>
    <m/>
    <m/>
    <m/>
    <m/>
    <m/>
    <m/>
    <m/>
    <m/>
  </r>
  <r>
    <x v="18"/>
    <n v="31082"/>
    <x v="7"/>
    <x v="3"/>
    <x v="85"/>
    <n v="1.23"/>
    <x v="74"/>
    <x v="1"/>
    <m/>
    <m/>
    <m/>
    <m/>
    <m/>
    <m/>
    <m/>
    <m/>
    <m/>
    <m/>
  </r>
  <r>
    <x v="0"/>
    <n v="137252"/>
    <x v="6"/>
    <x v="3"/>
    <x v="15"/>
    <n v="0.98"/>
    <x v="51"/>
    <x v="0"/>
    <m/>
    <m/>
    <m/>
    <m/>
    <m/>
    <m/>
    <m/>
    <m/>
    <m/>
    <m/>
  </r>
  <r>
    <x v="4"/>
    <n v="31511"/>
    <x v="25"/>
    <x v="3"/>
    <x v="30"/>
    <n v="0.79"/>
    <x v="26"/>
    <x v="2"/>
    <m/>
    <m/>
    <m/>
    <m/>
    <m/>
    <m/>
    <m/>
    <m/>
    <m/>
    <m/>
  </r>
  <r>
    <x v="16"/>
    <n v="33145"/>
    <x v="10"/>
    <x v="0"/>
    <x v="57"/>
    <n v="0.89"/>
    <x v="77"/>
    <x v="0"/>
    <m/>
    <m/>
    <m/>
    <m/>
    <m/>
    <m/>
    <m/>
    <m/>
    <m/>
    <m/>
  </r>
  <r>
    <x v="3"/>
    <n v="115642"/>
    <x v="11"/>
    <x v="1"/>
    <x v="20"/>
    <n v="0.7"/>
    <x v="49"/>
    <x v="2"/>
    <m/>
    <m/>
    <m/>
    <m/>
    <m/>
    <m/>
    <m/>
    <m/>
    <m/>
    <m/>
  </r>
  <r>
    <x v="15"/>
    <n v="128303"/>
    <x v="10"/>
    <x v="3"/>
    <x v="30"/>
    <n v="1.1499999999999999"/>
    <x v="63"/>
    <x v="1"/>
    <m/>
    <m/>
    <m/>
    <m/>
    <m/>
    <m/>
    <m/>
    <m/>
    <m/>
    <m/>
  </r>
  <r>
    <x v="2"/>
    <n v="81142"/>
    <x v="28"/>
    <x v="3"/>
    <x v="55"/>
    <n v="0.85"/>
    <x v="90"/>
    <x v="0"/>
    <m/>
    <m/>
    <m/>
    <m/>
    <m/>
    <m/>
    <m/>
    <m/>
    <m/>
    <m/>
  </r>
  <r>
    <x v="1"/>
    <n v="89817"/>
    <x v="3"/>
    <x v="1"/>
    <x v="47"/>
    <n v="1"/>
    <x v="16"/>
    <x v="1"/>
    <m/>
    <m/>
    <m/>
    <m/>
    <m/>
    <m/>
    <m/>
    <m/>
    <m/>
    <m/>
  </r>
  <r>
    <x v="11"/>
    <n v="124410"/>
    <x v="24"/>
    <x v="0"/>
    <x v="17"/>
    <n v="0.84"/>
    <x v="36"/>
    <x v="2"/>
    <m/>
    <m/>
    <m/>
    <m/>
    <m/>
    <m/>
    <m/>
    <m/>
    <m/>
    <m/>
  </r>
  <r>
    <x v="17"/>
    <n v="138139"/>
    <x v="13"/>
    <x v="3"/>
    <x v="70"/>
    <n v="1.1000000000000001"/>
    <x v="23"/>
    <x v="2"/>
    <m/>
    <m/>
    <m/>
    <m/>
    <m/>
    <m/>
    <m/>
    <m/>
    <m/>
    <m/>
  </r>
  <r>
    <x v="1"/>
    <n v="78657"/>
    <x v="17"/>
    <x v="1"/>
    <x v="98"/>
    <n v="0.63"/>
    <x v="29"/>
    <x v="1"/>
    <m/>
    <m/>
    <m/>
    <m/>
    <m/>
    <m/>
    <m/>
    <m/>
    <m/>
    <m/>
  </r>
  <r>
    <x v="16"/>
    <n v="69309"/>
    <x v="18"/>
    <x v="1"/>
    <x v="95"/>
    <n v="1.39"/>
    <x v="83"/>
    <x v="0"/>
    <m/>
    <m/>
    <m/>
    <m/>
    <m/>
    <m/>
    <m/>
    <m/>
    <m/>
    <m/>
  </r>
  <r>
    <x v="10"/>
    <n v="68669"/>
    <x v="25"/>
    <x v="0"/>
    <x v="28"/>
    <n v="1.36"/>
    <x v="55"/>
    <x v="2"/>
    <m/>
    <m/>
    <m/>
    <m/>
    <m/>
    <m/>
    <m/>
    <m/>
    <m/>
    <m/>
  </r>
  <r>
    <x v="16"/>
    <n v="87033"/>
    <x v="9"/>
    <x v="1"/>
    <x v="29"/>
    <n v="0.7"/>
    <x v="73"/>
    <x v="0"/>
    <m/>
    <m/>
    <m/>
    <m/>
    <m/>
    <m/>
    <m/>
    <m/>
    <m/>
    <m/>
  </r>
  <r>
    <x v="7"/>
    <n v="80658"/>
    <x v="22"/>
    <x v="1"/>
    <x v="47"/>
    <n v="0.57999999999999996"/>
    <x v="74"/>
    <x v="1"/>
    <m/>
    <m/>
    <m/>
    <m/>
    <m/>
    <m/>
    <m/>
    <m/>
    <m/>
    <m/>
  </r>
  <r>
    <x v="3"/>
    <n v="136081"/>
    <x v="12"/>
    <x v="2"/>
    <x v="36"/>
    <n v="0.98"/>
    <x v="50"/>
    <x v="2"/>
    <m/>
    <m/>
    <m/>
    <m/>
    <m/>
    <m/>
    <m/>
    <m/>
    <m/>
    <m/>
  </r>
  <r>
    <x v="3"/>
    <n v="48728"/>
    <x v="5"/>
    <x v="3"/>
    <x v="14"/>
    <n v="1.43"/>
    <x v="46"/>
    <x v="2"/>
    <m/>
    <m/>
    <m/>
    <m/>
    <m/>
    <m/>
    <m/>
    <m/>
    <m/>
    <m/>
  </r>
  <r>
    <x v="8"/>
    <n v="52286"/>
    <x v="13"/>
    <x v="2"/>
    <x v="15"/>
    <n v="1.18"/>
    <x v="85"/>
    <x v="1"/>
    <m/>
    <m/>
    <m/>
    <m/>
    <m/>
    <m/>
    <m/>
    <m/>
    <m/>
    <m/>
  </r>
  <r>
    <x v="4"/>
    <n v="55727"/>
    <x v="0"/>
    <x v="1"/>
    <x v="32"/>
    <n v="1.4"/>
    <x v="48"/>
    <x v="2"/>
    <m/>
    <m/>
    <m/>
    <m/>
    <m/>
    <m/>
    <m/>
    <m/>
    <m/>
    <m/>
  </r>
  <r>
    <x v="19"/>
    <n v="104638"/>
    <x v="26"/>
    <x v="0"/>
    <x v="99"/>
    <n v="0.67"/>
    <x v="45"/>
    <x v="2"/>
    <m/>
    <m/>
    <m/>
    <m/>
    <m/>
    <m/>
    <m/>
    <m/>
    <m/>
    <m/>
  </r>
  <r>
    <x v="12"/>
    <n v="119363"/>
    <x v="14"/>
    <x v="1"/>
    <x v="89"/>
    <n v="1.39"/>
    <x v="49"/>
    <x v="2"/>
    <m/>
    <m/>
    <m/>
    <m/>
    <m/>
    <m/>
    <m/>
    <m/>
    <m/>
    <m/>
  </r>
  <r>
    <x v="2"/>
    <n v="141597"/>
    <x v="27"/>
    <x v="3"/>
    <x v="22"/>
    <n v="0.96"/>
    <x v="56"/>
    <x v="0"/>
    <m/>
    <m/>
    <m/>
    <m/>
    <m/>
    <m/>
    <m/>
    <m/>
    <m/>
    <m/>
  </r>
  <r>
    <x v="19"/>
    <n v="72756"/>
    <x v="17"/>
    <x v="1"/>
    <x v="44"/>
    <n v="1.35"/>
    <x v="78"/>
    <x v="2"/>
    <m/>
    <m/>
    <m/>
    <m/>
    <m/>
    <m/>
    <m/>
    <m/>
    <m/>
    <m/>
  </r>
  <r>
    <x v="1"/>
    <n v="77774"/>
    <x v="26"/>
    <x v="2"/>
    <x v="98"/>
    <n v="1.1399999999999999"/>
    <x v="15"/>
    <x v="1"/>
    <m/>
    <m/>
    <m/>
    <m/>
    <m/>
    <m/>
    <m/>
    <m/>
    <m/>
    <m/>
  </r>
  <r>
    <x v="14"/>
    <n v="119865"/>
    <x v="7"/>
    <x v="0"/>
    <x v="98"/>
    <n v="1.2"/>
    <x v="76"/>
    <x v="0"/>
    <m/>
    <m/>
    <m/>
    <m/>
    <m/>
    <m/>
    <m/>
    <m/>
    <m/>
    <m/>
  </r>
  <r>
    <x v="5"/>
    <n v="33692"/>
    <x v="15"/>
    <x v="2"/>
    <x v="71"/>
    <n v="1.3"/>
    <x v="21"/>
    <x v="1"/>
    <m/>
    <m/>
    <m/>
    <m/>
    <m/>
    <m/>
    <m/>
    <m/>
    <m/>
    <m/>
  </r>
  <r>
    <x v="1"/>
    <n v="139419"/>
    <x v="21"/>
    <x v="1"/>
    <x v="3"/>
    <n v="0.91"/>
    <x v="63"/>
    <x v="1"/>
    <m/>
    <m/>
    <m/>
    <m/>
    <m/>
    <m/>
    <m/>
    <m/>
    <m/>
    <m/>
  </r>
  <r>
    <x v="16"/>
    <n v="48782"/>
    <x v="8"/>
    <x v="3"/>
    <x v="19"/>
    <n v="1.36"/>
    <x v="40"/>
    <x v="0"/>
    <m/>
    <m/>
    <m/>
    <m/>
    <m/>
    <m/>
    <m/>
    <m/>
    <m/>
    <m/>
  </r>
  <r>
    <x v="14"/>
    <n v="140349"/>
    <x v="29"/>
    <x v="0"/>
    <x v="75"/>
    <n v="0.91"/>
    <x v="62"/>
    <x v="0"/>
    <m/>
    <m/>
    <m/>
    <m/>
    <m/>
    <m/>
    <m/>
    <m/>
    <m/>
    <m/>
  </r>
  <r>
    <x v="3"/>
    <n v="80075"/>
    <x v="4"/>
    <x v="3"/>
    <x v="14"/>
    <n v="1.45"/>
    <x v="69"/>
    <x v="2"/>
    <m/>
    <m/>
    <m/>
    <m/>
    <m/>
    <m/>
    <m/>
    <m/>
    <m/>
    <m/>
  </r>
  <r>
    <x v="6"/>
    <n v="120629"/>
    <x v="4"/>
    <x v="3"/>
    <x v="87"/>
    <n v="1.23"/>
    <x v="55"/>
    <x v="2"/>
    <m/>
    <m/>
    <m/>
    <m/>
    <m/>
    <m/>
    <m/>
    <m/>
    <m/>
    <m/>
  </r>
  <r>
    <x v="5"/>
    <n v="135899"/>
    <x v="19"/>
    <x v="3"/>
    <x v="75"/>
    <n v="1.25"/>
    <x v="74"/>
    <x v="1"/>
    <m/>
    <m/>
    <m/>
    <m/>
    <m/>
    <m/>
    <m/>
    <m/>
    <m/>
    <m/>
  </r>
  <r>
    <x v="19"/>
    <n v="115333"/>
    <x v="14"/>
    <x v="0"/>
    <x v="5"/>
    <n v="0.82"/>
    <x v="64"/>
    <x v="2"/>
    <m/>
    <m/>
    <m/>
    <m/>
    <m/>
    <m/>
    <m/>
    <m/>
    <m/>
    <m/>
  </r>
  <r>
    <x v="6"/>
    <n v="93908"/>
    <x v="4"/>
    <x v="0"/>
    <x v="6"/>
    <n v="0.97"/>
    <x v="30"/>
    <x v="2"/>
    <m/>
    <m/>
    <m/>
    <m/>
    <m/>
    <m/>
    <m/>
    <m/>
    <m/>
    <m/>
  </r>
  <r>
    <x v="14"/>
    <n v="41564"/>
    <x v="23"/>
    <x v="0"/>
    <x v="6"/>
    <n v="0.75"/>
    <x v="80"/>
    <x v="0"/>
    <m/>
    <m/>
    <m/>
    <m/>
    <m/>
    <m/>
    <m/>
    <m/>
    <m/>
    <m/>
  </r>
  <r>
    <x v="16"/>
    <n v="144507"/>
    <x v="10"/>
    <x v="2"/>
    <x v="30"/>
    <n v="1.0900000000000001"/>
    <x v="77"/>
    <x v="0"/>
    <m/>
    <m/>
    <m/>
    <m/>
    <m/>
    <m/>
    <m/>
    <m/>
    <m/>
    <m/>
  </r>
  <r>
    <x v="13"/>
    <n v="147679"/>
    <x v="12"/>
    <x v="0"/>
    <x v="96"/>
    <n v="1.19"/>
    <x v="3"/>
    <x v="2"/>
    <m/>
    <m/>
    <m/>
    <m/>
    <m/>
    <m/>
    <m/>
    <m/>
    <m/>
    <m/>
  </r>
  <r>
    <x v="1"/>
    <n v="132811"/>
    <x v="7"/>
    <x v="0"/>
    <x v="29"/>
    <n v="1.26"/>
    <x v="85"/>
    <x v="1"/>
    <m/>
    <m/>
    <m/>
    <m/>
    <m/>
    <m/>
    <m/>
    <m/>
    <m/>
    <m/>
  </r>
  <r>
    <x v="10"/>
    <n v="54940"/>
    <x v="27"/>
    <x v="0"/>
    <x v="54"/>
    <n v="0.55000000000000004"/>
    <x v="25"/>
    <x v="2"/>
    <m/>
    <m/>
    <m/>
    <m/>
    <m/>
    <m/>
    <m/>
    <m/>
    <m/>
    <m/>
  </r>
  <r>
    <x v="3"/>
    <n v="144326"/>
    <x v="29"/>
    <x v="1"/>
    <x v="3"/>
    <n v="0.8"/>
    <x v="23"/>
    <x v="2"/>
    <m/>
    <m/>
    <m/>
    <m/>
    <m/>
    <m/>
    <m/>
    <m/>
    <m/>
    <m/>
  </r>
  <r>
    <x v="18"/>
    <n v="30511"/>
    <x v="17"/>
    <x v="0"/>
    <x v="6"/>
    <n v="0.73"/>
    <x v="61"/>
    <x v="1"/>
    <m/>
    <m/>
    <m/>
    <m/>
    <m/>
    <m/>
    <m/>
    <m/>
    <m/>
    <m/>
  </r>
  <r>
    <x v="3"/>
    <n v="49359"/>
    <x v="27"/>
    <x v="3"/>
    <x v="86"/>
    <n v="0.77"/>
    <x v="6"/>
    <x v="2"/>
    <m/>
    <m/>
    <m/>
    <m/>
    <m/>
    <m/>
    <m/>
    <m/>
    <m/>
    <m/>
  </r>
  <r>
    <x v="6"/>
    <n v="36265"/>
    <x v="13"/>
    <x v="2"/>
    <x v="30"/>
    <n v="0.61"/>
    <x v="46"/>
    <x v="2"/>
    <m/>
    <m/>
    <m/>
    <m/>
    <m/>
    <m/>
    <m/>
    <m/>
    <m/>
    <m/>
  </r>
  <r>
    <x v="11"/>
    <n v="122313"/>
    <x v="15"/>
    <x v="0"/>
    <x v="98"/>
    <n v="0.84"/>
    <x v="8"/>
    <x v="2"/>
    <m/>
    <m/>
    <m/>
    <m/>
    <m/>
    <m/>
    <m/>
    <m/>
    <m/>
    <m/>
  </r>
  <r>
    <x v="17"/>
    <n v="39280"/>
    <x v="14"/>
    <x v="1"/>
    <x v="41"/>
    <n v="0.7"/>
    <x v="43"/>
    <x v="2"/>
    <m/>
    <m/>
    <m/>
    <m/>
    <m/>
    <m/>
    <m/>
    <m/>
    <m/>
    <m/>
  </r>
  <r>
    <x v="2"/>
    <n v="80281"/>
    <x v="27"/>
    <x v="3"/>
    <x v="16"/>
    <n v="1.28"/>
    <x v="0"/>
    <x v="0"/>
    <m/>
    <m/>
    <m/>
    <m/>
    <m/>
    <m/>
    <m/>
    <m/>
    <m/>
    <m/>
  </r>
  <r>
    <x v="10"/>
    <n v="98354"/>
    <x v="28"/>
    <x v="2"/>
    <x v="36"/>
    <n v="0.53"/>
    <x v="12"/>
    <x v="2"/>
    <m/>
    <m/>
    <m/>
    <m/>
    <m/>
    <m/>
    <m/>
    <m/>
    <m/>
    <m/>
  </r>
  <r>
    <x v="4"/>
    <n v="140951"/>
    <x v="5"/>
    <x v="2"/>
    <x v="33"/>
    <n v="1.37"/>
    <x v="84"/>
    <x v="2"/>
    <m/>
    <m/>
    <m/>
    <m/>
    <m/>
    <m/>
    <m/>
    <m/>
    <m/>
    <m/>
  </r>
  <r>
    <x v="14"/>
    <n v="145131"/>
    <x v="4"/>
    <x v="0"/>
    <x v="46"/>
    <n v="1.42"/>
    <x v="81"/>
    <x v="0"/>
    <m/>
    <m/>
    <m/>
    <m/>
    <m/>
    <m/>
    <m/>
    <m/>
    <m/>
    <m/>
  </r>
  <r>
    <x v="18"/>
    <n v="51529"/>
    <x v="16"/>
    <x v="3"/>
    <x v="27"/>
    <n v="0.74"/>
    <x v="88"/>
    <x v="1"/>
    <m/>
    <m/>
    <m/>
    <m/>
    <m/>
    <m/>
    <m/>
    <m/>
    <m/>
    <m/>
  </r>
  <r>
    <x v="14"/>
    <n v="30594"/>
    <x v="15"/>
    <x v="0"/>
    <x v="66"/>
    <n v="0.98"/>
    <x v="76"/>
    <x v="0"/>
    <m/>
    <m/>
    <m/>
    <m/>
    <m/>
    <m/>
    <m/>
    <m/>
    <m/>
    <m/>
  </r>
  <r>
    <x v="14"/>
    <n v="142770"/>
    <x v="4"/>
    <x v="0"/>
    <x v="62"/>
    <n v="1.05"/>
    <x v="44"/>
    <x v="0"/>
    <m/>
    <m/>
    <m/>
    <m/>
    <m/>
    <m/>
    <m/>
    <m/>
    <m/>
    <m/>
  </r>
  <r>
    <x v="19"/>
    <n v="122995"/>
    <x v="22"/>
    <x v="2"/>
    <x v="42"/>
    <n v="0.6"/>
    <x v="25"/>
    <x v="2"/>
    <m/>
    <m/>
    <m/>
    <m/>
    <m/>
    <m/>
    <m/>
    <m/>
    <m/>
    <m/>
  </r>
  <r>
    <x v="1"/>
    <n v="137126"/>
    <x v="16"/>
    <x v="0"/>
    <x v="23"/>
    <n v="1.17"/>
    <x v="1"/>
    <x v="1"/>
    <m/>
    <m/>
    <m/>
    <m/>
    <m/>
    <m/>
    <m/>
    <m/>
    <m/>
    <m/>
  </r>
  <r>
    <x v="9"/>
    <n v="44372"/>
    <x v="27"/>
    <x v="3"/>
    <x v="69"/>
    <n v="0.8"/>
    <x v="89"/>
    <x v="0"/>
    <m/>
    <m/>
    <m/>
    <m/>
    <m/>
    <m/>
    <m/>
    <m/>
    <m/>
    <m/>
  </r>
  <r>
    <x v="18"/>
    <n v="53795"/>
    <x v="16"/>
    <x v="0"/>
    <x v="14"/>
    <n v="0.86"/>
    <x v="37"/>
    <x v="1"/>
    <m/>
    <m/>
    <m/>
    <m/>
    <m/>
    <m/>
    <m/>
    <m/>
    <m/>
    <m/>
  </r>
  <r>
    <x v="0"/>
    <n v="80697"/>
    <x v="13"/>
    <x v="3"/>
    <x v="67"/>
    <n v="0.9"/>
    <x v="32"/>
    <x v="0"/>
    <m/>
    <m/>
    <m/>
    <m/>
    <m/>
    <m/>
    <m/>
    <m/>
    <m/>
    <m/>
  </r>
  <r>
    <x v="13"/>
    <n v="118078"/>
    <x v="3"/>
    <x v="1"/>
    <x v="42"/>
    <n v="1.04"/>
    <x v="72"/>
    <x v="2"/>
    <m/>
    <m/>
    <m/>
    <m/>
    <m/>
    <m/>
    <m/>
    <m/>
    <m/>
    <m/>
  </r>
  <r>
    <x v="18"/>
    <n v="125773"/>
    <x v="0"/>
    <x v="0"/>
    <x v="28"/>
    <n v="0.61"/>
    <x v="74"/>
    <x v="1"/>
    <m/>
    <m/>
    <m/>
    <m/>
    <m/>
    <m/>
    <m/>
    <m/>
    <m/>
    <m/>
  </r>
  <r>
    <x v="12"/>
    <n v="93766"/>
    <x v="26"/>
    <x v="1"/>
    <x v="83"/>
    <n v="1.43"/>
    <x v="30"/>
    <x v="2"/>
    <m/>
    <m/>
    <m/>
    <m/>
    <m/>
    <m/>
    <m/>
    <m/>
    <m/>
    <m/>
  </r>
  <r>
    <x v="16"/>
    <n v="105569"/>
    <x v="24"/>
    <x v="3"/>
    <x v="31"/>
    <n v="0.84"/>
    <x v="39"/>
    <x v="0"/>
    <m/>
    <m/>
    <m/>
    <m/>
    <m/>
    <m/>
    <m/>
    <m/>
    <m/>
    <m/>
  </r>
  <r>
    <x v="7"/>
    <n v="45782"/>
    <x v="11"/>
    <x v="3"/>
    <x v="22"/>
    <n v="0.84"/>
    <x v="74"/>
    <x v="1"/>
    <m/>
    <m/>
    <m/>
    <m/>
    <m/>
    <m/>
    <m/>
    <m/>
    <m/>
    <m/>
  </r>
  <r>
    <x v="2"/>
    <n v="127288"/>
    <x v="7"/>
    <x v="2"/>
    <x v="76"/>
    <n v="1.26"/>
    <x v="35"/>
    <x v="0"/>
    <m/>
    <m/>
    <m/>
    <m/>
    <m/>
    <m/>
    <m/>
    <m/>
    <m/>
    <m/>
  </r>
  <r>
    <x v="0"/>
    <n v="107865"/>
    <x v="2"/>
    <x v="0"/>
    <x v="55"/>
    <n v="0.69"/>
    <x v="24"/>
    <x v="0"/>
    <m/>
    <m/>
    <m/>
    <m/>
    <m/>
    <m/>
    <m/>
    <m/>
    <m/>
    <m/>
  </r>
  <r>
    <x v="5"/>
    <n v="75986"/>
    <x v="9"/>
    <x v="1"/>
    <x v="10"/>
    <n v="0.52"/>
    <x v="41"/>
    <x v="1"/>
    <m/>
    <m/>
    <m/>
    <m/>
    <m/>
    <m/>
    <m/>
    <m/>
    <m/>
    <m/>
  </r>
  <r>
    <x v="8"/>
    <n v="60276"/>
    <x v="11"/>
    <x v="0"/>
    <x v="72"/>
    <n v="0.77"/>
    <x v="46"/>
    <x v="2"/>
    <m/>
    <m/>
    <m/>
    <m/>
    <m/>
    <m/>
    <m/>
    <m/>
    <m/>
    <m/>
  </r>
  <r>
    <x v="4"/>
    <n v="137294"/>
    <x v="2"/>
    <x v="2"/>
    <x v="19"/>
    <n v="1.34"/>
    <x v="4"/>
    <x v="2"/>
    <m/>
    <m/>
    <m/>
    <m/>
    <m/>
    <m/>
    <m/>
    <m/>
    <m/>
    <m/>
  </r>
  <r>
    <x v="13"/>
    <n v="147272"/>
    <x v="23"/>
    <x v="1"/>
    <x v="65"/>
    <n v="1.1000000000000001"/>
    <x v="68"/>
    <x v="2"/>
    <m/>
    <m/>
    <m/>
    <m/>
    <m/>
    <m/>
    <m/>
    <m/>
    <m/>
    <m/>
  </r>
  <r>
    <x v="6"/>
    <n v="45819"/>
    <x v="19"/>
    <x v="1"/>
    <x v="1"/>
    <n v="0.98"/>
    <x v="36"/>
    <x v="2"/>
    <m/>
    <m/>
    <m/>
    <m/>
    <m/>
    <m/>
    <m/>
    <m/>
    <m/>
    <m/>
  </r>
  <r>
    <x v="5"/>
    <n v="36473"/>
    <x v="17"/>
    <x v="3"/>
    <x v="68"/>
    <n v="0.56999999999999995"/>
    <x v="63"/>
    <x v="1"/>
    <m/>
    <m/>
    <m/>
    <m/>
    <m/>
    <m/>
    <m/>
    <m/>
    <m/>
    <m/>
  </r>
  <r>
    <x v="14"/>
    <n v="62556"/>
    <x v="9"/>
    <x v="0"/>
    <x v="87"/>
    <n v="1.07"/>
    <x v="32"/>
    <x v="0"/>
    <m/>
    <m/>
    <m/>
    <m/>
    <m/>
    <m/>
    <m/>
    <m/>
    <m/>
    <m/>
  </r>
  <r>
    <x v="1"/>
    <n v="88209"/>
    <x v="16"/>
    <x v="3"/>
    <x v="20"/>
    <n v="0.66"/>
    <x v="37"/>
    <x v="1"/>
    <m/>
    <m/>
    <m/>
    <m/>
    <m/>
    <m/>
    <m/>
    <m/>
    <m/>
    <m/>
  </r>
  <r>
    <x v="11"/>
    <n v="147067"/>
    <x v="6"/>
    <x v="1"/>
    <x v="27"/>
    <n v="0.76"/>
    <x v="87"/>
    <x v="2"/>
    <m/>
    <m/>
    <m/>
    <m/>
    <m/>
    <m/>
    <m/>
    <m/>
    <m/>
    <m/>
  </r>
  <r>
    <x v="11"/>
    <n v="38699"/>
    <x v="23"/>
    <x v="2"/>
    <x v="99"/>
    <n v="0.88"/>
    <x v="22"/>
    <x v="2"/>
    <m/>
    <m/>
    <m/>
    <m/>
    <m/>
    <m/>
    <m/>
    <m/>
    <m/>
    <m/>
  </r>
  <r>
    <x v="12"/>
    <n v="107593"/>
    <x v="15"/>
    <x v="0"/>
    <x v="2"/>
    <n v="0.99"/>
    <x v="68"/>
    <x v="2"/>
    <m/>
    <m/>
    <m/>
    <m/>
    <m/>
    <m/>
    <m/>
    <m/>
    <m/>
    <m/>
  </r>
  <r>
    <x v="0"/>
    <n v="75076"/>
    <x v="17"/>
    <x v="1"/>
    <x v="43"/>
    <n v="1.1200000000000001"/>
    <x v="83"/>
    <x v="0"/>
    <m/>
    <m/>
    <m/>
    <m/>
    <m/>
    <m/>
    <m/>
    <m/>
    <m/>
    <m/>
  </r>
  <r>
    <x v="3"/>
    <n v="91743"/>
    <x v="8"/>
    <x v="3"/>
    <x v="46"/>
    <n v="1.03"/>
    <x v="4"/>
    <x v="2"/>
    <m/>
    <m/>
    <m/>
    <m/>
    <m/>
    <m/>
    <m/>
    <m/>
    <m/>
    <m/>
  </r>
  <r>
    <x v="13"/>
    <n v="80924"/>
    <x v="26"/>
    <x v="1"/>
    <x v="85"/>
    <n v="0.93"/>
    <x v="33"/>
    <x v="2"/>
    <m/>
    <m/>
    <m/>
    <m/>
    <m/>
    <m/>
    <m/>
    <m/>
    <m/>
    <m/>
  </r>
  <r>
    <x v="1"/>
    <n v="72500"/>
    <x v="11"/>
    <x v="1"/>
    <x v="18"/>
    <n v="1.36"/>
    <x v="29"/>
    <x v="1"/>
    <m/>
    <m/>
    <m/>
    <m/>
    <m/>
    <m/>
    <m/>
    <m/>
    <m/>
    <m/>
  </r>
  <r>
    <x v="12"/>
    <n v="52380"/>
    <x v="28"/>
    <x v="1"/>
    <x v="9"/>
    <n v="1.49"/>
    <x v="49"/>
    <x v="2"/>
    <m/>
    <m/>
    <m/>
    <m/>
    <m/>
    <m/>
    <m/>
    <m/>
    <m/>
    <m/>
  </r>
  <r>
    <x v="13"/>
    <n v="34355"/>
    <x v="22"/>
    <x v="3"/>
    <x v="46"/>
    <n v="1.23"/>
    <x v="86"/>
    <x v="2"/>
    <m/>
    <m/>
    <m/>
    <m/>
    <m/>
    <m/>
    <m/>
    <m/>
    <m/>
    <m/>
  </r>
  <r>
    <x v="10"/>
    <n v="32035"/>
    <x v="13"/>
    <x v="0"/>
    <x v="78"/>
    <n v="1.42"/>
    <x v="23"/>
    <x v="2"/>
    <m/>
    <m/>
    <m/>
    <m/>
    <m/>
    <m/>
    <m/>
    <m/>
    <m/>
    <m/>
  </r>
  <r>
    <x v="8"/>
    <n v="32665"/>
    <x v="25"/>
    <x v="1"/>
    <x v="96"/>
    <n v="1.03"/>
    <x v="55"/>
    <x v="2"/>
    <m/>
    <m/>
    <m/>
    <m/>
    <m/>
    <m/>
    <m/>
    <m/>
    <m/>
    <m/>
  </r>
  <r>
    <x v="4"/>
    <n v="100739"/>
    <x v="29"/>
    <x v="3"/>
    <x v="91"/>
    <n v="0.81"/>
    <x v="66"/>
    <x v="2"/>
    <m/>
    <m/>
    <m/>
    <m/>
    <m/>
    <m/>
    <m/>
    <m/>
    <m/>
    <m/>
  </r>
  <r>
    <x v="15"/>
    <n v="128560"/>
    <x v="19"/>
    <x v="0"/>
    <x v="43"/>
    <n v="0.98"/>
    <x v="42"/>
    <x v="1"/>
    <m/>
    <m/>
    <m/>
    <m/>
    <m/>
    <m/>
    <m/>
    <m/>
    <m/>
    <m/>
  </r>
  <r>
    <x v="12"/>
    <n v="59974"/>
    <x v="5"/>
    <x v="0"/>
    <x v="61"/>
    <n v="1.39"/>
    <x v="6"/>
    <x v="2"/>
    <m/>
    <m/>
    <m/>
    <m/>
    <m/>
    <m/>
    <m/>
    <m/>
    <m/>
    <m/>
  </r>
  <r>
    <x v="7"/>
    <n v="90521"/>
    <x v="14"/>
    <x v="2"/>
    <x v="49"/>
    <n v="0.85"/>
    <x v="74"/>
    <x v="1"/>
    <m/>
    <m/>
    <m/>
    <m/>
    <m/>
    <m/>
    <m/>
    <m/>
    <m/>
    <m/>
  </r>
  <r>
    <x v="3"/>
    <n v="66476"/>
    <x v="5"/>
    <x v="0"/>
    <x v="40"/>
    <n v="1.46"/>
    <x v="58"/>
    <x v="2"/>
    <m/>
    <m/>
    <m/>
    <m/>
    <m/>
    <m/>
    <m/>
    <m/>
    <m/>
    <m/>
  </r>
  <r>
    <x v="3"/>
    <n v="82271"/>
    <x v="5"/>
    <x v="1"/>
    <x v="77"/>
    <n v="1.23"/>
    <x v="64"/>
    <x v="2"/>
    <m/>
    <m/>
    <m/>
    <m/>
    <m/>
    <m/>
    <m/>
    <m/>
    <m/>
    <m/>
  </r>
  <r>
    <x v="17"/>
    <n v="33743"/>
    <x v="6"/>
    <x v="0"/>
    <x v="57"/>
    <n v="0.94"/>
    <x v="84"/>
    <x v="2"/>
    <m/>
    <m/>
    <m/>
    <m/>
    <m/>
    <m/>
    <m/>
    <m/>
    <m/>
    <m/>
  </r>
  <r>
    <x v="19"/>
    <n v="111256"/>
    <x v="16"/>
    <x v="1"/>
    <x v="23"/>
    <n v="0.83"/>
    <x v="53"/>
    <x v="2"/>
    <m/>
    <m/>
    <m/>
    <m/>
    <m/>
    <m/>
    <m/>
    <m/>
    <m/>
    <m/>
  </r>
  <r>
    <x v="3"/>
    <n v="132859"/>
    <x v="27"/>
    <x v="0"/>
    <x v="24"/>
    <n v="0.64"/>
    <x v="22"/>
    <x v="2"/>
    <m/>
    <m/>
    <m/>
    <m/>
    <m/>
    <m/>
    <m/>
    <m/>
    <m/>
    <m/>
  </r>
  <r>
    <x v="5"/>
    <n v="99810"/>
    <x v="26"/>
    <x v="2"/>
    <x v="41"/>
    <n v="0.9"/>
    <x v="19"/>
    <x v="1"/>
    <m/>
    <m/>
    <m/>
    <m/>
    <m/>
    <m/>
    <m/>
    <m/>
    <m/>
    <m/>
  </r>
  <r>
    <x v="10"/>
    <n v="90360"/>
    <x v="8"/>
    <x v="0"/>
    <x v="88"/>
    <n v="0.53"/>
    <x v="64"/>
    <x v="2"/>
    <m/>
    <m/>
    <m/>
    <m/>
    <m/>
    <m/>
    <m/>
    <m/>
    <m/>
    <m/>
  </r>
  <r>
    <x v="5"/>
    <n v="130290"/>
    <x v="21"/>
    <x v="2"/>
    <x v="92"/>
    <n v="0.57999999999999996"/>
    <x v="47"/>
    <x v="1"/>
    <m/>
    <m/>
    <m/>
    <m/>
    <m/>
    <m/>
    <m/>
    <m/>
    <m/>
    <m/>
  </r>
  <r>
    <x v="9"/>
    <n v="105656"/>
    <x v="4"/>
    <x v="3"/>
    <x v="36"/>
    <n v="0.67"/>
    <x v="28"/>
    <x v="0"/>
    <m/>
    <m/>
    <m/>
    <m/>
    <m/>
    <m/>
    <m/>
    <m/>
    <m/>
    <m/>
  </r>
  <r>
    <x v="15"/>
    <n v="107982"/>
    <x v="24"/>
    <x v="0"/>
    <x v="94"/>
    <n v="1.26"/>
    <x v="27"/>
    <x v="1"/>
    <m/>
    <m/>
    <m/>
    <m/>
    <m/>
    <m/>
    <m/>
    <m/>
    <m/>
    <m/>
  </r>
  <r>
    <x v="19"/>
    <n v="33970"/>
    <x v="3"/>
    <x v="1"/>
    <x v="23"/>
    <n v="0.9"/>
    <x v="66"/>
    <x v="2"/>
    <m/>
    <m/>
    <m/>
    <m/>
    <m/>
    <m/>
    <m/>
    <m/>
    <m/>
    <m/>
  </r>
  <r>
    <x v="16"/>
    <n v="71753"/>
    <x v="27"/>
    <x v="1"/>
    <x v="30"/>
    <n v="1.45"/>
    <x v="40"/>
    <x v="0"/>
    <m/>
    <m/>
    <m/>
    <m/>
    <m/>
    <m/>
    <m/>
    <m/>
    <m/>
    <m/>
  </r>
  <r>
    <x v="13"/>
    <n v="104354"/>
    <x v="8"/>
    <x v="0"/>
    <x v="47"/>
    <n v="0.9"/>
    <x v="38"/>
    <x v="2"/>
    <m/>
    <m/>
    <m/>
    <m/>
    <m/>
    <m/>
    <m/>
    <m/>
    <m/>
    <m/>
  </r>
  <r>
    <x v="2"/>
    <n v="35280"/>
    <x v="1"/>
    <x v="3"/>
    <x v="90"/>
    <n v="0.75"/>
    <x v="81"/>
    <x v="0"/>
    <m/>
    <m/>
    <m/>
    <m/>
    <m/>
    <m/>
    <m/>
    <m/>
    <m/>
    <m/>
  </r>
  <r>
    <x v="1"/>
    <n v="116545"/>
    <x v="9"/>
    <x v="3"/>
    <x v="45"/>
    <n v="0.61"/>
    <x v="74"/>
    <x v="1"/>
    <m/>
    <m/>
    <m/>
    <m/>
    <m/>
    <m/>
    <m/>
    <m/>
    <m/>
    <m/>
  </r>
  <r>
    <x v="5"/>
    <n v="131041"/>
    <x v="7"/>
    <x v="3"/>
    <x v="89"/>
    <n v="1.25"/>
    <x v="74"/>
    <x v="1"/>
    <m/>
    <m/>
    <m/>
    <m/>
    <m/>
    <m/>
    <m/>
    <m/>
    <m/>
    <m/>
  </r>
  <r>
    <x v="3"/>
    <n v="134087"/>
    <x v="6"/>
    <x v="3"/>
    <x v="93"/>
    <n v="1.1299999999999999"/>
    <x v="87"/>
    <x v="2"/>
    <m/>
    <m/>
    <m/>
    <m/>
    <m/>
    <m/>
    <m/>
    <m/>
    <m/>
    <m/>
  </r>
  <r>
    <x v="5"/>
    <n v="90985"/>
    <x v="1"/>
    <x v="1"/>
    <x v="37"/>
    <n v="0.95"/>
    <x v="63"/>
    <x v="1"/>
    <m/>
    <m/>
    <m/>
    <m/>
    <m/>
    <m/>
    <m/>
    <m/>
    <m/>
    <m/>
  </r>
  <r>
    <x v="16"/>
    <n v="118257"/>
    <x v="8"/>
    <x v="3"/>
    <x v="70"/>
    <n v="1.34"/>
    <x v="0"/>
    <x v="0"/>
    <m/>
    <m/>
    <m/>
    <m/>
    <m/>
    <m/>
    <m/>
    <m/>
    <m/>
    <m/>
  </r>
  <r>
    <x v="7"/>
    <n v="134294"/>
    <x v="6"/>
    <x v="3"/>
    <x v="89"/>
    <n v="1.1100000000000001"/>
    <x v="75"/>
    <x v="1"/>
    <m/>
    <m/>
    <m/>
    <m/>
    <m/>
    <m/>
    <m/>
    <m/>
    <m/>
    <m/>
  </r>
  <r>
    <x v="11"/>
    <n v="55666"/>
    <x v="17"/>
    <x v="3"/>
    <x v="96"/>
    <n v="1.1399999999999999"/>
    <x v="12"/>
    <x v="2"/>
    <m/>
    <m/>
    <m/>
    <m/>
    <m/>
    <m/>
    <m/>
    <m/>
    <m/>
    <m/>
  </r>
  <r>
    <x v="0"/>
    <n v="71516"/>
    <x v="15"/>
    <x v="2"/>
    <x v="15"/>
    <n v="1"/>
    <x v="44"/>
    <x v="0"/>
    <m/>
    <m/>
    <m/>
    <m/>
    <m/>
    <m/>
    <m/>
    <m/>
    <m/>
    <m/>
  </r>
  <r>
    <x v="18"/>
    <n v="48226"/>
    <x v="17"/>
    <x v="3"/>
    <x v="2"/>
    <n v="0.99"/>
    <x v="47"/>
    <x v="1"/>
    <m/>
    <m/>
    <m/>
    <m/>
    <m/>
    <m/>
    <m/>
    <m/>
    <m/>
    <m/>
  </r>
  <r>
    <x v="5"/>
    <n v="60011"/>
    <x v="28"/>
    <x v="0"/>
    <x v="12"/>
    <n v="1.35"/>
    <x v="41"/>
    <x v="1"/>
    <m/>
    <m/>
    <m/>
    <m/>
    <m/>
    <m/>
    <m/>
    <m/>
    <m/>
    <m/>
  </r>
  <r>
    <x v="17"/>
    <n v="136979"/>
    <x v="13"/>
    <x v="0"/>
    <x v="2"/>
    <n v="1.43"/>
    <x v="55"/>
    <x v="2"/>
    <m/>
    <m/>
    <m/>
    <m/>
    <m/>
    <m/>
    <m/>
    <m/>
    <m/>
    <m/>
  </r>
  <r>
    <x v="2"/>
    <n v="85215"/>
    <x v="20"/>
    <x v="3"/>
    <x v="78"/>
    <n v="1.06"/>
    <x v="35"/>
    <x v="0"/>
    <m/>
    <m/>
    <m/>
    <m/>
    <m/>
    <m/>
    <m/>
    <m/>
    <m/>
    <m/>
  </r>
  <r>
    <x v="3"/>
    <n v="107255"/>
    <x v="20"/>
    <x v="3"/>
    <x v="96"/>
    <n v="0.57999999999999996"/>
    <x v="79"/>
    <x v="2"/>
    <m/>
    <m/>
    <m/>
    <m/>
    <m/>
    <m/>
    <m/>
    <m/>
    <m/>
    <m/>
  </r>
  <r>
    <x v="14"/>
    <n v="70821"/>
    <x v="9"/>
    <x v="2"/>
    <x v="5"/>
    <n v="1.27"/>
    <x v="81"/>
    <x v="0"/>
    <m/>
    <m/>
    <m/>
    <m/>
    <m/>
    <m/>
    <m/>
    <m/>
    <m/>
    <m/>
  </r>
  <r>
    <x v="9"/>
    <n v="133185"/>
    <x v="17"/>
    <x v="0"/>
    <x v="23"/>
    <n v="0.88"/>
    <x v="89"/>
    <x v="0"/>
    <m/>
    <m/>
    <m/>
    <m/>
    <m/>
    <m/>
    <m/>
    <m/>
    <m/>
    <m/>
  </r>
  <r>
    <x v="2"/>
    <n v="107929"/>
    <x v="8"/>
    <x v="0"/>
    <x v="89"/>
    <n v="0.81"/>
    <x v="59"/>
    <x v="0"/>
    <m/>
    <m/>
    <m/>
    <m/>
    <m/>
    <m/>
    <m/>
    <m/>
    <m/>
    <m/>
  </r>
  <r>
    <x v="0"/>
    <n v="49523"/>
    <x v="12"/>
    <x v="0"/>
    <x v="68"/>
    <n v="1.2"/>
    <x v="83"/>
    <x v="0"/>
    <m/>
    <m/>
    <m/>
    <m/>
    <m/>
    <m/>
    <m/>
    <m/>
    <m/>
    <m/>
  </r>
  <r>
    <x v="2"/>
    <n v="88188"/>
    <x v="19"/>
    <x v="2"/>
    <x v="89"/>
    <n v="1.35"/>
    <x v="89"/>
    <x v="0"/>
    <m/>
    <m/>
    <m/>
    <m/>
    <m/>
    <m/>
    <m/>
    <m/>
    <m/>
    <m/>
  </r>
  <r>
    <x v="15"/>
    <n v="77969"/>
    <x v="8"/>
    <x v="3"/>
    <x v="10"/>
    <n v="0.89"/>
    <x v="7"/>
    <x v="1"/>
    <m/>
    <m/>
    <m/>
    <m/>
    <m/>
    <m/>
    <m/>
    <m/>
    <m/>
    <m/>
  </r>
  <r>
    <x v="11"/>
    <n v="149528"/>
    <x v="7"/>
    <x v="0"/>
    <x v="34"/>
    <n v="1.45"/>
    <x v="4"/>
    <x v="2"/>
    <m/>
    <m/>
    <m/>
    <m/>
    <m/>
    <m/>
    <m/>
    <m/>
    <m/>
    <m/>
  </r>
  <r>
    <x v="11"/>
    <n v="85416"/>
    <x v="9"/>
    <x v="2"/>
    <x v="12"/>
    <n v="1.05"/>
    <x v="8"/>
    <x v="2"/>
    <m/>
    <m/>
    <m/>
    <m/>
    <m/>
    <m/>
    <m/>
    <m/>
    <m/>
    <m/>
  </r>
  <r>
    <x v="5"/>
    <n v="50491"/>
    <x v="29"/>
    <x v="2"/>
    <x v="22"/>
    <n v="0.5"/>
    <x v="54"/>
    <x v="1"/>
    <m/>
    <m/>
    <m/>
    <m/>
    <m/>
    <m/>
    <m/>
    <m/>
    <m/>
    <m/>
  </r>
  <r>
    <x v="8"/>
    <n v="105955"/>
    <x v="5"/>
    <x v="3"/>
    <x v="95"/>
    <n v="0.77"/>
    <x v="36"/>
    <x v="2"/>
    <m/>
    <m/>
    <m/>
    <m/>
    <m/>
    <m/>
    <m/>
    <m/>
    <m/>
    <m/>
  </r>
  <r>
    <x v="8"/>
    <n v="97519"/>
    <x v="27"/>
    <x v="2"/>
    <x v="95"/>
    <n v="0.94"/>
    <x v="43"/>
    <x v="2"/>
    <m/>
    <m/>
    <m/>
    <m/>
    <m/>
    <m/>
    <m/>
    <m/>
    <m/>
    <m/>
  </r>
  <r>
    <x v="12"/>
    <n v="74775"/>
    <x v="25"/>
    <x v="1"/>
    <x v="8"/>
    <n v="0.77"/>
    <x v="53"/>
    <x v="2"/>
    <m/>
    <m/>
    <m/>
    <m/>
    <m/>
    <m/>
    <m/>
    <m/>
    <m/>
    <m/>
  </r>
  <r>
    <x v="15"/>
    <n v="116437"/>
    <x v="20"/>
    <x v="1"/>
    <x v="95"/>
    <n v="1.29"/>
    <x v="27"/>
    <x v="1"/>
    <m/>
    <m/>
    <m/>
    <m/>
    <m/>
    <m/>
    <m/>
    <m/>
    <m/>
    <m/>
  </r>
  <r>
    <x v="5"/>
    <n v="112201"/>
    <x v="20"/>
    <x v="3"/>
    <x v="89"/>
    <n v="0.83"/>
    <x v="52"/>
    <x v="1"/>
    <m/>
    <m/>
    <m/>
    <m/>
    <m/>
    <m/>
    <m/>
    <m/>
    <m/>
    <m/>
  </r>
  <r>
    <x v="18"/>
    <n v="91134"/>
    <x v="25"/>
    <x v="3"/>
    <x v="3"/>
    <n v="0.88"/>
    <x v="1"/>
    <x v="1"/>
    <m/>
    <m/>
    <m/>
    <m/>
    <m/>
    <m/>
    <m/>
    <m/>
    <m/>
    <m/>
  </r>
  <r>
    <x v="12"/>
    <n v="76647"/>
    <x v="4"/>
    <x v="1"/>
    <x v="96"/>
    <n v="0.8"/>
    <x v="33"/>
    <x v="2"/>
    <m/>
    <m/>
    <m/>
    <m/>
    <m/>
    <m/>
    <m/>
    <m/>
    <m/>
    <m/>
  </r>
  <r>
    <x v="5"/>
    <n v="138197"/>
    <x v="7"/>
    <x v="3"/>
    <x v="21"/>
    <n v="0.9"/>
    <x v="41"/>
    <x v="1"/>
    <m/>
    <m/>
    <m/>
    <m/>
    <m/>
    <m/>
    <m/>
    <m/>
    <m/>
    <m/>
  </r>
  <r>
    <x v="11"/>
    <n v="76413"/>
    <x v="17"/>
    <x v="3"/>
    <x v="86"/>
    <n v="0.77"/>
    <x v="79"/>
    <x v="2"/>
    <m/>
    <m/>
    <m/>
    <m/>
    <m/>
    <m/>
    <m/>
    <m/>
    <m/>
    <m/>
  </r>
  <r>
    <x v="5"/>
    <n v="112604"/>
    <x v="1"/>
    <x v="3"/>
    <x v="50"/>
    <n v="1.35"/>
    <x v="19"/>
    <x v="1"/>
    <m/>
    <m/>
    <m/>
    <m/>
    <m/>
    <m/>
    <m/>
    <m/>
    <m/>
    <m/>
  </r>
  <r>
    <x v="5"/>
    <n v="61478"/>
    <x v="16"/>
    <x v="3"/>
    <x v="60"/>
    <n v="1.03"/>
    <x v="47"/>
    <x v="1"/>
    <m/>
    <m/>
    <m/>
    <m/>
    <m/>
    <m/>
    <m/>
    <m/>
    <m/>
    <m/>
  </r>
  <r>
    <x v="0"/>
    <n v="92402"/>
    <x v="9"/>
    <x v="2"/>
    <x v="6"/>
    <n v="1.4"/>
    <x v="62"/>
    <x v="0"/>
    <m/>
    <m/>
    <m/>
    <m/>
    <m/>
    <m/>
    <m/>
    <m/>
    <m/>
    <m/>
  </r>
  <r>
    <x v="8"/>
    <n v="65319"/>
    <x v="17"/>
    <x v="2"/>
    <x v="23"/>
    <n v="0.66"/>
    <x v="20"/>
    <x v="2"/>
    <m/>
    <m/>
    <m/>
    <m/>
    <m/>
    <m/>
    <m/>
    <m/>
    <m/>
    <m/>
  </r>
  <r>
    <x v="14"/>
    <n v="58830"/>
    <x v="0"/>
    <x v="1"/>
    <x v="19"/>
    <n v="1.1299999999999999"/>
    <x v="90"/>
    <x v="0"/>
    <m/>
    <m/>
    <m/>
    <m/>
    <m/>
    <m/>
    <m/>
    <m/>
    <m/>
    <m/>
  </r>
  <r>
    <x v="5"/>
    <n v="59328"/>
    <x v="28"/>
    <x v="3"/>
    <x v="86"/>
    <n v="1.37"/>
    <x v="15"/>
    <x v="1"/>
    <m/>
    <m/>
    <m/>
    <m/>
    <m/>
    <m/>
    <m/>
    <m/>
    <m/>
    <m/>
  </r>
  <r>
    <x v="7"/>
    <n v="36123"/>
    <x v="20"/>
    <x v="2"/>
    <x v="2"/>
    <n v="1.44"/>
    <x v="5"/>
    <x v="1"/>
    <m/>
    <m/>
    <m/>
    <m/>
    <m/>
    <m/>
    <m/>
    <m/>
    <m/>
    <m/>
  </r>
  <r>
    <x v="13"/>
    <n v="66587"/>
    <x v="21"/>
    <x v="2"/>
    <x v="20"/>
    <n v="1.22"/>
    <x v="69"/>
    <x v="2"/>
    <m/>
    <m/>
    <m/>
    <m/>
    <m/>
    <m/>
    <m/>
    <m/>
    <m/>
    <m/>
  </r>
  <r>
    <x v="12"/>
    <n v="51951"/>
    <x v="16"/>
    <x v="3"/>
    <x v="68"/>
    <n v="0.56999999999999995"/>
    <x v="86"/>
    <x v="2"/>
    <m/>
    <m/>
    <m/>
    <m/>
    <m/>
    <m/>
    <m/>
    <m/>
    <m/>
    <m/>
  </r>
  <r>
    <x v="14"/>
    <n v="37804"/>
    <x v="26"/>
    <x v="3"/>
    <x v="100"/>
    <n v="0.85"/>
    <x v="32"/>
    <x v="0"/>
    <m/>
    <m/>
    <m/>
    <m/>
    <m/>
    <m/>
    <m/>
    <m/>
    <m/>
    <m/>
  </r>
  <r>
    <x v="0"/>
    <n v="40349"/>
    <x v="16"/>
    <x v="2"/>
    <x v="56"/>
    <n v="0.75"/>
    <x v="51"/>
    <x v="0"/>
    <m/>
    <m/>
    <m/>
    <m/>
    <m/>
    <m/>
    <m/>
    <m/>
    <m/>
    <m/>
  </r>
  <r>
    <x v="12"/>
    <n v="136203"/>
    <x v="10"/>
    <x v="1"/>
    <x v="97"/>
    <n v="1.31"/>
    <x v="31"/>
    <x v="2"/>
    <m/>
    <m/>
    <m/>
    <m/>
    <m/>
    <m/>
    <m/>
    <m/>
    <m/>
    <m/>
  </r>
  <r>
    <x v="6"/>
    <n v="86317"/>
    <x v="26"/>
    <x v="3"/>
    <x v="0"/>
    <n v="1.3"/>
    <x v="8"/>
    <x v="2"/>
    <m/>
    <m/>
    <m/>
    <m/>
    <m/>
    <m/>
    <m/>
    <m/>
    <m/>
    <m/>
  </r>
  <r>
    <x v="18"/>
    <n v="117385"/>
    <x v="5"/>
    <x v="2"/>
    <x v="30"/>
    <n v="0.57999999999999996"/>
    <x v="16"/>
    <x v="1"/>
    <m/>
    <m/>
    <m/>
    <m/>
    <m/>
    <m/>
    <m/>
    <m/>
    <m/>
    <m/>
  </r>
  <r>
    <x v="11"/>
    <n v="109841"/>
    <x v="18"/>
    <x v="1"/>
    <x v="12"/>
    <n v="0.97"/>
    <x v="65"/>
    <x v="2"/>
    <m/>
    <m/>
    <m/>
    <m/>
    <m/>
    <m/>
    <m/>
    <m/>
    <m/>
    <m/>
  </r>
  <r>
    <x v="18"/>
    <n v="95197"/>
    <x v="8"/>
    <x v="2"/>
    <x v="0"/>
    <n v="0.87"/>
    <x v="19"/>
    <x v="1"/>
    <m/>
    <m/>
    <m/>
    <m/>
    <m/>
    <m/>
    <m/>
    <m/>
    <m/>
    <m/>
  </r>
  <r>
    <x v="8"/>
    <n v="93410"/>
    <x v="21"/>
    <x v="0"/>
    <x v="60"/>
    <n v="1.1100000000000001"/>
    <x v="3"/>
    <x v="2"/>
    <m/>
    <m/>
    <m/>
    <m/>
    <m/>
    <m/>
    <m/>
    <m/>
    <m/>
    <m/>
  </r>
  <r>
    <x v="17"/>
    <n v="104225"/>
    <x v="25"/>
    <x v="2"/>
    <x v="0"/>
    <n v="1.42"/>
    <x v="3"/>
    <x v="2"/>
    <m/>
    <m/>
    <m/>
    <m/>
    <m/>
    <m/>
    <m/>
    <m/>
    <m/>
    <m/>
  </r>
  <r>
    <x v="5"/>
    <n v="67499"/>
    <x v="14"/>
    <x v="0"/>
    <x v="5"/>
    <n v="0.67"/>
    <x v="88"/>
    <x v="1"/>
    <m/>
    <m/>
    <m/>
    <m/>
    <m/>
    <m/>
    <m/>
    <m/>
    <m/>
    <m/>
  </r>
  <r>
    <x v="6"/>
    <n v="130537"/>
    <x v="6"/>
    <x v="3"/>
    <x v="24"/>
    <n v="1.0900000000000001"/>
    <x v="72"/>
    <x v="2"/>
    <m/>
    <m/>
    <m/>
    <m/>
    <m/>
    <m/>
    <m/>
    <m/>
    <m/>
    <m/>
  </r>
  <r>
    <x v="14"/>
    <n v="118627"/>
    <x v="28"/>
    <x v="2"/>
    <x v="7"/>
    <n v="0.91"/>
    <x v="0"/>
    <x v="0"/>
    <m/>
    <m/>
    <m/>
    <m/>
    <m/>
    <m/>
    <m/>
    <m/>
    <m/>
    <m/>
  </r>
  <r>
    <x v="3"/>
    <n v="99074"/>
    <x v="20"/>
    <x v="0"/>
    <x v="52"/>
    <n v="0.92"/>
    <x v="43"/>
    <x v="2"/>
    <m/>
    <m/>
    <m/>
    <m/>
    <m/>
    <m/>
    <m/>
    <m/>
    <m/>
    <m/>
  </r>
  <r>
    <x v="8"/>
    <n v="71716"/>
    <x v="24"/>
    <x v="3"/>
    <x v="61"/>
    <n v="0.98"/>
    <x v="43"/>
    <x v="2"/>
    <m/>
    <m/>
    <m/>
    <m/>
    <m/>
    <m/>
    <m/>
    <m/>
    <m/>
    <m/>
  </r>
  <r>
    <x v="7"/>
    <n v="132033"/>
    <x v="20"/>
    <x v="1"/>
    <x v="27"/>
    <n v="1.47"/>
    <x v="88"/>
    <x v="1"/>
    <m/>
    <m/>
    <m/>
    <m/>
    <m/>
    <m/>
    <m/>
    <m/>
    <m/>
    <m/>
  </r>
  <r>
    <x v="15"/>
    <n v="40715"/>
    <x v="5"/>
    <x v="0"/>
    <x v="75"/>
    <n v="1.05"/>
    <x v="16"/>
    <x v="1"/>
    <m/>
    <m/>
    <m/>
    <m/>
    <m/>
    <m/>
    <m/>
    <m/>
    <m/>
    <m/>
  </r>
  <r>
    <x v="1"/>
    <n v="77553"/>
    <x v="6"/>
    <x v="1"/>
    <x v="84"/>
    <n v="0.6"/>
    <x v="27"/>
    <x v="1"/>
    <m/>
    <m/>
    <m/>
    <m/>
    <m/>
    <m/>
    <m/>
    <m/>
    <m/>
    <m/>
  </r>
  <r>
    <x v="4"/>
    <n v="36861"/>
    <x v="29"/>
    <x v="0"/>
    <x v="61"/>
    <n v="1.41"/>
    <x v="6"/>
    <x v="2"/>
    <m/>
    <m/>
    <m/>
    <m/>
    <m/>
    <m/>
    <m/>
    <m/>
    <m/>
    <m/>
  </r>
  <r>
    <x v="3"/>
    <n v="70154"/>
    <x v="9"/>
    <x v="1"/>
    <x v="33"/>
    <n v="1.03"/>
    <x v="26"/>
    <x v="2"/>
    <m/>
    <m/>
    <m/>
    <m/>
    <m/>
    <m/>
    <m/>
    <m/>
    <m/>
    <m/>
  </r>
  <r>
    <x v="2"/>
    <n v="93576"/>
    <x v="3"/>
    <x v="2"/>
    <x v="29"/>
    <n v="1.03"/>
    <x v="80"/>
    <x v="0"/>
    <m/>
    <m/>
    <m/>
    <m/>
    <m/>
    <m/>
    <m/>
    <m/>
    <m/>
    <m/>
  </r>
  <r>
    <x v="7"/>
    <n v="127294"/>
    <x v="5"/>
    <x v="1"/>
    <x v="78"/>
    <n v="1.03"/>
    <x v="5"/>
    <x v="1"/>
    <m/>
    <m/>
    <m/>
    <m/>
    <m/>
    <m/>
    <m/>
    <m/>
    <m/>
    <m/>
  </r>
  <r>
    <x v="11"/>
    <n v="139875"/>
    <x v="22"/>
    <x v="3"/>
    <x v="99"/>
    <n v="0.5"/>
    <x v="57"/>
    <x v="2"/>
    <m/>
    <m/>
    <m/>
    <m/>
    <m/>
    <m/>
    <m/>
    <m/>
    <m/>
    <m/>
  </r>
  <r>
    <x v="0"/>
    <n v="52925"/>
    <x v="13"/>
    <x v="2"/>
    <x v="62"/>
    <n v="1.48"/>
    <x v="51"/>
    <x v="0"/>
    <m/>
    <m/>
    <m/>
    <m/>
    <m/>
    <m/>
    <m/>
    <m/>
    <m/>
    <m/>
  </r>
  <r>
    <x v="7"/>
    <n v="119779"/>
    <x v="14"/>
    <x v="3"/>
    <x v="9"/>
    <n v="0.96"/>
    <x v="19"/>
    <x v="1"/>
    <m/>
    <m/>
    <m/>
    <m/>
    <m/>
    <m/>
    <m/>
    <m/>
    <m/>
    <m/>
  </r>
  <r>
    <x v="7"/>
    <n v="87702"/>
    <x v="13"/>
    <x v="1"/>
    <x v="88"/>
    <n v="1.45"/>
    <x v="41"/>
    <x v="1"/>
    <m/>
    <m/>
    <m/>
    <m/>
    <m/>
    <m/>
    <m/>
    <m/>
    <m/>
    <m/>
  </r>
  <r>
    <x v="12"/>
    <n v="127556"/>
    <x v="18"/>
    <x v="2"/>
    <x v="73"/>
    <n v="1.35"/>
    <x v="43"/>
    <x v="2"/>
    <m/>
    <m/>
    <m/>
    <m/>
    <m/>
    <m/>
    <m/>
    <m/>
    <m/>
    <m/>
  </r>
  <r>
    <x v="1"/>
    <n v="46289"/>
    <x v="4"/>
    <x v="0"/>
    <x v="85"/>
    <n v="0.8"/>
    <x v="41"/>
    <x v="1"/>
    <m/>
    <m/>
    <m/>
    <m/>
    <m/>
    <m/>
    <m/>
    <m/>
    <m/>
    <m/>
  </r>
  <r>
    <x v="14"/>
    <n v="115823"/>
    <x v="12"/>
    <x v="0"/>
    <x v="36"/>
    <n v="0.93"/>
    <x v="83"/>
    <x v="0"/>
    <m/>
    <m/>
    <m/>
    <m/>
    <m/>
    <m/>
    <m/>
    <m/>
    <m/>
    <m/>
  </r>
  <r>
    <x v="2"/>
    <n v="55966"/>
    <x v="9"/>
    <x v="1"/>
    <x v="45"/>
    <n v="1.32"/>
    <x v="62"/>
    <x v="0"/>
    <m/>
    <m/>
    <m/>
    <m/>
    <m/>
    <m/>
    <m/>
    <m/>
    <m/>
    <m/>
  </r>
  <r>
    <x v="8"/>
    <n v="98560"/>
    <x v="6"/>
    <x v="3"/>
    <x v="2"/>
    <n v="0.68"/>
    <x v="43"/>
    <x v="2"/>
    <m/>
    <m/>
    <m/>
    <m/>
    <m/>
    <m/>
    <m/>
    <m/>
    <m/>
    <m/>
  </r>
  <r>
    <x v="2"/>
    <n v="109023"/>
    <x v="0"/>
    <x v="3"/>
    <x v="83"/>
    <n v="0.84"/>
    <x v="89"/>
    <x v="0"/>
    <m/>
    <m/>
    <m/>
    <m/>
    <m/>
    <m/>
    <m/>
    <m/>
    <m/>
    <m/>
  </r>
  <r>
    <x v="6"/>
    <n v="112455"/>
    <x v="0"/>
    <x v="1"/>
    <x v="76"/>
    <n v="0.7"/>
    <x v="71"/>
    <x v="2"/>
    <m/>
    <m/>
    <m/>
    <m/>
    <m/>
    <m/>
    <m/>
    <m/>
    <m/>
    <m/>
  </r>
  <r>
    <x v="0"/>
    <n v="42930"/>
    <x v="3"/>
    <x v="3"/>
    <x v="90"/>
    <n v="1.08"/>
    <x v="35"/>
    <x v="0"/>
    <m/>
    <m/>
    <m/>
    <m/>
    <m/>
    <m/>
    <m/>
    <m/>
    <m/>
    <m/>
  </r>
  <r>
    <x v="11"/>
    <n v="48065"/>
    <x v="29"/>
    <x v="1"/>
    <x v="30"/>
    <n v="1.2"/>
    <x v="48"/>
    <x v="2"/>
    <m/>
    <m/>
    <m/>
    <m/>
    <m/>
    <m/>
    <m/>
    <m/>
    <m/>
    <m/>
  </r>
  <r>
    <x v="6"/>
    <n v="86422"/>
    <x v="7"/>
    <x v="3"/>
    <x v="66"/>
    <n v="0.88"/>
    <x v="55"/>
    <x v="2"/>
    <m/>
    <m/>
    <m/>
    <m/>
    <m/>
    <m/>
    <m/>
    <m/>
    <m/>
    <m/>
  </r>
  <r>
    <x v="7"/>
    <n v="69305"/>
    <x v="20"/>
    <x v="1"/>
    <x v="54"/>
    <n v="0.68"/>
    <x v="47"/>
    <x v="1"/>
    <m/>
    <m/>
    <m/>
    <m/>
    <m/>
    <m/>
    <m/>
    <m/>
    <m/>
    <m/>
  </r>
  <r>
    <x v="9"/>
    <n v="105355"/>
    <x v="10"/>
    <x v="2"/>
    <x v="57"/>
    <n v="1.03"/>
    <x v="2"/>
    <x v="0"/>
    <m/>
    <m/>
    <m/>
    <m/>
    <m/>
    <m/>
    <m/>
    <m/>
    <m/>
    <m/>
  </r>
  <r>
    <x v="0"/>
    <n v="31776"/>
    <x v="16"/>
    <x v="3"/>
    <x v="32"/>
    <n v="1"/>
    <x v="32"/>
    <x v="0"/>
    <m/>
    <m/>
    <m/>
    <m/>
    <m/>
    <m/>
    <m/>
    <m/>
    <m/>
    <m/>
  </r>
  <r>
    <x v="17"/>
    <n v="113187"/>
    <x v="29"/>
    <x v="3"/>
    <x v="97"/>
    <n v="0.85"/>
    <x v="49"/>
    <x v="2"/>
    <m/>
    <m/>
    <m/>
    <m/>
    <m/>
    <m/>
    <m/>
    <m/>
    <m/>
    <m/>
  </r>
  <r>
    <x v="0"/>
    <n v="44937"/>
    <x v="27"/>
    <x v="3"/>
    <x v="17"/>
    <n v="0.69"/>
    <x v="17"/>
    <x v="0"/>
    <m/>
    <m/>
    <m/>
    <m/>
    <m/>
    <m/>
    <m/>
    <m/>
    <m/>
    <m/>
  </r>
  <r>
    <x v="14"/>
    <n v="77259"/>
    <x v="6"/>
    <x v="0"/>
    <x v="53"/>
    <n v="0.91"/>
    <x v="51"/>
    <x v="0"/>
    <m/>
    <m/>
    <m/>
    <m/>
    <m/>
    <m/>
    <m/>
    <m/>
    <m/>
    <m/>
  </r>
  <r>
    <x v="3"/>
    <n v="48225"/>
    <x v="5"/>
    <x v="2"/>
    <x v="47"/>
    <n v="0.73"/>
    <x v="55"/>
    <x v="2"/>
    <m/>
    <m/>
    <m/>
    <m/>
    <m/>
    <m/>
    <m/>
    <m/>
    <m/>
    <m/>
  </r>
  <r>
    <x v="18"/>
    <n v="101519"/>
    <x v="26"/>
    <x v="2"/>
    <x v="5"/>
    <n v="0.71"/>
    <x v="54"/>
    <x v="1"/>
    <m/>
    <m/>
    <m/>
    <m/>
    <m/>
    <m/>
    <m/>
    <m/>
    <m/>
    <m/>
  </r>
  <r>
    <x v="13"/>
    <n v="100994"/>
    <x v="26"/>
    <x v="0"/>
    <x v="22"/>
    <n v="1.46"/>
    <x v="4"/>
    <x v="2"/>
    <m/>
    <m/>
    <m/>
    <m/>
    <m/>
    <m/>
    <m/>
    <m/>
    <m/>
    <m/>
  </r>
  <r>
    <x v="9"/>
    <n v="49450"/>
    <x v="1"/>
    <x v="1"/>
    <x v="54"/>
    <n v="1.1200000000000001"/>
    <x v="39"/>
    <x v="0"/>
    <m/>
    <m/>
    <m/>
    <m/>
    <m/>
    <m/>
    <m/>
    <m/>
    <m/>
    <m/>
  </r>
  <r>
    <x v="13"/>
    <n v="148585"/>
    <x v="18"/>
    <x v="3"/>
    <x v="20"/>
    <n v="1.47"/>
    <x v="31"/>
    <x v="2"/>
    <m/>
    <m/>
    <m/>
    <m/>
    <m/>
    <m/>
    <m/>
    <m/>
    <m/>
    <m/>
  </r>
  <r>
    <x v="9"/>
    <n v="106970"/>
    <x v="12"/>
    <x v="1"/>
    <x v="97"/>
    <n v="0.81"/>
    <x v="2"/>
    <x v="0"/>
    <m/>
    <m/>
    <m/>
    <m/>
    <m/>
    <m/>
    <m/>
    <m/>
    <m/>
    <m/>
  </r>
  <r>
    <x v="9"/>
    <n v="31112"/>
    <x v="15"/>
    <x v="2"/>
    <x v="100"/>
    <n v="1.1599999999999999"/>
    <x v="76"/>
    <x v="0"/>
    <m/>
    <m/>
    <m/>
    <m/>
    <m/>
    <m/>
    <m/>
    <m/>
    <m/>
    <m/>
  </r>
  <r>
    <x v="1"/>
    <n v="117351"/>
    <x v="13"/>
    <x v="0"/>
    <x v="78"/>
    <n v="0.89"/>
    <x v="41"/>
    <x v="1"/>
    <m/>
    <m/>
    <m/>
    <m/>
    <m/>
    <m/>
    <m/>
    <m/>
    <m/>
    <m/>
  </r>
  <r>
    <x v="5"/>
    <n v="51661"/>
    <x v="14"/>
    <x v="3"/>
    <x v="12"/>
    <n v="1.37"/>
    <x v="13"/>
    <x v="1"/>
    <m/>
    <m/>
    <m/>
    <m/>
    <m/>
    <m/>
    <m/>
    <m/>
    <m/>
    <m/>
  </r>
  <r>
    <x v="13"/>
    <n v="67443"/>
    <x v="7"/>
    <x v="1"/>
    <x v="14"/>
    <n v="1.24"/>
    <x v="85"/>
    <x v="1"/>
    <m/>
    <m/>
    <m/>
    <m/>
    <m/>
    <m/>
    <m/>
    <m/>
    <m/>
    <m/>
  </r>
  <r>
    <x v="10"/>
    <n v="44234"/>
    <x v="21"/>
    <x v="3"/>
    <x v="94"/>
    <n v="1.03"/>
    <x v="23"/>
    <x v="2"/>
    <m/>
    <m/>
    <m/>
    <m/>
    <m/>
    <m/>
    <m/>
    <m/>
    <m/>
    <m/>
  </r>
  <r>
    <x v="3"/>
    <n v="134383"/>
    <x v="24"/>
    <x v="2"/>
    <x v="16"/>
    <n v="1.22"/>
    <x v="43"/>
    <x v="2"/>
    <m/>
    <m/>
    <m/>
    <m/>
    <m/>
    <m/>
    <m/>
    <m/>
    <m/>
    <m/>
  </r>
  <r>
    <x v="0"/>
    <n v="72320"/>
    <x v="8"/>
    <x v="2"/>
    <x v="86"/>
    <n v="0.85"/>
    <x v="89"/>
    <x v="0"/>
    <m/>
    <m/>
    <m/>
    <m/>
    <m/>
    <m/>
    <m/>
    <m/>
    <m/>
    <m/>
  </r>
  <r>
    <x v="9"/>
    <n v="91196"/>
    <x v="5"/>
    <x v="3"/>
    <x v="71"/>
    <n v="0.78"/>
    <x v="51"/>
    <x v="0"/>
    <m/>
    <m/>
    <m/>
    <m/>
    <m/>
    <m/>
    <m/>
    <m/>
    <m/>
    <m/>
  </r>
  <r>
    <x v="0"/>
    <n v="104861"/>
    <x v="24"/>
    <x v="3"/>
    <x v="3"/>
    <n v="0.99"/>
    <x v="62"/>
    <x v="0"/>
    <m/>
    <m/>
    <m/>
    <m/>
    <m/>
    <m/>
    <m/>
    <m/>
    <m/>
    <m/>
  </r>
  <r>
    <x v="8"/>
    <n v="148169"/>
    <x v="1"/>
    <x v="1"/>
    <x v="14"/>
    <n v="0.5"/>
    <x v="10"/>
    <x v="2"/>
    <m/>
    <m/>
    <m/>
    <m/>
    <m/>
    <m/>
    <m/>
    <m/>
    <m/>
    <m/>
  </r>
  <r>
    <x v="17"/>
    <n v="89630"/>
    <x v="3"/>
    <x v="2"/>
    <x v="62"/>
    <n v="0.85"/>
    <x v="48"/>
    <x v="2"/>
    <m/>
    <m/>
    <m/>
    <m/>
    <m/>
    <m/>
    <m/>
    <m/>
    <m/>
    <m/>
  </r>
  <r>
    <x v="6"/>
    <n v="127435"/>
    <x v="23"/>
    <x v="1"/>
    <x v="95"/>
    <n v="0.69"/>
    <x v="69"/>
    <x v="2"/>
    <m/>
    <m/>
    <m/>
    <m/>
    <m/>
    <m/>
    <m/>
    <m/>
    <m/>
    <m/>
  </r>
  <r>
    <x v="6"/>
    <n v="114845"/>
    <x v="21"/>
    <x v="3"/>
    <x v="58"/>
    <n v="1.19"/>
    <x v="38"/>
    <x v="2"/>
    <m/>
    <m/>
    <m/>
    <m/>
    <m/>
    <m/>
    <m/>
    <m/>
    <m/>
    <m/>
  </r>
  <r>
    <x v="8"/>
    <n v="49053"/>
    <x v="0"/>
    <x v="3"/>
    <x v="6"/>
    <n v="1.43"/>
    <x v="64"/>
    <x v="2"/>
    <m/>
    <m/>
    <m/>
    <m/>
    <m/>
    <m/>
    <m/>
    <m/>
    <m/>
    <m/>
  </r>
  <r>
    <x v="18"/>
    <n v="100683"/>
    <x v="23"/>
    <x v="0"/>
    <x v="79"/>
    <n v="0.74"/>
    <x v="47"/>
    <x v="1"/>
    <m/>
    <m/>
    <m/>
    <m/>
    <m/>
    <m/>
    <m/>
    <m/>
    <m/>
    <m/>
  </r>
  <r>
    <x v="2"/>
    <n v="120153"/>
    <x v="1"/>
    <x v="3"/>
    <x v="76"/>
    <n v="0.75"/>
    <x v="77"/>
    <x v="0"/>
    <m/>
    <m/>
    <m/>
    <m/>
    <m/>
    <m/>
    <m/>
    <m/>
    <m/>
    <m/>
  </r>
  <r>
    <x v="19"/>
    <n v="129926"/>
    <x v="24"/>
    <x v="2"/>
    <x v="2"/>
    <n v="0.6"/>
    <x v="30"/>
    <x v="2"/>
    <m/>
    <m/>
    <m/>
    <m/>
    <m/>
    <m/>
    <m/>
    <m/>
    <m/>
    <m/>
  </r>
  <r>
    <x v="14"/>
    <n v="43140"/>
    <x v="3"/>
    <x v="1"/>
    <x v="49"/>
    <n v="1.06"/>
    <x v="9"/>
    <x v="0"/>
    <m/>
    <m/>
    <m/>
    <m/>
    <m/>
    <m/>
    <m/>
    <m/>
    <m/>
    <m/>
  </r>
  <r>
    <x v="12"/>
    <n v="104362"/>
    <x v="5"/>
    <x v="1"/>
    <x v="78"/>
    <n v="0.98"/>
    <x v="66"/>
    <x v="2"/>
    <m/>
    <m/>
    <m/>
    <m/>
    <m/>
    <m/>
    <m/>
    <m/>
    <m/>
    <m/>
  </r>
  <r>
    <x v="4"/>
    <n v="73030"/>
    <x v="22"/>
    <x v="1"/>
    <x v="77"/>
    <n v="0.92"/>
    <x v="79"/>
    <x v="2"/>
    <m/>
    <m/>
    <m/>
    <m/>
    <m/>
    <m/>
    <m/>
    <m/>
    <m/>
    <m/>
  </r>
  <r>
    <x v="18"/>
    <n v="54400"/>
    <x v="17"/>
    <x v="1"/>
    <x v="88"/>
    <n v="0.65"/>
    <x v="41"/>
    <x v="1"/>
    <m/>
    <m/>
    <m/>
    <m/>
    <m/>
    <m/>
    <m/>
    <m/>
    <m/>
    <m/>
  </r>
  <r>
    <x v="18"/>
    <n v="33760"/>
    <x v="1"/>
    <x v="1"/>
    <x v="88"/>
    <n v="0.53"/>
    <x v="7"/>
    <x v="1"/>
    <m/>
    <m/>
    <m/>
    <m/>
    <m/>
    <m/>
    <m/>
    <m/>
    <m/>
    <m/>
  </r>
  <r>
    <x v="14"/>
    <n v="122930"/>
    <x v="20"/>
    <x v="3"/>
    <x v="84"/>
    <n v="1.1599999999999999"/>
    <x v="59"/>
    <x v="0"/>
    <m/>
    <m/>
    <m/>
    <m/>
    <m/>
    <m/>
    <m/>
    <m/>
    <m/>
    <m/>
  </r>
  <r>
    <x v="8"/>
    <n v="33323"/>
    <x v="12"/>
    <x v="3"/>
    <x v="92"/>
    <n v="1.1399999999999999"/>
    <x v="50"/>
    <x v="2"/>
    <m/>
    <m/>
    <m/>
    <m/>
    <m/>
    <m/>
    <m/>
    <m/>
    <m/>
    <m/>
  </r>
  <r>
    <x v="11"/>
    <n v="65098"/>
    <x v="26"/>
    <x v="1"/>
    <x v="20"/>
    <n v="0.68"/>
    <x v="57"/>
    <x v="2"/>
    <m/>
    <m/>
    <m/>
    <m/>
    <m/>
    <m/>
    <m/>
    <m/>
    <m/>
    <m/>
  </r>
  <r>
    <x v="17"/>
    <n v="101153"/>
    <x v="5"/>
    <x v="1"/>
    <x v="1"/>
    <n v="0.63"/>
    <x v="33"/>
    <x v="2"/>
    <m/>
    <m/>
    <m/>
    <m/>
    <m/>
    <m/>
    <m/>
    <m/>
    <m/>
    <m/>
  </r>
  <r>
    <x v="0"/>
    <n v="101279"/>
    <x v="29"/>
    <x v="3"/>
    <x v="28"/>
    <n v="1.36"/>
    <x v="2"/>
    <x v="0"/>
    <m/>
    <m/>
    <m/>
    <m/>
    <m/>
    <m/>
    <m/>
    <m/>
    <m/>
    <m/>
  </r>
  <r>
    <x v="12"/>
    <n v="143115"/>
    <x v="24"/>
    <x v="3"/>
    <x v="41"/>
    <n v="1.08"/>
    <x v="3"/>
    <x v="2"/>
    <m/>
    <m/>
    <m/>
    <m/>
    <m/>
    <m/>
    <m/>
    <m/>
    <m/>
    <m/>
  </r>
  <r>
    <x v="13"/>
    <n v="149487"/>
    <x v="16"/>
    <x v="3"/>
    <x v="37"/>
    <n v="1.41"/>
    <x v="72"/>
    <x v="2"/>
    <m/>
    <m/>
    <m/>
    <m/>
    <m/>
    <m/>
    <m/>
    <m/>
    <m/>
    <m/>
  </r>
  <r>
    <x v="3"/>
    <n v="123304"/>
    <x v="6"/>
    <x v="0"/>
    <x v="27"/>
    <n v="1.06"/>
    <x v="10"/>
    <x v="2"/>
    <m/>
    <m/>
    <m/>
    <m/>
    <m/>
    <m/>
    <m/>
    <m/>
    <m/>
    <m/>
  </r>
  <r>
    <x v="19"/>
    <n v="134134"/>
    <x v="8"/>
    <x v="0"/>
    <x v="62"/>
    <n v="1.49"/>
    <x v="64"/>
    <x v="2"/>
    <m/>
    <m/>
    <m/>
    <m/>
    <m/>
    <m/>
    <m/>
    <m/>
    <m/>
    <m/>
  </r>
  <r>
    <x v="13"/>
    <n v="107199"/>
    <x v="15"/>
    <x v="3"/>
    <x v="76"/>
    <n v="0.51"/>
    <x v="78"/>
    <x v="2"/>
    <m/>
    <m/>
    <m/>
    <m/>
    <m/>
    <m/>
    <m/>
    <m/>
    <m/>
    <m/>
  </r>
  <r>
    <x v="7"/>
    <n v="132658"/>
    <x v="5"/>
    <x v="2"/>
    <x v="77"/>
    <n v="0.76"/>
    <x v="61"/>
    <x v="1"/>
    <m/>
    <m/>
    <m/>
    <m/>
    <m/>
    <m/>
    <m/>
    <m/>
    <m/>
    <m/>
  </r>
  <r>
    <x v="12"/>
    <n v="41352"/>
    <x v="21"/>
    <x v="1"/>
    <x v="27"/>
    <n v="1.26"/>
    <x v="86"/>
    <x v="2"/>
    <m/>
    <m/>
    <m/>
    <m/>
    <m/>
    <m/>
    <m/>
    <m/>
    <m/>
    <m/>
  </r>
  <r>
    <x v="10"/>
    <n v="43679"/>
    <x v="20"/>
    <x v="2"/>
    <x v="80"/>
    <n v="1.1000000000000001"/>
    <x v="36"/>
    <x v="2"/>
    <m/>
    <m/>
    <m/>
    <m/>
    <m/>
    <m/>
    <m/>
    <m/>
    <m/>
    <m/>
  </r>
  <r>
    <x v="15"/>
    <n v="122345"/>
    <x v="9"/>
    <x v="1"/>
    <x v="69"/>
    <n v="0.68"/>
    <x v="21"/>
    <x v="1"/>
    <m/>
    <m/>
    <m/>
    <m/>
    <m/>
    <m/>
    <m/>
    <m/>
    <m/>
    <m/>
  </r>
  <r>
    <x v="8"/>
    <n v="108179"/>
    <x v="12"/>
    <x v="2"/>
    <x v="29"/>
    <n v="1.02"/>
    <x v="43"/>
    <x v="2"/>
    <m/>
    <m/>
    <m/>
    <m/>
    <m/>
    <m/>
    <m/>
    <m/>
    <m/>
    <m/>
  </r>
  <r>
    <x v="2"/>
    <n v="77878"/>
    <x v="17"/>
    <x v="1"/>
    <x v="71"/>
    <n v="1.33"/>
    <x v="67"/>
    <x v="0"/>
    <m/>
    <m/>
    <m/>
    <m/>
    <m/>
    <m/>
    <m/>
    <m/>
    <m/>
    <m/>
  </r>
  <r>
    <x v="2"/>
    <n v="125777"/>
    <x v="12"/>
    <x v="1"/>
    <x v="97"/>
    <n v="1.31"/>
    <x v="81"/>
    <x v="0"/>
    <m/>
    <m/>
    <m/>
    <m/>
    <m/>
    <m/>
    <m/>
    <m/>
    <m/>
    <m/>
  </r>
  <r>
    <x v="12"/>
    <n v="112124"/>
    <x v="24"/>
    <x v="2"/>
    <x v="14"/>
    <n v="1.03"/>
    <x v="65"/>
    <x v="2"/>
    <m/>
    <m/>
    <m/>
    <m/>
    <m/>
    <m/>
    <m/>
    <m/>
    <m/>
    <m/>
  </r>
  <r>
    <x v="6"/>
    <n v="126367"/>
    <x v="5"/>
    <x v="1"/>
    <x v="76"/>
    <n v="0.54"/>
    <x v="57"/>
    <x v="2"/>
    <m/>
    <m/>
    <m/>
    <m/>
    <m/>
    <m/>
    <m/>
    <m/>
    <m/>
    <m/>
  </r>
  <r>
    <x v="16"/>
    <n v="77080"/>
    <x v="5"/>
    <x v="3"/>
    <x v="23"/>
    <n v="1.02"/>
    <x v="51"/>
    <x v="0"/>
    <m/>
    <m/>
    <m/>
    <m/>
    <m/>
    <m/>
    <m/>
    <m/>
    <m/>
    <m/>
  </r>
  <r>
    <x v="17"/>
    <n v="61280"/>
    <x v="2"/>
    <x v="2"/>
    <x v="4"/>
    <n v="1.26"/>
    <x v="87"/>
    <x v="2"/>
    <m/>
    <m/>
    <m/>
    <m/>
    <m/>
    <m/>
    <m/>
    <m/>
    <m/>
    <m/>
  </r>
  <r>
    <x v="19"/>
    <n v="39835"/>
    <x v="9"/>
    <x v="0"/>
    <x v="22"/>
    <n v="0.52"/>
    <x v="23"/>
    <x v="2"/>
    <m/>
    <m/>
    <m/>
    <m/>
    <m/>
    <m/>
    <m/>
    <m/>
    <m/>
    <m/>
  </r>
  <r>
    <x v="13"/>
    <n v="52369"/>
    <x v="26"/>
    <x v="2"/>
    <x v="87"/>
    <n v="1.1499999999999999"/>
    <x v="3"/>
    <x v="2"/>
    <m/>
    <m/>
    <m/>
    <m/>
    <m/>
    <m/>
    <m/>
    <m/>
    <m/>
    <m/>
  </r>
  <r>
    <x v="8"/>
    <n v="30637"/>
    <x v="18"/>
    <x v="2"/>
    <x v="22"/>
    <n v="0.84"/>
    <x v="84"/>
    <x v="2"/>
    <m/>
    <m/>
    <m/>
    <m/>
    <m/>
    <m/>
    <m/>
    <m/>
    <m/>
    <m/>
  </r>
  <r>
    <x v="0"/>
    <n v="62209"/>
    <x v="9"/>
    <x v="0"/>
    <x v="86"/>
    <n v="0.84"/>
    <x v="81"/>
    <x v="0"/>
    <m/>
    <m/>
    <m/>
    <m/>
    <m/>
    <m/>
    <m/>
    <m/>
    <m/>
    <m/>
  </r>
  <r>
    <x v="15"/>
    <n v="70478"/>
    <x v="14"/>
    <x v="0"/>
    <x v="57"/>
    <n v="1.18"/>
    <x v="75"/>
    <x v="1"/>
    <m/>
    <m/>
    <m/>
    <m/>
    <m/>
    <m/>
    <m/>
    <m/>
    <m/>
    <m/>
  </r>
  <r>
    <x v="18"/>
    <n v="90760"/>
    <x v="10"/>
    <x v="0"/>
    <x v="5"/>
    <n v="1.41"/>
    <x v="82"/>
    <x v="1"/>
    <m/>
    <m/>
    <m/>
    <m/>
    <m/>
    <m/>
    <m/>
    <m/>
    <m/>
    <m/>
  </r>
  <r>
    <x v="16"/>
    <n v="52505"/>
    <x v="24"/>
    <x v="0"/>
    <x v="57"/>
    <n v="0.84"/>
    <x v="67"/>
    <x v="0"/>
    <m/>
    <m/>
    <m/>
    <m/>
    <m/>
    <m/>
    <m/>
    <m/>
    <m/>
    <m/>
  </r>
  <r>
    <x v="4"/>
    <n v="140441"/>
    <x v="4"/>
    <x v="2"/>
    <x v="24"/>
    <n v="0.96"/>
    <x v="22"/>
    <x v="2"/>
    <m/>
    <m/>
    <m/>
    <m/>
    <m/>
    <m/>
    <m/>
    <m/>
    <m/>
    <m/>
  </r>
  <r>
    <x v="1"/>
    <n v="108944"/>
    <x v="19"/>
    <x v="1"/>
    <x v="41"/>
    <n v="1.05"/>
    <x v="75"/>
    <x v="1"/>
    <m/>
    <m/>
    <m/>
    <m/>
    <m/>
    <m/>
    <m/>
    <m/>
    <m/>
    <m/>
  </r>
  <r>
    <x v="0"/>
    <n v="40886"/>
    <x v="20"/>
    <x v="0"/>
    <x v="67"/>
    <n v="0.99"/>
    <x v="32"/>
    <x v="0"/>
    <m/>
    <m/>
    <m/>
    <m/>
    <m/>
    <m/>
    <m/>
    <m/>
    <m/>
    <m/>
  </r>
  <r>
    <x v="9"/>
    <n v="85744"/>
    <x v="20"/>
    <x v="2"/>
    <x v="75"/>
    <n v="0.78"/>
    <x v="24"/>
    <x v="0"/>
    <m/>
    <m/>
    <m/>
    <m/>
    <m/>
    <m/>
    <m/>
    <m/>
    <m/>
    <m/>
  </r>
  <r>
    <x v="14"/>
    <n v="75778"/>
    <x v="12"/>
    <x v="0"/>
    <x v="71"/>
    <n v="0.75"/>
    <x v="51"/>
    <x v="0"/>
    <m/>
    <m/>
    <m/>
    <m/>
    <m/>
    <m/>
    <m/>
    <m/>
    <m/>
    <m/>
  </r>
  <r>
    <x v="8"/>
    <n v="88764"/>
    <x v="16"/>
    <x v="2"/>
    <x v="57"/>
    <n v="1.4"/>
    <x v="14"/>
    <x v="2"/>
    <m/>
    <m/>
    <m/>
    <m/>
    <m/>
    <m/>
    <m/>
    <m/>
    <m/>
    <m/>
  </r>
  <r>
    <x v="4"/>
    <n v="62795"/>
    <x v="1"/>
    <x v="3"/>
    <x v="32"/>
    <n v="1.04"/>
    <x v="6"/>
    <x v="2"/>
    <m/>
    <m/>
    <m/>
    <m/>
    <m/>
    <m/>
    <m/>
    <m/>
    <m/>
    <m/>
  </r>
  <r>
    <x v="19"/>
    <n v="107223"/>
    <x v="8"/>
    <x v="3"/>
    <x v="57"/>
    <n v="0.61"/>
    <x v="23"/>
    <x v="2"/>
    <m/>
    <m/>
    <m/>
    <m/>
    <m/>
    <m/>
    <m/>
    <m/>
    <m/>
    <m/>
  </r>
  <r>
    <x v="0"/>
    <n v="98835"/>
    <x v="2"/>
    <x v="2"/>
    <x v="89"/>
    <n v="1.21"/>
    <x v="35"/>
    <x v="0"/>
    <m/>
    <m/>
    <m/>
    <m/>
    <m/>
    <m/>
    <m/>
    <m/>
    <m/>
    <m/>
  </r>
  <r>
    <x v="5"/>
    <n v="139640"/>
    <x v="4"/>
    <x v="3"/>
    <x v="72"/>
    <n v="1.33"/>
    <x v="15"/>
    <x v="1"/>
    <m/>
    <m/>
    <m/>
    <m/>
    <m/>
    <m/>
    <m/>
    <m/>
    <m/>
    <m/>
  </r>
  <r>
    <x v="2"/>
    <n v="87225"/>
    <x v="21"/>
    <x v="1"/>
    <x v="17"/>
    <n v="0.85"/>
    <x v="81"/>
    <x v="0"/>
    <m/>
    <m/>
    <m/>
    <m/>
    <m/>
    <m/>
    <m/>
    <m/>
    <m/>
    <m/>
  </r>
  <r>
    <x v="14"/>
    <n v="37466"/>
    <x v="16"/>
    <x v="1"/>
    <x v="82"/>
    <n v="0.85"/>
    <x v="56"/>
    <x v="0"/>
    <m/>
    <m/>
    <m/>
    <m/>
    <m/>
    <m/>
    <m/>
    <m/>
    <m/>
    <m/>
  </r>
  <r>
    <x v="12"/>
    <n v="80530"/>
    <x v="5"/>
    <x v="1"/>
    <x v="61"/>
    <n v="1.26"/>
    <x v="31"/>
    <x v="2"/>
    <m/>
    <m/>
    <m/>
    <m/>
    <m/>
    <m/>
    <m/>
    <m/>
    <m/>
    <m/>
  </r>
  <r>
    <x v="17"/>
    <n v="40040"/>
    <x v="12"/>
    <x v="2"/>
    <x v="81"/>
    <n v="1.46"/>
    <x v="6"/>
    <x v="2"/>
    <m/>
    <m/>
    <m/>
    <m/>
    <m/>
    <m/>
    <m/>
    <m/>
    <m/>
    <m/>
  </r>
  <r>
    <x v="19"/>
    <n v="145874"/>
    <x v="3"/>
    <x v="1"/>
    <x v="4"/>
    <n v="1.04"/>
    <x v="50"/>
    <x v="2"/>
    <m/>
    <m/>
    <m/>
    <m/>
    <m/>
    <m/>
    <m/>
    <m/>
    <m/>
    <m/>
  </r>
  <r>
    <x v="13"/>
    <n v="60985"/>
    <x v="27"/>
    <x v="2"/>
    <x v="97"/>
    <n v="0.68"/>
    <x v="69"/>
    <x v="2"/>
    <m/>
    <m/>
    <m/>
    <m/>
    <m/>
    <m/>
    <m/>
    <m/>
    <m/>
    <m/>
  </r>
  <r>
    <x v="16"/>
    <n v="57262"/>
    <x v="15"/>
    <x v="2"/>
    <x v="48"/>
    <n v="1.33"/>
    <x v="40"/>
    <x v="0"/>
    <m/>
    <m/>
    <m/>
    <m/>
    <m/>
    <m/>
    <m/>
    <m/>
    <m/>
    <m/>
  </r>
  <r>
    <x v="5"/>
    <n v="102022"/>
    <x v="27"/>
    <x v="2"/>
    <x v="98"/>
    <n v="0.56000000000000005"/>
    <x v="15"/>
    <x v="1"/>
    <m/>
    <m/>
    <m/>
    <m/>
    <m/>
    <m/>
    <m/>
    <m/>
    <m/>
    <m/>
  </r>
  <r>
    <x v="18"/>
    <n v="31320"/>
    <x v="28"/>
    <x v="0"/>
    <x v="13"/>
    <n v="1.1399999999999999"/>
    <x v="29"/>
    <x v="1"/>
    <m/>
    <m/>
    <m/>
    <m/>
    <m/>
    <m/>
    <m/>
    <m/>
    <m/>
    <m/>
  </r>
  <r>
    <x v="0"/>
    <n v="84681"/>
    <x v="24"/>
    <x v="0"/>
    <x v="70"/>
    <n v="1.26"/>
    <x v="40"/>
    <x v="0"/>
    <m/>
    <m/>
    <m/>
    <m/>
    <m/>
    <m/>
    <m/>
    <m/>
    <m/>
    <m/>
  </r>
  <r>
    <x v="1"/>
    <n v="82167"/>
    <x v="20"/>
    <x v="1"/>
    <x v="7"/>
    <n v="0.74"/>
    <x v="37"/>
    <x v="1"/>
    <m/>
    <m/>
    <m/>
    <m/>
    <m/>
    <m/>
    <m/>
    <m/>
    <m/>
    <m/>
  </r>
  <r>
    <x v="3"/>
    <n v="64477"/>
    <x v="1"/>
    <x v="3"/>
    <x v="52"/>
    <n v="1.08"/>
    <x v="66"/>
    <x v="2"/>
    <m/>
    <m/>
    <m/>
    <m/>
    <m/>
    <m/>
    <m/>
    <m/>
    <m/>
    <m/>
  </r>
  <r>
    <x v="10"/>
    <n v="32565"/>
    <x v="3"/>
    <x v="2"/>
    <x v="68"/>
    <n v="1.49"/>
    <x v="84"/>
    <x v="2"/>
    <m/>
    <m/>
    <m/>
    <m/>
    <m/>
    <m/>
    <m/>
    <m/>
    <m/>
    <m/>
  </r>
  <r>
    <x v="0"/>
    <n v="112915"/>
    <x v="13"/>
    <x v="2"/>
    <x v="63"/>
    <n v="0.96"/>
    <x v="62"/>
    <x v="0"/>
    <m/>
    <m/>
    <m/>
    <m/>
    <m/>
    <m/>
    <m/>
    <m/>
    <m/>
    <m/>
  </r>
  <r>
    <x v="0"/>
    <n v="103251"/>
    <x v="10"/>
    <x v="1"/>
    <x v="21"/>
    <n v="0.96"/>
    <x v="60"/>
    <x v="0"/>
    <m/>
    <m/>
    <m/>
    <m/>
    <m/>
    <m/>
    <m/>
    <m/>
    <m/>
    <m/>
  </r>
  <r>
    <x v="13"/>
    <n v="51258"/>
    <x v="27"/>
    <x v="1"/>
    <x v="8"/>
    <n v="0.54"/>
    <x v="79"/>
    <x v="2"/>
    <m/>
    <m/>
    <m/>
    <m/>
    <m/>
    <m/>
    <m/>
    <m/>
    <m/>
    <m/>
  </r>
  <r>
    <x v="2"/>
    <n v="115535"/>
    <x v="13"/>
    <x v="3"/>
    <x v="19"/>
    <n v="1.1299999999999999"/>
    <x v="35"/>
    <x v="0"/>
    <m/>
    <m/>
    <m/>
    <m/>
    <m/>
    <m/>
    <m/>
    <m/>
    <m/>
    <m/>
  </r>
  <r>
    <x v="13"/>
    <n v="101156"/>
    <x v="26"/>
    <x v="0"/>
    <x v="80"/>
    <n v="1.1100000000000001"/>
    <x v="69"/>
    <x v="2"/>
    <m/>
    <m/>
    <m/>
    <m/>
    <m/>
    <m/>
    <m/>
    <m/>
    <m/>
    <m/>
  </r>
  <r>
    <x v="9"/>
    <n v="127417"/>
    <x v="8"/>
    <x v="1"/>
    <x v="98"/>
    <n v="1.04"/>
    <x v="59"/>
    <x v="0"/>
    <m/>
    <m/>
    <m/>
    <m/>
    <m/>
    <m/>
    <m/>
    <m/>
    <m/>
    <m/>
  </r>
  <r>
    <x v="13"/>
    <n v="60066"/>
    <x v="3"/>
    <x v="1"/>
    <x v="96"/>
    <n v="0.85"/>
    <x v="31"/>
    <x v="2"/>
    <m/>
    <m/>
    <m/>
    <m/>
    <m/>
    <m/>
    <m/>
    <m/>
    <m/>
    <m/>
  </r>
  <r>
    <x v="15"/>
    <n v="78359"/>
    <x v="6"/>
    <x v="3"/>
    <x v="50"/>
    <n v="1.46"/>
    <x v="15"/>
    <x v="1"/>
    <m/>
    <m/>
    <m/>
    <m/>
    <m/>
    <m/>
    <m/>
    <m/>
    <m/>
    <m/>
  </r>
  <r>
    <x v="13"/>
    <n v="78225"/>
    <x v="18"/>
    <x v="3"/>
    <x v="77"/>
    <n v="0.54"/>
    <x v="66"/>
    <x v="2"/>
    <m/>
    <m/>
    <m/>
    <m/>
    <m/>
    <m/>
    <m/>
    <m/>
    <m/>
    <m/>
  </r>
  <r>
    <x v="19"/>
    <n v="135633"/>
    <x v="7"/>
    <x v="3"/>
    <x v="25"/>
    <n v="1.47"/>
    <x v="10"/>
    <x v="2"/>
    <m/>
    <m/>
    <m/>
    <m/>
    <m/>
    <m/>
    <m/>
    <m/>
    <m/>
    <m/>
  </r>
  <r>
    <x v="3"/>
    <n v="32599"/>
    <x v="1"/>
    <x v="2"/>
    <x v="39"/>
    <n v="1.25"/>
    <x v="65"/>
    <x v="2"/>
    <m/>
    <m/>
    <m/>
    <m/>
    <m/>
    <m/>
    <m/>
    <m/>
    <m/>
    <m/>
  </r>
  <r>
    <x v="3"/>
    <n v="41394"/>
    <x v="19"/>
    <x v="3"/>
    <x v="57"/>
    <n v="1.41"/>
    <x v="26"/>
    <x v="2"/>
    <m/>
    <m/>
    <m/>
    <m/>
    <m/>
    <m/>
    <m/>
    <m/>
    <m/>
    <m/>
  </r>
  <r>
    <x v="9"/>
    <n v="91351"/>
    <x v="21"/>
    <x v="3"/>
    <x v="16"/>
    <n v="0.51"/>
    <x v="51"/>
    <x v="0"/>
    <m/>
    <m/>
    <m/>
    <m/>
    <m/>
    <m/>
    <m/>
    <m/>
    <m/>
    <m/>
  </r>
  <r>
    <x v="19"/>
    <n v="60480"/>
    <x v="13"/>
    <x v="1"/>
    <x v="73"/>
    <n v="1.27"/>
    <x v="23"/>
    <x v="2"/>
    <m/>
    <m/>
    <m/>
    <m/>
    <m/>
    <m/>
    <m/>
    <m/>
    <m/>
    <m/>
  </r>
  <r>
    <x v="16"/>
    <n v="113442"/>
    <x v="21"/>
    <x v="3"/>
    <x v="11"/>
    <n v="1.25"/>
    <x v="44"/>
    <x v="0"/>
    <m/>
    <m/>
    <m/>
    <m/>
    <m/>
    <m/>
    <m/>
    <m/>
    <m/>
    <m/>
  </r>
  <r>
    <x v="4"/>
    <n v="32199"/>
    <x v="1"/>
    <x v="1"/>
    <x v="67"/>
    <n v="1.26"/>
    <x v="22"/>
    <x v="2"/>
    <m/>
    <m/>
    <m/>
    <m/>
    <m/>
    <m/>
    <m/>
    <m/>
    <m/>
    <m/>
  </r>
  <r>
    <x v="15"/>
    <n v="111646"/>
    <x v="9"/>
    <x v="2"/>
    <x v="41"/>
    <n v="0.64"/>
    <x v="63"/>
    <x v="1"/>
    <m/>
    <m/>
    <m/>
    <m/>
    <m/>
    <m/>
    <m/>
    <m/>
    <m/>
    <m/>
  </r>
  <r>
    <x v="11"/>
    <n v="146536"/>
    <x v="0"/>
    <x v="2"/>
    <x v="63"/>
    <n v="1.35"/>
    <x v="22"/>
    <x v="2"/>
    <m/>
    <m/>
    <m/>
    <m/>
    <m/>
    <m/>
    <m/>
    <m/>
    <m/>
    <m/>
  </r>
  <r>
    <x v="14"/>
    <n v="100072"/>
    <x v="13"/>
    <x v="0"/>
    <x v="88"/>
    <n v="0.79"/>
    <x v="2"/>
    <x v="0"/>
    <m/>
    <m/>
    <m/>
    <m/>
    <m/>
    <m/>
    <m/>
    <m/>
    <m/>
    <m/>
  </r>
  <r>
    <x v="10"/>
    <n v="41246"/>
    <x v="27"/>
    <x v="2"/>
    <x v="35"/>
    <n v="0.56999999999999995"/>
    <x v="72"/>
    <x v="2"/>
    <m/>
    <m/>
    <m/>
    <m/>
    <m/>
    <m/>
    <m/>
    <m/>
    <m/>
    <m/>
  </r>
  <r>
    <x v="0"/>
    <n v="120088"/>
    <x v="22"/>
    <x v="1"/>
    <x v="70"/>
    <n v="0.69"/>
    <x v="59"/>
    <x v="0"/>
    <m/>
    <m/>
    <m/>
    <m/>
    <m/>
    <m/>
    <m/>
    <m/>
    <m/>
    <m/>
  </r>
  <r>
    <x v="18"/>
    <n v="41913"/>
    <x v="20"/>
    <x v="0"/>
    <x v="64"/>
    <n v="1.38"/>
    <x v="42"/>
    <x v="1"/>
    <m/>
    <m/>
    <m/>
    <m/>
    <m/>
    <m/>
    <m/>
    <m/>
    <m/>
    <m/>
  </r>
  <r>
    <x v="11"/>
    <n v="127771"/>
    <x v="29"/>
    <x v="1"/>
    <x v="35"/>
    <n v="1.34"/>
    <x v="69"/>
    <x v="2"/>
    <m/>
    <m/>
    <m/>
    <m/>
    <m/>
    <m/>
    <m/>
    <m/>
    <m/>
    <m/>
  </r>
  <r>
    <x v="7"/>
    <n v="82035"/>
    <x v="0"/>
    <x v="1"/>
    <x v="65"/>
    <n v="0.67"/>
    <x v="19"/>
    <x v="1"/>
    <m/>
    <m/>
    <m/>
    <m/>
    <m/>
    <m/>
    <m/>
    <m/>
    <m/>
    <m/>
  </r>
  <r>
    <x v="18"/>
    <n v="106970"/>
    <x v="20"/>
    <x v="0"/>
    <x v="72"/>
    <n v="1.45"/>
    <x v="41"/>
    <x v="1"/>
    <m/>
    <m/>
    <m/>
    <m/>
    <m/>
    <m/>
    <m/>
    <m/>
    <m/>
    <m/>
  </r>
  <r>
    <x v="4"/>
    <n v="75643"/>
    <x v="10"/>
    <x v="1"/>
    <x v="68"/>
    <n v="0.87"/>
    <x v="30"/>
    <x v="2"/>
    <m/>
    <m/>
    <m/>
    <m/>
    <m/>
    <m/>
    <m/>
    <m/>
    <m/>
    <m/>
  </r>
  <r>
    <x v="15"/>
    <n v="111751"/>
    <x v="3"/>
    <x v="1"/>
    <x v="90"/>
    <n v="0.56999999999999995"/>
    <x v="21"/>
    <x v="1"/>
    <m/>
    <m/>
    <m/>
    <m/>
    <m/>
    <m/>
    <m/>
    <m/>
    <m/>
    <m/>
  </r>
  <r>
    <x v="3"/>
    <n v="145650"/>
    <x v="12"/>
    <x v="3"/>
    <x v="30"/>
    <n v="0.61"/>
    <x v="66"/>
    <x v="2"/>
    <m/>
    <m/>
    <m/>
    <m/>
    <m/>
    <m/>
    <m/>
    <m/>
    <m/>
    <m/>
  </r>
  <r>
    <x v="2"/>
    <n v="94649"/>
    <x v="10"/>
    <x v="3"/>
    <x v="85"/>
    <n v="1.36"/>
    <x v="17"/>
    <x v="0"/>
    <m/>
    <m/>
    <m/>
    <m/>
    <m/>
    <m/>
    <m/>
    <m/>
    <m/>
    <m/>
  </r>
  <r>
    <x v="1"/>
    <n v="95615"/>
    <x v="15"/>
    <x v="3"/>
    <x v="92"/>
    <n v="0.53"/>
    <x v="27"/>
    <x v="1"/>
    <m/>
    <m/>
    <m/>
    <m/>
    <m/>
    <m/>
    <m/>
    <m/>
    <m/>
    <m/>
  </r>
  <r>
    <x v="16"/>
    <n v="144317"/>
    <x v="18"/>
    <x v="1"/>
    <x v="59"/>
    <n v="1.01"/>
    <x v="32"/>
    <x v="0"/>
    <m/>
    <m/>
    <m/>
    <m/>
    <m/>
    <m/>
    <m/>
    <m/>
    <m/>
    <m/>
  </r>
  <r>
    <x v="19"/>
    <n v="66640"/>
    <x v="5"/>
    <x v="3"/>
    <x v="22"/>
    <n v="1.04"/>
    <x v="20"/>
    <x v="2"/>
    <m/>
    <m/>
    <m/>
    <m/>
    <m/>
    <m/>
    <m/>
    <m/>
    <m/>
    <m/>
  </r>
  <r>
    <x v="0"/>
    <n v="47528"/>
    <x v="21"/>
    <x v="0"/>
    <x v="91"/>
    <n v="1.44"/>
    <x v="44"/>
    <x v="0"/>
    <m/>
    <m/>
    <m/>
    <m/>
    <m/>
    <m/>
    <m/>
    <m/>
    <m/>
    <m/>
  </r>
  <r>
    <x v="15"/>
    <n v="53655"/>
    <x v="7"/>
    <x v="1"/>
    <x v="90"/>
    <n v="0.95"/>
    <x v="41"/>
    <x v="1"/>
    <m/>
    <m/>
    <m/>
    <m/>
    <m/>
    <m/>
    <m/>
    <m/>
    <m/>
    <m/>
  </r>
  <r>
    <x v="12"/>
    <n v="102264"/>
    <x v="21"/>
    <x v="1"/>
    <x v="27"/>
    <n v="0.95"/>
    <x v="64"/>
    <x v="2"/>
    <m/>
    <m/>
    <m/>
    <m/>
    <m/>
    <m/>
    <m/>
    <m/>
    <m/>
    <m/>
  </r>
  <r>
    <x v="1"/>
    <n v="42550"/>
    <x v="13"/>
    <x v="2"/>
    <x v="3"/>
    <n v="1.18"/>
    <x v="15"/>
    <x v="1"/>
    <m/>
    <m/>
    <m/>
    <m/>
    <m/>
    <m/>
    <m/>
    <m/>
    <m/>
    <m/>
  </r>
  <r>
    <x v="10"/>
    <n v="91284"/>
    <x v="3"/>
    <x v="2"/>
    <x v="60"/>
    <n v="1.36"/>
    <x v="65"/>
    <x v="2"/>
    <m/>
    <m/>
    <m/>
    <m/>
    <m/>
    <m/>
    <m/>
    <m/>
    <m/>
    <m/>
  </r>
  <r>
    <x v="12"/>
    <n v="51200"/>
    <x v="1"/>
    <x v="2"/>
    <x v="85"/>
    <n v="0.61"/>
    <x v="38"/>
    <x v="2"/>
    <m/>
    <m/>
    <m/>
    <m/>
    <m/>
    <m/>
    <m/>
    <m/>
    <m/>
    <m/>
  </r>
  <r>
    <x v="18"/>
    <n v="147529"/>
    <x v="29"/>
    <x v="3"/>
    <x v="19"/>
    <n v="1.37"/>
    <x v="54"/>
    <x v="1"/>
    <m/>
    <m/>
    <m/>
    <m/>
    <m/>
    <m/>
    <m/>
    <m/>
    <m/>
    <m/>
  </r>
  <r>
    <x v="15"/>
    <n v="46151"/>
    <x v="22"/>
    <x v="3"/>
    <x v="3"/>
    <n v="0.56999999999999995"/>
    <x v="41"/>
    <x v="1"/>
    <m/>
    <m/>
    <m/>
    <m/>
    <m/>
    <m/>
    <m/>
    <m/>
    <m/>
    <m/>
  </r>
  <r>
    <x v="17"/>
    <n v="146849"/>
    <x v="0"/>
    <x v="3"/>
    <x v="64"/>
    <n v="1.28"/>
    <x v="10"/>
    <x v="2"/>
    <m/>
    <m/>
    <m/>
    <m/>
    <m/>
    <m/>
    <m/>
    <m/>
    <m/>
    <m/>
  </r>
  <r>
    <x v="8"/>
    <n v="44537"/>
    <x v="20"/>
    <x v="0"/>
    <x v="53"/>
    <n v="0.75"/>
    <x v="50"/>
    <x v="2"/>
    <m/>
    <m/>
    <m/>
    <m/>
    <m/>
    <m/>
    <m/>
    <m/>
    <m/>
    <m/>
  </r>
  <r>
    <x v="14"/>
    <n v="72294"/>
    <x v="29"/>
    <x v="3"/>
    <x v="98"/>
    <n v="1.46"/>
    <x v="51"/>
    <x v="0"/>
    <m/>
    <m/>
    <m/>
    <m/>
    <m/>
    <m/>
    <m/>
    <m/>
    <m/>
    <m/>
  </r>
  <r>
    <x v="14"/>
    <n v="45749"/>
    <x v="6"/>
    <x v="2"/>
    <x v="64"/>
    <n v="0.63"/>
    <x v="40"/>
    <x v="0"/>
    <m/>
    <m/>
    <m/>
    <m/>
    <m/>
    <m/>
    <m/>
    <m/>
    <m/>
    <m/>
  </r>
  <r>
    <x v="10"/>
    <n v="91561"/>
    <x v="1"/>
    <x v="2"/>
    <x v="85"/>
    <n v="1.39"/>
    <x v="3"/>
    <x v="2"/>
    <m/>
    <m/>
    <m/>
    <m/>
    <m/>
    <m/>
    <m/>
    <m/>
    <m/>
    <m/>
  </r>
  <r>
    <x v="4"/>
    <n v="55757"/>
    <x v="26"/>
    <x v="3"/>
    <x v="18"/>
    <n v="1.34"/>
    <x v="49"/>
    <x v="2"/>
    <m/>
    <m/>
    <m/>
    <m/>
    <m/>
    <m/>
    <m/>
    <m/>
    <m/>
    <m/>
  </r>
  <r>
    <x v="4"/>
    <n v="32251"/>
    <x v="10"/>
    <x v="3"/>
    <x v="11"/>
    <n v="0.75"/>
    <x v="11"/>
    <x v="2"/>
    <m/>
    <m/>
    <m/>
    <m/>
    <m/>
    <m/>
    <m/>
    <m/>
    <m/>
    <m/>
  </r>
  <r>
    <x v="7"/>
    <n v="94274"/>
    <x v="23"/>
    <x v="2"/>
    <x v="35"/>
    <n v="0.97"/>
    <x v="15"/>
    <x v="1"/>
    <m/>
    <m/>
    <m/>
    <m/>
    <m/>
    <m/>
    <m/>
    <m/>
    <m/>
    <m/>
  </r>
  <r>
    <x v="4"/>
    <n v="136023"/>
    <x v="24"/>
    <x v="3"/>
    <x v="8"/>
    <n v="1.1499999999999999"/>
    <x v="11"/>
    <x v="2"/>
    <m/>
    <m/>
    <m/>
    <m/>
    <m/>
    <m/>
    <m/>
    <m/>
    <m/>
    <m/>
  </r>
  <r>
    <x v="13"/>
    <n v="126746"/>
    <x v="17"/>
    <x v="2"/>
    <x v="75"/>
    <n v="0.52"/>
    <x v="46"/>
    <x v="2"/>
    <m/>
    <m/>
    <m/>
    <m/>
    <m/>
    <m/>
    <m/>
    <m/>
    <m/>
    <m/>
  </r>
  <r>
    <x v="13"/>
    <n v="115421"/>
    <x v="2"/>
    <x v="2"/>
    <x v="59"/>
    <n v="1.24"/>
    <x v="46"/>
    <x v="2"/>
    <m/>
    <m/>
    <m/>
    <m/>
    <m/>
    <m/>
    <m/>
    <m/>
    <m/>
    <m/>
  </r>
  <r>
    <x v="14"/>
    <n v="45817"/>
    <x v="18"/>
    <x v="2"/>
    <x v="84"/>
    <n v="1.45"/>
    <x v="17"/>
    <x v="0"/>
    <m/>
    <m/>
    <m/>
    <m/>
    <m/>
    <m/>
    <m/>
    <m/>
    <m/>
    <m/>
  </r>
  <r>
    <x v="15"/>
    <n v="76205"/>
    <x v="16"/>
    <x v="2"/>
    <x v="33"/>
    <n v="0.62"/>
    <x v="37"/>
    <x v="1"/>
    <m/>
    <m/>
    <m/>
    <m/>
    <m/>
    <m/>
    <m/>
    <m/>
    <m/>
    <m/>
  </r>
  <r>
    <x v="11"/>
    <n v="142398"/>
    <x v="27"/>
    <x v="0"/>
    <x v="8"/>
    <n v="1.06"/>
    <x v="64"/>
    <x v="2"/>
    <m/>
    <m/>
    <m/>
    <m/>
    <m/>
    <m/>
    <m/>
    <m/>
    <m/>
    <m/>
  </r>
  <r>
    <x v="3"/>
    <n v="54453"/>
    <x v="26"/>
    <x v="2"/>
    <x v="34"/>
    <n v="1.24"/>
    <x v="72"/>
    <x v="2"/>
    <m/>
    <m/>
    <m/>
    <m/>
    <m/>
    <m/>
    <m/>
    <m/>
    <m/>
    <m/>
  </r>
  <r>
    <x v="10"/>
    <n v="129821"/>
    <x v="12"/>
    <x v="0"/>
    <x v="32"/>
    <n v="0.77"/>
    <x v="23"/>
    <x v="2"/>
    <m/>
    <m/>
    <m/>
    <m/>
    <m/>
    <m/>
    <m/>
    <m/>
    <m/>
    <m/>
  </r>
  <r>
    <x v="1"/>
    <n v="89615"/>
    <x v="26"/>
    <x v="3"/>
    <x v="74"/>
    <n v="1.32"/>
    <x v="70"/>
    <x v="1"/>
    <m/>
    <m/>
    <m/>
    <m/>
    <m/>
    <m/>
    <m/>
    <m/>
    <m/>
    <m/>
  </r>
  <r>
    <x v="2"/>
    <n v="57470"/>
    <x v="10"/>
    <x v="1"/>
    <x v="98"/>
    <n v="0.71"/>
    <x v="35"/>
    <x v="0"/>
    <m/>
    <m/>
    <m/>
    <m/>
    <m/>
    <m/>
    <m/>
    <m/>
    <m/>
    <m/>
  </r>
  <r>
    <x v="17"/>
    <n v="102082"/>
    <x v="7"/>
    <x v="2"/>
    <x v="33"/>
    <n v="1.37"/>
    <x v="84"/>
    <x v="2"/>
    <m/>
    <m/>
    <m/>
    <m/>
    <m/>
    <m/>
    <m/>
    <m/>
    <m/>
    <m/>
  </r>
  <r>
    <x v="4"/>
    <n v="90639"/>
    <x v="6"/>
    <x v="3"/>
    <x v="17"/>
    <n v="0.78"/>
    <x v="50"/>
    <x v="2"/>
    <m/>
    <m/>
    <m/>
    <m/>
    <m/>
    <m/>
    <m/>
    <m/>
    <m/>
    <m/>
  </r>
  <r>
    <x v="9"/>
    <n v="61854"/>
    <x v="0"/>
    <x v="2"/>
    <x v="70"/>
    <n v="1.39"/>
    <x v="56"/>
    <x v="0"/>
    <m/>
    <m/>
    <m/>
    <m/>
    <m/>
    <m/>
    <m/>
    <m/>
    <m/>
    <m/>
  </r>
  <r>
    <x v="19"/>
    <n v="110882"/>
    <x v="2"/>
    <x v="0"/>
    <x v="18"/>
    <n v="0.62"/>
    <x v="79"/>
    <x v="2"/>
    <m/>
    <m/>
    <m/>
    <m/>
    <m/>
    <m/>
    <m/>
    <m/>
    <m/>
    <m/>
  </r>
  <r>
    <x v="5"/>
    <n v="143352"/>
    <x v="29"/>
    <x v="3"/>
    <x v="15"/>
    <n v="0.96"/>
    <x v="21"/>
    <x v="1"/>
    <m/>
    <m/>
    <m/>
    <m/>
    <m/>
    <m/>
    <m/>
    <m/>
    <m/>
    <m/>
  </r>
  <r>
    <x v="6"/>
    <n v="91922"/>
    <x v="10"/>
    <x v="1"/>
    <x v="35"/>
    <n v="1.29"/>
    <x v="58"/>
    <x v="2"/>
    <m/>
    <m/>
    <m/>
    <m/>
    <m/>
    <m/>
    <m/>
    <m/>
    <m/>
    <m/>
  </r>
  <r>
    <x v="0"/>
    <n v="116195"/>
    <x v="13"/>
    <x v="2"/>
    <x v="64"/>
    <n v="1.08"/>
    <x v="80"/>
    <x v="0"/>
    <m/>
    <m/>
    <m/>
    <m/>
    <m/>
    <m/>
    <m/>
    <m/>
    <m/>
    <m/>
  </r>
  <r>
    <x v="17"/>
    <n v="91775"/>
    <x v="19"/>
    <x v="2"/>
    <x v="8"/>
    <n v="0.68"/>
    <x v="33"/>
    <x v="2"/>
    <m/>
    <m/>
    <m/>
    <m/>
    <m/>
    <m/>
    <m/>
    <m/>
    <m/>
    <m/>
  </r>
  <r>
    <x v="2"/>
    <n v="86776"/>
    <x v="10"/>
    <x v="1"/>
    <x v="8"/>
    <n v="1.1200000000000001"/>
    <x v="77"/>
    <x v="0"/>
    <m/>
    <m/>
    <m/>
    <m/>
    <m/>
    <m/>
    <m/>
    <m/>
    <m/>
    <m/>
  </r>
  <r>
    <x v="6"/>
    <n v="142192"/>
    <x v="17"/>
    <x v="2"/>
    <x v="67"/>
    <n v="0.74"/>
    <x v="14"/>
    <x v="2"/>
    <m/>
    <m/>
    <m/>
    <m/>
    <m/>
    <m/>
    <m/>
    <m/>
    <m/>
    <m/>
  </r>
  <r>
    <x v="7"/>
    <n v="120351"/>
    <x v="14"/>
    <x v="3"/>
    <x v="41"/>
    <n v="0.84"/>
    <x v="61"/>
    <x v="1"/>
    <m/>
    <m/>
    <m/>
    <m/>
    <m/>
    <m/>
    <m/>
    <m/>
    <m/>
    <m/>
  </r>
  <r>
    <x v="9"/>
    <n v="50080"/>
    <x v="23"/>
    <x v="0"/>
    <x v="31"/>
    <n v="0.71"/>
    <x v="24"/>
    <x v="0"/>
    <m/>
    <m/>
    <m/>
    <m/>
    <m/>
    <m/>
    <m/>
    <m/>
    <m/>
    <m/>
  </r>
  <r>
    <x v="16"/>
    <n v="95729"/>
    <x v="22"/>
    <x v="1"/>
    <x v="34"/>
    <n v="0.52"/>
    <x v="2"/>
    <x v="0"/>
    <m/>
    <m/>
    <m/>
    <m/>
    <m/>
    <m/>
    <m/>
    <m/>
    <m/>
    <m/>
  </r>
  <r>
    <x v="9"/>
    <n v="123330"/>
    <x v="14"/>
    <x v="3"/>
    <x v="100"/>
    <n v="0.57999999999999996"/>
    <x v="59"/>
    <x v="0"/>
    <m/>
    <m/>
    <m/>
    <m/>
    <m/>
    <m/>
    <m/>
    <m/>
    <m/>
    <m/>
  </r>
  <r>
    <x v="7"/>
    <n v="96302"/>
    <x v="12"/>
    <x v="0"/>
    <x v="38"/>
    <n v="1.33"/>
    <x v="54"/>
    <x v="1"/>
    <m/>
    <m/>
    <m/>
    <m/>
    <m/>
    <m/>
    <m/>
    <m/>
    <m/>
    <m/>
  </r>
  <r>
    <x v="8"/>
    <n v="97986"/>
    <x v="21"/>
    <x v="2"/>
    <x v="27"/>
    <n v="0.72"/>
    <x v="14"/>
    <x v="2"/>
    <m/>
    <m/>
    <m/>
    <m/>
    <m/>
    <m/>
    <m/>
    <m/>
    <m/>
    <m/>
  </r>
  <r>
    <x v="6"/>
    <n v="43776"/>
    <x v="6"/>
    <x v="3"/>
    <x v="62"/>
    <n v="0.64"/>
    <x v="43"/>
    <x v="2"/>
    <m/>
    <m/>
    <m/>
    <m/>
    <m/>
    <m/>
    <m/>
    <m/>
    <m/>
    <m/>
  </r>
  <r>
    <x v="10"/>
    <n v="37163"/>
    <x v="24"/>
    <x v="3"/>
    <x v="90"/>
    <n v="1.36"/>
    <x v="49"/>
    <x v="2"/>
    <m/>
    <m/>
    <m/>
    <m/>
    <m/>
    <m/>
    <m/>
    <m/>
    <m/>
    <m/>
  </r>
  <r>
    <x v="17"/>
    <n v="135001"/>
    <x v="25"/>
    <x v="1"/>
    <x v="89"/>
    <n v="1.29"/>
    <x v="33"/>
    <x v="2"/>
    <m/>
    <m/>
    <m/>
    <m/>
    <m/>
    <m/>
    <m/>
    <m/>
    <m/>
    <m/>
  </r>
  <r>
    <x v="0"/>
    <n v="108156"/>
    <x v="18"/>
    <x v="2"/>
    <x v="39"/>
    <n v="0.89"/>
    <x v="77"/>
    <x v="0"/>
    <m/>
    <m/>
    <m/>
    <m/>
    <m/>
    <m/>
    <m/>
    <m/>
    <m/>
    <m/>
  </r>
  <r>
    <x v="1"/>
    <n v="68842"/>
    <x v="0"/>
    <x v="0"/>
    <x v="98"/>
    <n v="0.51"/>
    <x v="5"/>
    <x v="1"/>
    <m/>
    <m/>
    <m/>
    <m/>
    <m/>
    <m/>
    <m/>
    <m/>
    <m/>
    <m/>
  </r>
  <r>
    <x v="2"/>
    <n v="78039"/>
    <x v="24"/>
    <x v="2"/>
    <x v="33"/>
    <n v="1.41"/>
    <x v="40"/>
    <x v="0"/>
    <m/>
    <m/>
    <m/>
    <m/>
    <m/>
    <m/>
    <m/>
    <m/>
    <m/>
    <m/>
  </r>
  <r>
    <x v="19"/>
    <n v="59552"/>
    <x v="14"/>
    <x v="1"/>
    <x v="82"/>
    <n v="0.84"/>
    <x v="84"/>
    <x v="2"/>
    <m/>
    <m/>
    <m/>
    <m/>
    <m/>
    <m/>
    <m/>
    <m/>
    <m/>
    <m/>
  </r>
  <r>
    <x v="10"/>
    <n v="144759"/>
    <x v="17"/>
    <x v="3"/>
    <x v="50"/>
    <n v="1.21"/>
    <x v="30"/>
    <x v="2"/>
    <m/>
    <m/>
    <m/>
    <m/>
    <m/>
    <m/>
    <m/>
    <m/>
    <m/>
    <m/>
  </r>
  <r>
    <x v="2"/>
    <n v="131442"/>
    <x v="3"/>
    <x v="3"/>
    <x v="13"/>
    <n v="0.86"/>
    <x v="83"/>
    <x v="0"/>
    <m/>
    <m/>
    <m/>
    <m/>
    <m/>
    <m/>
    <m/>
    <m/>
    <m/>
    <m/>
  </r>
  <r>
    <x v="13"/>
    <n v="126969"/>
    <x v="19"/>
    <x v="3"/>
    <x v="91"/>
    <n v="0.79"/>
    <x v="58"/>
    <x v="2"/>
    <m/>
    <m/>
    <m/>
    <m/>
    <m/>
    <m/>
    <m/>
    <m/>
    <m/>
    <m/>
  </r>
  <r>
    <x v="7"/>
    <n v="111606"/>
    <x v="5"/>
    <x v="3"/>
    <x v="65"/>
    <n v="0.96"/>
    <x v="5"/>
    <x v="1"/>
    <m/>
    <m/>
    <m/>
    <m/>
    <m/>
    <m/>
    <m/>
    <m/>
    <m/>
    <m/>
  </r>
  <r>
    <x v="7"/>
    <n v="137904"/>
    <x v="0"/>
    <x v="1"/>
    <x v="16"/>
    <n v="1.21"/>
    <x v="52"/>
    <x v="1"/>
    <m/>
    <m/>
    <m/>
    <m/>
    <m/>
    <m/>
    <m/>
    <m/>
    <m/>
    <m/>
  </r>
  <r>
    <x v="1"/>
    <n v="93878"/>
    <x v="5"/>
    <x v="0"/>
    <x v="7"/>
    <n v="0.81"/>
    <x v="7"/>
    <x v="1"/>
    <m/>
    <m/>
    <m/>
    <m/>
    <m/>
    <m/>
    <m/>
    <m/>
    <m/>
    <m/>
  </r>
  <r>
    <x v="15"/>
    <n v="71986"/>
    <x v="2"/>
    <x v="1"/>
    <x v="58"/>
    <n v="1.46"/>
    <x v="47"/>
    <x v="1"/>
    <m/>
    <m/>
    <m/>
    <m/>
    <m/>
    <m/>
    <m/>
    <m/>
    <m/>
    <m/>
  </r>
  <r>
    <x v="14"/>
    <n v="65169"/>
    <x v="6"/>
    <x v="3"/>
    <x v="21"/>
    <n v="0.51"/>
    <x v="0"/>
    <x v="0"/>
    <m/>
    <m/>
    <m/>
    <m/>
    <m/>
    <m/>
    <m/>
    <m/>
    <m/>
    <m/>
  </r>
  <r>
    <x v="5"/>
    <n v="47330"/>
    <x v="10"/>
    <x v="1"/>
    <x v="46"/>
    <n v="0.57999999999999996"/>
    <x v="19"/>
    <x v="1"/>
    <m/>
    <m/>
    <m/>
    <m/>
    <m/>
    <m/>
    <m/>
    <m/>
    <m/>
    <m/>
  </r>
  <r>
    <x v="19"/>
    <n v="119937"/>
    <x v="28"/>
    <x v="1"/>
    <x v="50"/>
    <n v="0.96"/>
    <x v="8"/>
    <x v="2"/>
    <m/>
    <m/>
    <m/>
    <m/>
    <m/>
    <m/>
    <m/>
    <m/>
    <m/>
    <m/>
  </r>
  <r>
    <x v="6"/>
    <n v="113301"/>
    <x v="6"/>
    <x v="1"/>
    <x v="31"/>
    <n v="1.38"/>
    <x v="53"/>
    <x v="2"/>
    <m/>
    <m/>
    <m/>
    <m/>
    <m/>
    <m/>
    <m/>
    <m/>
    <m/>
    <m/>
  </r>
  <r>
    <x v="1"/>
    <n v="81899"/>
    <x v="25"/>
    <x v="0"/>
    <x v="60"/>
    <n v="1.04"/>
    <x v="27"/>
    <x v="1"/>
    <m/>
    <m/>
    <m/>
    <m/>
    <m/>
    <m/>
    <m/>
    <m/>
    <m/>
    <m/>
  </r>
  <r>
    <x v="2"/>
    <n v="100390"/>
    <x v="23"/>
    <x v="0"/>
    <x v="91"/>
    <n v="0.86"/>
    <x v="90"/>
    <x v="0"/>
    <m/>
    <m/>
    <m/>
    <m/>
    <m/>
    <m/>
    <m/>
    <m/>
    <m/>
    <m/>
  </r>
  <r>
    <x v="13"/>
    <n v="106019"/>
    <x v="27"/>
    <x v="0"/>
    <x v="40"/>
    <n v="1.1499999999999999"/>
    <x v="50"/>
    <x v="2"/>
    <m/>
    <m/>
    <m/>
    <m/>
    <m/>
    <m/>
    <m/>
    <m/>
    <m/>
    <m/>
  </r>
  <r>
    <x v="6"/>
    <n v="129878"/>
    <x v="13"/>
    <x v="3"/>
    <x v="49"/>
    <n v="0.66"/>
    <x v="71"/>
    <x v="2"/>
    <m/>
    <m/>
    <m/>
    <m/>
    <m/>
    <m/>
    <m/>
    <m/>
    <m/>
    <m/>
  </r>
  <r>
    <x v="10"/>
    <n v="55463"/>
    <x v="18"/>
    <x v="2"/>
    <x v="10"/>
    <n v="1.2"/>
    <x v="20"/>
    <x v="2"/>
    <m/>
    <m/>
    <m/>
    <m/>
    <m/>
    <m/>
    <m/>
    <m/>
    <m/>
    <m/>
  </r>
  <r>
    <x v="10"/>
    <n v="115275"/>
    <x v="3"/>
    <x v="1"/>
    <x v="49"/>
    <n v="1.01"/>
    <x v="57"/>
    <x v="2"/>
    <m/>
    <m/>
    <m/>
    <m/>
    <m/>
    <m/>
    <m/>
    <m/>
    <m/>
    <m/>
  </r>
  <r>
    <x v="14"/>
    <n v="81408"/>
    <x v="2"/>
    <x v="2"/>
    <x v="3"/>
    <n v="0.72"/>
    <x v="81"/>
    <x v="0"/>
    <m/>
    <m/>
    <m/>
    <m/>
    <m/>
    <m/>
    <m/>
    <m/>
    <m/>
    <m/>
  </r>
  <r>
    <x v="16"/>
    <n v="93305"/>
    <x v="12"/>
    <x v="2"/>
    <x v="96"/>
    <n v="1.17"/>
    <x v="90"/>
    <x v="0"/>
    <m/>
    <m/>
    <m/>
    <m/>
    <m/>
    <m/>
    <m/>
    <m/>
    <m/>
    <m/>
  </r>
  <r>
    <x v="4"/>
    <n v="115442"/>
    <x v="23"/>
    <x v="3"/>
    <x v="6"/>
    <n v="0.77"/>
    <x v="53"/>
    <x v="2"/>
    <m/>
    <m/>
    <m/>
    <m/>
    <m/>
    <m/>
    <m/>
    <m/>
    <m/>
    <m/>
  </r>
  <r>
    <x v="9"/>
    <n v="86467"/>
    <x v="20"/>
    <x v="0"/>
    <x v="31"/>
    <n v="0.6"/>
    <x v="39"/>
    <x v="0"/>
    <m/>
    <m/>
    <m/>
    <m/>
    <m/>
    <m/>
    <m/>
    <m/>
    <m/>
    <m/>
  </r>
  <r>
    <x v="2"/>
    <n v="87304"/>
    <x v="27"/>
    <x v="0"/>
    <x v="14"/>
    <n v="0.94"/>
    <x v="39"/>
    <x v="0"/>
    <m/>
    <m/>
    <m/>
    <m/>
    <m/>
    <m/>
    <m/>
    <m/>
    <m/>
    <m/>
  </r>
  <r>
    <x v="7"/>
    <n v="62734"/>
    <x v="12"/>
    <x v="1"/>
    <x v="63"/>
    <n v="0.62"/>
    <x v="7"/>
    <x v="1"/>
    <m/>
    <m/>
    <m/>
    <m/>
    <m/>
    <m/>
    <m/>
    <m/>
    <m/>
    <m/>
  </r>
  <r>
    <x v="7"/>
    <n v="76865"/>
    <x v="7"/>
    <x v="0"/>
    <x v="44"/>
    <n v="1.22"/>
    <x v="41"/>
    <x v="1"/>
    <m/>
    <m/>
    <m/>
    <m/>
    <m/>
    <m/>
    <m/>
    <m/>
    <m/>
    <m/>
  </r>
  <r>
    <x v="11"/>
    <n v="147882"/>
    <x v="23"/>
    <x v="3"/>
    <x v="8"/>
    <n v="1.06"/>
    <x v="10"/>
    <x v="2"/>
    <m/>
    <m/>
    <m/>
    <m/>
    <m/>
    <m/>
    <m/>
    <m/>
    <m/>
    <m/>
  </r>
  <r>
    <x v="5"/>
    <n v="126666"/>
    <x v="17"/>
    <x v="2"/>
    <x v="68"/>
    <n v="1.43"/>
    <x v="61"/>
    <x v="1"/>
    <m/>
    <m/>
    <m/>
    <m/>
    <m/>
    <m/>
    <m/>
    <m/>
    <m/>
    <m/>
  </r>
  <r>
    <x v="15"/>
    <n v="113319"/>
    <x v="23"/>
    <x v="3"/>
    <x v="84"/>
    <n v="0.62"/>
    <x v="54"/>
    <x v="1"/>
    <m/>
    <m/>
    <m/>
    <m/>
    <m/>
    <m/>
    <m/>
    <m/>
    <m/>
    <m/>
  </r>
  <r>
    <x v="18"/>
    <n v="134041"/>
    <x v="22"/>
    <x v="0"/>
    <x v="25"/>
    <n v="1.37"/>
    <x v="74"/>
    <x v="1"/>
    <m/>
    <m/>
    <m/>
    <m/>
    <m/>
    <m/>
    <m/>
    <m/>
    <m/>
    <m/>
  </r>
  <r>
    <x v="7"/>
    <n v="43760"/>
    <x v="27"/>
    <x v="0"/>
    <x v="5"/>
    <n v="0.85"/>
    <x v="7"/>
    <x v="1"/>
    <m/>
    <m/>
    <m/>
    <m/>
    <m/>
    <m/>
    <m/>
    <m/>
    <m/>
    <m/>
  </r>
  <r>
    <x v="4"/>
    <n v="118670"/>
    <x v="12"/>
    <x v="0"/>
    <x v="75"/>
    <n v="0.88"/>
    <x v="46"/>
    <x v="2"/>
    <m/>
    <m/>
    <m/>
    <m/>
    <m/>
    <m/>
    <m/>
    <m/>
    <m/>
    <m/>
  </r>
  <r>
    <x v="0"/>
    <n v="80806"/>
    <x v="11"/>
    <x v="0"/>
    <x v="45"/>
    <n v="0.84"/>
    <x v="0"/>
    <x v="0"/>
    <m/>
    <m/>
    <m/>
    <m/>
    <m/>
    <m/>
    <m/>
    <m/>
    <m/>
    <m/>
  </r>
  <r>
    <x v="4"/>
    <n v="83276"/>
    <x v="21"/>
    <x v="3"/>
    <x v="5"/>
    <n v="1.48"/>
    <x v="86"/>
    <x v="2"/>
    <m/>
    <m/>
    <m/>
    <m/>
    <m/>
    <m/>
    <m/>
    <m/>
    <m/>
    <m/>
  </r>
  <r>
    <x v="9"/>
    <n v="58897"/>
    <x v="17"/>
    <x v="0"/>
    <x v="22"/>
    <n v="1.19"/>
    <x v="80"/>
    <x v="0"/>
    <m/>
    <m/>
    <m/>
    <m/>
    <m/>
    <m/>
    <m/>
    <m/>
    <m/>
    <m/>
  </r>
  <r>
    <x v="11"/>
    <n v="44842"/>
    <x v="24"/>
    <x v="3"/>
    <x v="7"/>
    <n v="1.45"/>
    <x v="20"/>
    <x v="2"/>
    <m/>
    <m/>
    <m/>
    <m/>
    <m/>
    <m/>
    <m/>
    <m/>
    <m/>
    <m/>
  </r>
  <r>
    <x v="2"/>
    <n v="115984"/>
    <x v="9"/>
    <x v="3"/>
    <x v="78"/>
    <n v="1.1000000000000001"/>
    <x v="39"/>
    <x v="0"/>
    <m/>
    <m/>
    <m/>
    <m/>
    <m/>
    <m/>
    <m/>
    <m/>
    <m/>
    <m/>
  </r>
  <r>
    <x v="10"/>
    <n v="105664"/>
    <x v="21"/>
    <x v="1"/>
    <x v="77"/>
    <n v="1.46"/>
    <x v="3"/>
    <x v="2"/>
    <m/>
    <m/>
    <m/>
    <m/>
    <m/>
    <m/>
    <m/>
    <m/>
    <m/>
    <m/>
  </r>
  <r>
    <x v="7"/>
    <n v="130777"/>
    <x v="4"/>
    <x v="1"/>
    <x v="95"/>
    <n v="1.22"/>
    <x v="52"/>
    <x v="1"/>
    <m/>
    <m/>
    <m/>
    <m/>
    <m/>
    <m/>
    <m/>
    <m/>
    <m/>
    <m/>
  </r>
  <r>
    <x v="15"/>
    <n v="82723"/>
    <x v="12"/>
    <x v="1"/>
    <x v="80"/>
    <n v="0.84"/>
    <x v="18"/>
    <x v="1"/>
    <m/>
    <m/>
    <m/>
    <m/>
    <m/>
    <m/>
    <m/>
    <m/>
    <m/>
    <m/>
  </r>
  <r>
    <x v="8"/>
    <n v="104039"/>
    <x v="22"/>
    <x v="2"/>
    <x v="91"/>
    <n v="1.01"/>
    <x v="14"/>
    <x v="2"/>
    <m/>
    <m/>
    <m/>
    <m/>
    <m/>
    <m/>
    <m/>
    <m/>
    <m/>
    <m/>
  </r>
  <r>
    <x v="6"/>
    <n v="33974"/>
    <x v="25"/>
    <x v="0"/>
    <x v="68"/>
    <n v="0.89"/>
    <x v="55"/>
    <x v="2"/>
    <m/>
    <m/>
    <m/>
    <m/>
    <m/>
    <m/>
    <m/>
    <m/>
    <m/>
    <m/>
  </r>
  <r>
    <x v="2"/>
    <n v="148821"/>
    <x v="19"/>
    <x v="0"/>
    <x v="1"/>
    <n v="1.26"/>
    <x v="32"/>
    <x v="0"/>
    <m/>
    <m/>
    <m/>
    <m/>
    <m/>
    <m/>
    <m/>
    <m/>
    <m/>
    <m/>
  </r>
  <r>
    <x v="2"/>
    <n v="51944"/>
    <x v="14"/>
    <x v="2"/>
    <x v="42"/>
    <n v="0.7"/>
    <x v="28"/>
    <x v="0"/>
    <m/>
    <m/>
    <m/>
    <m/>
    <m/>
    <m/>
    <m/>
    <m/>
    <m/>
    <m/>
  </r>
  <r>
    <x v="2"/>
    <n v="127065"/>
    <x v="23"/>
    <x v="0"/>
    <x v="30"/>
    <n v="0.75"/>
    <x v="39"/>
    <x v="0"/>
    <m/>
    <m/>
    <m/>
    <m/>
    <m/>
    <m/>
    <m/>
    <m/>
    <m/>
    <m/>
  </r>
  <r>
    <x v="0"/>
    <n v="130874"/>
    <x v="15"/>
    <x v="2"/>
    <x v="82"/>
    <n v="1.48"/>
    <x v="90"/>
    <x v="0"/>
    <m/>
    <m/>
    <m/>
    <m/>
    <m/>
    <m/>
    <m/>
    <m/>
    <m/>
    <m/>
  </r>
  <r>
    <x v="4"/>
    <n v="41039"/>
    <x v="10"/>
    <x v="1"/>
    <x v="81"/>
    <n v="0.66"/>
    <x v="36"/>
    <x v="2"/>
    <m/>
    <m/>
    <m/>
    <m/>
    <m/>
    <m/>
    <m/>
    <m/>
    <m/>
    <m/>
  </r>
  <r>
    <x v="6"/>
    <n v="102816"/>
    <x v="22"/>
    <x v="3"/>
    <x v="25"/>
    <n v="0.73"/>
    <x v="14"/>
    <x v="2"/>
    <m/>
    <m/>
    <m/>
    <m/>
    <m/>
    <m/>
    <m/>
    <m/>
    <m/>
    <m/>
  </r>
  <r>
    <x v="12"/>
    <n v="133722"/>
    <x v="10"/>
    <x v="3"/>
    <x v="78"/>
    <n v="0.65"/>
    <x v="25"/>
    <x v="2"/>
    <m/>
    <m/>
    <m/>
    <m/>
    <m/>
    <m/>
    <m/>
    <m/>
    <m/>
    <m/>
  </r>
  <r>
    <x v="9"/>
    <n v="136657"/>
    <x v="18"/>
    <x v="1"/>
    <x v="24"/>
    <n v="0.69"/>
    <x v="17"/>
    <x v="0"/>
    <m/>
    <m/>
    <m/>
    <m/>
    <m/>
    <m/>
    <m/>
    <m/>
    <m/>
    <m/>
  </r>
  <r>
    <x v="18"/>
    <n v="135817"/>
    <x v="10"/>
    <x v="2"/>
    <x v="29"/>
    <n v="1.1399999999999999"/>
    <x v="37"/>
    <x v="1"/>
    <m/>
    <m/>
    <m/>
    <m/>
    <m/>
    <m/>
    <m/>
    <m/>
    <m/>
    <m/>
  </r>
  <r>
    <x v="3"/>
    <n v="93483"/>
    <x v="15"/>
    <x v="1"/>
    <x v="85"/>
    <n v="0.68"/>
    <x v="8"/>
    <x v="2"/>
    <m/>
    <m/>
    <m/>
    <m/>
    <m/>
    <m/>
    <m/>
    <m/>
    <m/>
    <m/>
  </r>
  <r>
    <x v="14"/>
    <n v="111165"/>
    <x v="21"/>
    <x v="1"/>
    <x v="38"/>
    <n v="1.18"/>
    <x v="17"/>
    <x v="0"/>
    <m/>
    <m/>
    <m/>
    <m/>
    <m/>
    <m/>
    <m/>
    <m/>
    <m/>
    <m/>
  </r>
  <r>
    <x v="12"/>
    <n v="73815"/>
    <x v="0"/>
    <x v="1"/>
    <x v="12"/>
    <n v="0.73"/>
    <x v="36"/>
    <x v="2"/>
    <m/>
    <m/>
    <m/>
    <m/>
    <m/>
    <m/>
    <m/>
    <m/>
    <m/>
    <m/>
  </r>
  <r>
    <x v="2"/>
    <n v="40244"/>
    <x v="1"/>
    <x v="1"/>
    <x v="1"/>
    <n v="1.07"/>
    <x v="44"/>
    <x v="0"/>
    <m/>
    <m/>
    <m/>
    <m/>
    <m/>
    <m/>
    <m/>
    <m/>
    <m/>
    <m/>
  </r>
  <r>
    <x v="12"/>
    <n v="116483"/>
    <x v="22"/>
    <x v="2"/>
    <x v="5"/>
    <n v="0.66"/>
    <x v="14"/>
    <x v="2"/>
    <m/>
    <m/>
    <m/>
    <m/>
    <m/>
    <m/>
    <m/>
    <m/>
    <m/>
    <m/>
  </r>
  <r>
    <x v="12"/>
    <n v="149346"/>
    <x v="0"/>
    <x v="2"/>
    <x v="62"/>
    <n v="1.1000000000000001"/>
    <x v="36"/>
    <x v="2"/>
    <m/>
    <m/>
    <m/>
    <m/>
    <m/>
    <m/>
    <m/>
    <m/>
    <m/>
    <m/>
  </r>
  <r>
    <x v="10"/>
    <n v="104399"/>
    <x v="11"/>
    <x v="1"/>
    <x v="58"/>
    <n v="1.1000000000000001"/>
    <x v="25"/>
    <x v="2"/>
    <m/>
    <m/>
    <m/>
    <m/>
    <m/>
    <m/>
    <m/>
    <m/>
    <m/>
    <m/>
  </r>
  <r>
    <x v="6"/>
    <n v="92327"/>
    <x v="21"/>
    <x v="2"/>
    <x v="75"/>
    <n v="0.68"/>
    <x v="33"/>
    <x v="2"/>
    <m/>
    <m/>
    <m/>
    <m/>
    <m/>
    <m/>
    <m/>
    <m/>
    <m/>
    <m/>
  </r>
  <r>
    <x v="7"/>
    <n v="111399"/>
    <x v="14"/>
    <x v="1"/>
    <x v="7"/>
    <n v="1.31"/>
    <x v="75"/>
    <x v="1"/>
    <m/>
    <m/>
    <m/>
    <m/>
    <m/>
    <m/>
    <m/>
    <m/>
    <m/>
    <m/>
  </r>
  <r>
    <x v="7"/>
    <n v="114267"/>
    <x v="0"/>
    <x v="1"/>
    <x v="55"/>
    <n v="0.79"/>
    <x v="63"/>
    <x v="1"/>
    <m/>
    <m/>
    <m/>
    <m/>
    <m/>
    <m/>
    <m/>
    <m/>
    <m/>
    <m/>
  </r>
  <r>
    <x v="16"/>
    <n v="93537"/>
    <x v="17"/>
    <x v="2"/>
    <x v="98"/>
    <n v="1.3"/>
    <x v="73"/>
    <x v="0"/>
    <m/>
    <m/>
    <m/>
    <m/>
    <m/>
    <m/>
    <m/>
    <m/>
    <m/>
    <m/>
  </r>
  <r>
    <x v="17"/>
    <n v="144147"/>
    <x v="5"/>
    <x v="3"/>
    <x v="23"/>
    <n v="1.1000000000000001"/>
    <x v="71"/>
    <x v="2"/>
    <m/>
    <m/>
    <m/>
    <m/>
    <m/>
    <m/>
    <m/>
    <m/>
    <m/>
    <m/>
  </r>
  <r>
    <x v="2"/>
    <n v="126172"/>
    <x v="11"/>
    <x v="0"/>
    <x v="0"/>
    <n v="0.51"/>
    <x v="9"/>
    <x v="0"/>
    <m/>
    <m/>
    <m/>
    <m/>
    <m/>
    <m/>
    <m/>
    <m/>
    <m/>
    <m/>
  </r>
  <r>
    <x v="3"/>
    <n v="108267"/>
    <x v="28"/>
    <x v="3"/>
    <x v="45"/>
    <n v="0.86"/>
    <x v="3"/>
    <x v="2"/>
    <m/>
    <m/>
    <m/>
    <m/>
    <m/>
    <m/>
    <m/>
    <m/>
    <m/>
    <m/>
  </r>
  <r>
    <x v="14"/>
    <n v="56013"/>
    <x v="24"/>
    <x v="2"/>
    <x v="72"/>
    <n v="1.42"/>
    <x v="39"/>
    <x v="0"/>
    <m/>
    <m/>
    <m/>
    <m/>
    <m/>
    <m/>
    <m/>
    <m/>
    <m/>
    <m/>
  </r>
  <r>
    <x v="17"/>
    <n v="43829"/>
    <x v="29"/>
    <x v="3"/>
    <x v="84"/>
    <n v="1.34"/>
    <x v="78"/>
    <x v="2"/>
    <m/>
    <m/>
    <m/>
    <m/>
    <m/>
    <m/>
    <m/>
    <m/>
    <m/>
    <m/>
  </r>
  <r>
    <x v="0"/>
    <n v="42391"/>
    <x v="26"/>
    <x v="2"/>
    <x v="39"/>
    <n v="1.03"/>
    <x v="77"/>
    <x v="0"/>
    <m/>
    <m/>
    <m/>
    <m/>
    <m/>
    <m/>
    <m/>
    <m/>
    <m/>
    <m/>
  </r>
  <r>
    <x v="7"/>
    <n v="55123"/>
    <x v="18"/>
    <x v="0"/>
    <x v="56"/>
    <n v="1.45"/>
    <x v="7"/>
    <x v="1"/>
    <m/>
    <m/>
    <m/>
    <m/>
    <m/>
    <m/>
    <m/>
    <m/>
    <m/>
    <m/>
  </r>
  <r>
    <x v="13"/>
    <n v="147420"/>
    <x v="9"/>
    <x v="1"/>
    <x v="55"/>
    <n v="1.03"/>
    <x v="26"/>
    <x v="2"/>
    <m/>
    <m/>
    <m/>
    <m/>
    <m/>
    <m/>
    <m/>
    <m/>
    <m/>
    <m/>
  </r>
  <r>
    <x v="12"/>
    <n v="120299"/>
    <x v="22"/>
    <x v="2"/>
    <x v="24"/>
    <n v="0.85"/>
    <x v="12"/>
    <x v="2"/>
    <m/>
    <m/>
    <m/>
    <m/>
    <m/>
    <m/>
    <m/>
    <m/>
    <m/>
    <m/>
  </r>
  <r>
    <x v="8"/>
    <n v="69140"/>
    <x v="2"/>
    <x v="1"/>
    <x v="55"/>
    <n v="0.88"/>
    <x v="87"/>
    <x v="2"/>
    <m/>
    <m/>
    <m/>
    <m/>
    <m/>
    <m/>
    <m/>
    <m/>
    <m/>
    <m/>
  </r>
  <r>
    <x v="14"/>
    <n v="113698"/>
    <x v="23"/>
    <x v="1"/>
    <x v="36"/>
    <n v="1.08"/>
    <x v="24"/>
    <x v="0"/>
    <m/>
    <m/>
    <m/>
    <m/>
    <m/>
    <m/>
    <m/>
    <m/>
    <m/>
    <m/>
  </r>
  <r>
    <x v="16"/>
    <n v="75939"/>
    <x v="27"/>
    <x v="2"/>
    <x v="42"/>
    <n v="1.1200000000000001"/>
    <x v="89"/>
    <x v="0"/>
    <m/>
    <m/>
    <m/>
    <m/>
    <m/>
    <m/>
    <m/>
    <m/>
    <m/>
    <m/>
  </r>
  <r>
    <x v="16"/>
    <n v="54180"/>
    <x v="3"/>
    <x v="3"/>
    <x v="54"/>
    <n v="1.41"/>
    <x v="56"/>
    <x v="0"/>
    <m/>
    <m/>
    <m/>
    <m/>
    <m/>
    <m/>
    <m/>
    <m/>
    <m/>
    <m/>
  </r>
  <r>
    <x v="18"/>
    <n v="125941"/>
    <x v="16"/>
    <x v="0"/>
    <x v="77"/>
    <n v="0.95"/>
    <x v="47"/>
    <x v="1"/>
    <m/>
    <m/>
    <m/>
    <m/>
    <m/>
    <m/>
    <m/>
    <m/>
    <m/>
    <m/>
  </r>
  <r>
    <x v="2"/>
    <n v="42003"/>
    <x v="21"/>
    <x v="0"/>
    <x v="52"/>
    <n v="1.31"/>
    <x v="32"/>
    <x v="0"/>
    <m/>
    <m/>
    <m/>
    <m/>
    <m/>
    <m/>
    <m/>
    <m/>
    <m/>
    <m/>
  </r>
  <r>
    <x v="5"/>
    <n v="46915"/>
    <x v="12"/>
    <x v="0"/>
    <x v="75"/>
    <n v="1.35"/>
    <x v="82"/>
    <x v="1"/>
    <m/>
    <m/>
    <m/>
    <m/>
    <m/>
    <m/>
    <m/>
    <m/>
    <m/>
    <m/>
  </r>
  <r>
    <x v="5"/>
    <n v="59179"/>
    <x v="20"/>
    <x v="2"/>
    <x v="32"/>
    <n v="1.37"/>
    <x v="47"/>
    <x v="1"/>
    <m/>
    <m/>
    <m/>
    <m/>
    <m/>
    <m/>
    <m/>
    <m/>
    <m/>
    <m/>
  </r>
  <r>
    <x v="4"/>
    <n v="119257"/>
    <x v="22"/>
    <x v="3"/>
    <x v="20"/>
    <n v="0.65"/>
    <x v="71"/>
    <x v="2"/>
    <m/>
    <m/>
    <m/>
    <m/>
    <m/>
    <m/>
    <m/>
    <m/>
    <m/>
    <m/>
  </r>
  <r>
    <x v="19"/>
    <n v="113994"/>
    <x v="18"/>
    <x v="2"/>
    <x v="67"/>
    <n v="1.1299999999999999"/>
    <x v="23"/>
    <x v="2"/>
    <m/>
    <m/>
    <m/>
    <m/>
    <m/>
    <m/>
    <m/>
    <m/>
    <m/>
    <m/>
  </r>
  <r>
    <x v="15"/>
    <n v="88742"/>
    <x v="22"/>
    <x v="3"/>
    <x v="11"/>
    <n v="1.46"/>
    <x v="5"/>
    <x v="1"/>
    <m/>
    <m/>
    <m/>
    <m/>
    <m/>
    <m/>
    <m/>
    <m/>
    <m/>
    <m/>
  </r>
  <r>
    <x v="4"/>
    <n v="65963"/>
    <x v="13"/>
    <x v="0"/>
    <x v="0"/>
    <n v="0.82"/>
    <x v="86"/>
    <x v="2"/>
    <m/>
    <m/>
    <m/>
    <m/>
    <m/>
    <m/>
    <m/>
    <m/>
    <m/>
    <m/>
  </r>
  <r>
    <x v="8"/>
    <n v="128770"/>
    <x v="5"/>
    <x v="3"/>
    <x v="61"/>
    <n v="1.1100000000000001"/>
    <x v="11"/>
    <x v="2"/>
    <m/>
    <m/>
    <m/>
    <m/>
    <m/>
    <m/>
    <m/>
    <m/>
    <m/>
    <m/>
  </r>
  <r>
    <x v="17"/>
    <n v="61977"/>
    <x v="19"/>
    <x v="1"/>
    <x v="10"/>
    <n v="1.48"/>
    <x v="26"/>
    <x v="2"/>
    <m/>
    <m/>
    <m/>
    <m/>
    <m/>
    <m/>
    <m/>
    <m/>
    <m/>
    <m/>
  </r>
  <r>
    <x v="10"/>
    <n v="86195"/>
    <x v="26"/>
    <x v="3"/>
    <x v="20"/>
    <n v="0.52"/>
    <x v="3"/>
    <x v="2"/>
    <m/>
    <m/>
    <m/>
    <m/>
    <m/>
    <m/>
    <m/>
    <m/>
    <m/>
    <m/>
  </r>
  <r>
    <x v="13"/>
    <n v="35136"/>
    <x v="25"/>
    <x v="0"/>
    <x v="99"/>
    <n v="1.25"/>
    <x v="33"/>
    <x v="2"/>
    <m/>
    <m/>
    <m/>
    <m/>
    <m/>
    <m/>
    <m/>
    <m/>
    <m/>
    <m/>
  </r>
  <r>
    <x v="6"/>
    <n v="139950"/>
    <x v="0"/>
    <x v="0"/>
    <x v="8"/>
    <n v="1.08"/>
    <x v="43"/>
    <x v="2"/>
    <m/>
    <m/>
    <m/>
    <m/>
    <m/>
    <m/>
    <m/>
    <m/>
    <m/>
    <m/>
  </r>
  <r>
    <x v="10"/>
    <n v="133488"/>
    <x v="0"/>
    <x v="1"/>
    <x v="67"/>
    <n v="0.56000000000000005"/>
    <x v="46"/>
    <x v="2"/>
    <m/>
    <m/>
    <m/>
    <m/>
    <m/>
    <m/>
    <m/>
    <m/>
    <m/>
    <m/>
  </r>
  <r>
    <x v="15"/>
    <n v="87251"/>
    <x v="12"/>
    <x v="1"/>
    <x v="47"/>
    <n v="1.43"/>
    <x v="54"/>
    <x v="1"/>
    <m/>
    <m/>
    <m/>
    <m/>
    <m/>
    <m/>
    <m/>
    <m/>
    <m/>
    <m/>
  </r>
  <r>
    <x v="16"/>
    <n v="48456"/>
    <x v="9"/>
    <x v="0"/>
    <x v="65"/>
    <n v="1.03"/>
    <x v="56"/>
    <x v="0"/>
    <m/>
    <m/>
    <m/>
    <m/>
    <m/>
    <m/>
    <m/>
    <m/>
    <m/>
    <m/>
  </r>
  <r>
    <x v="2"/>
    <n v="134042"/>
    <x v="7"/>
    <x v="2"/>
    <x v="65"/>
    <n v="1.41"/>
    <x v="73"/>
    <x v="0"/>
    <m/>
    <m/>
    <m/>
    <m/>
    <m/>
    <m/>
    <m/>
    <m/>
    <m/>
    <m/>
  </r>
  <r>
    <x v="3"/>
    <n v="42054"/>
    <x v="16"/>
    <x v="3"/>
    <x v="41"/>
    <n v="1.4"/>
    <x v="50"/>
    <x v="2"/>
    <m/>
    <m/>
    <m/>
    <m/>
    <m/>
    <m/>
    <m/>
    <m/>
    <m/>
    <m/>
  </r>
  <r>
    <x v="5"/>
    <n v="73441"/>
    <x v="17"/>
    <x v="1"/>
    <x v="2"/>
    <n v="1.39"/>
    <x v="13"/>
    <x v="1"/>
    <m/>
    <m/>
    <m/>
    <m/>
    <m/>
    <m/>
    <m/>
    <m/>
    <m/>
    <m/>
  </r>
  <r>
    <x v="19"/>
    <n v="80321"/>
    <x v="9"/>
    <x v="2"/>
    <x v="5"/>
    <n v="1.1000000000000001"/>
    <x v="49"/>
    <x v="2"/>
    <m/>
    <m/>
    <m/>
    <m/>
    <m/>
    <m/>
    <m/>
    <m/>
    <m/>
    <m/>
  </r>
  <r>
    <x v="12"/>
    <n v="94566"/>
    <x v="9"/>
    <x v="3"/>
    <x v="78"/>
    <n v="1.01"/>
    <x v="68"/>
    <x v="2"/>
    <m/>
    <m/>
    <m/>
    <m/>
    <m/>
    <m/>
    <m/>
    <m/>
    <m/>
    <m/>
  </r>
  <r>
    <x v="8"/>
    <n v="42857"/>
    <x v="22"/>
    <x v="0"/>
    <x v="72"/>
    <n v="1.02"/>
    <x v="23"/>
    <x v="2"/>
    <m/>
    <m/>
    <m/>
    <m/>
    <m/>
    <m/>
    <m/>
    <m/>
    <m/>
    <m/>
  </r>
  <r>
    <x v="15"/>
    <n v="114271"/>
    <x v="16"/>
    <x v="3"/>
    <x v="69"/>
    <n v="1.27"/>
    <x v="34"/>
    <x v="1"/>
    <m/>
    <m/>
    <m/>
    <m/>
    <m/>
    <m/>
    <m/>
    <m/>
    <m/>
    <m/>
  </r>
  <r>
    <x v="10"/>
    <n v="104745"/>
    <x v="1"/>
    <x v="2"/>
    <x v="67"/>
    <n v="1.32"/>
    <x v="3"/>
    <x v="2"/>
    <m/>
    <m/>
    <m/>
    <m/>
    <m/>
    <m/>
    <m/>
    <m/>
    <m/>
    <m/>
  </r>
  <r>
    <x v="4"/>
    <n v="119729"/>
    <x v="19"/>
    <x v="0"/>
    <x v="38"/>
    <n v="1.19"/>
    <x v="57"/>
    <x v="2"/>
    <m/>
    <m/>
    <m/>
    <m/>
    <m/>
    <m/>
    <m/>
    <m/>
    <m/>
    <m/>
  </r>
  <r>
    <x v="11"/>
    <n v="58134"/>
    <x v="1"/>
    <x v="3"/>
    <x v="6"/>
    <n v="1.17"/>
    <x v="72"/>
    <x v="2"/>
    <m/>
    <m/>
    <m/>
    <m/>
    <m/>
    <m/>
    <m/>
    <m/>
    <m/>
    <m/>
  </r>
  <r>
    <x v="16"/>
    <n v="57987"/>
    <x v="0"/>
    <x v="2"/>
    <x v="55"/>
    <n v="1.04"/>
    <x v="2"/>
    <x v="0"/>
    <m/>
    <m/>
    <m/>
    <m/>
    <m/>
    <m/>
    <m/>
    <m/>
    <m/>
    <m/>
  </r>
  <r>
    <x v="10"/>
    <n v="135454"/>
    <x v="14"/>
    <x v="1"/>
    <x v="87"/>
    <n v="1.44"/>
    <x v="38"/>
    <x v="2"/>
    <m/>
    <m/>
    <m/>
    <m/>
    <m/>
    <m/>
    <m/>
    <m/>
    <m/>
    <m/>
  </r>
  <r>
    <x v="4"/>
    <n v="60539"/>
    <x v="23"/>
    <x v="1"/>
    <x v="58"/>
    <n v="1.44"/>
    <x v="48"/>
    <x v="2"/>
    <m/>
    <m/>
    <m/>
    <m/>
    <m/>
    <m/>
    <m/>
    <m/>
    <m/>
    <m/>
  </r>
  <r>
    <x v="11"/>
    <n v="113081"/>
    <x v="25"/>
    <x v="1"/>
    <x v="96"/>
    <n v="0.67"/>
    <x v="6"/>
    <x v="2"/>
    <m/>
    <m/>
    <m/>
    <m/>
    <m/>
    <m/>
    <m/>
    <m/>
    <m/>
    <m/>
  </r>
  <r>
    <x v="8"/>
    <n v="146180"/>
    <x v="14"/>
    <x v="2"/>
    <x v="4"/>
    <n v="1.23"/>
    <x v="57"/>
    <x v="2"/>
    <m/>
    <m/>
    <m/>
    <m/>
    <m/>
    <m/>
    <m/>
    <m/>
    <m/>
    <m/>
  </r>
  <r>
    <x v="7"/>
    <n v="140164"/>
    <x v="25"/>
    <x v="1"/>
    <x v="15"/>
    <n v="1.48"/>
    <x v="7"/>
    <x v="1"/>
    <m/>
    <m/>
    <m/>
    <m/>
    <m/>
    <m/>
    <m/>
    <m/>
    <m/>
    <m/>
  </r>
  <r>
    <x v="11"/>
    <n v="54599"/>
    <x v="9"/>
    <x v="0"/>
    <x v="77"/>
    <n v="1.24"/>
    <x v="78"/>
    <x v="2"/>
    <m/>
    <m/>
    <m/>
    <m/>
    <m/>
    <m/>
    <m/>
    <m/>
    <m/>
    <m/>
  </r>
  <r>
    <x v="3"/>
    <n v="68921"/>
    <x v="11"/>
    <x v="0"/>
    <x v="89"/>
    <n v="1.45"/>
    <x v="4"/>
    <x v="2"/>
    <m/>
    <m/>
    <m/>
    <m/>
    <m/>
    <m/>
    <m/>
    <m/>
    <m/>
    <m/>
  </r>
  <r>
    <x v="19"/>
    <n v="140747"/>
    <x v="5"/>
    <x v="1"/>
    <x v="14"/>
    <n v="1.46"/>
    <x v="87"/>
    <x v="2"/>
    <m/>
    <m/>
    <m/>
    <m/>
    <m/>
    <m/>
    <m/>
    <m/>
    <m/>
    <m/>
  </r>
  <r>
    <x v="4"/>
    <n v="138809"/>
    <x v="11"/>
    <x v="3"/>
    <x v="29"/>
    <n v="0.93"/>
    <x v="55"/>
    <x v="2"/>
    <m/>
    <m/>
    <m/>
    <m/>
    <m/>
    <m/>
    <m/>
    <m/>
    <m/>
    <m/>
  </r>
  <r>
    <x v="6"/>
    <n v="35983"/>
    <x v="11"/>
    <x v="3"/>
    <x v="64"/>
    <n v="0.61"/>
    <x v="22"/>
    <x v="2"/>
    <m/>
    <m/>
    <m/>
    <m/>
    <m/>
    <m/>
    <m/>
    <m/>
    <m/>
    <m/>
  </r>
  <r>
    <x v="0"/>
    <n v="47946"/>
    <x v="16"/>
    <x v="2"/>
    <x v="92"/>
    <n v="1.38"/>
    <x v="83"/>
    <x v="0"/>
    <m/>
    <m/>
    <m/>
    <m/>
    <m/>
    <m/>
    <m/>
    <m/>
    <m/>
    <m/>
  </r>
  <r>
    <x v="16"/>
    <n v="138295"/>
    <x v="12"/>
    <x v="0"/>
    <x v="7"/>
    <n v="0.53"/>
    <x v="35"/>
    <x v="0"/>
    <m/>
    <m/>
    <m/>
    <m/>
    <m/>
    <m/>
    <m/>
    <m/>
    <m/>
    <m/>
  </r>
  <r>
    <x v="18"/>
    <n v="97806"/>
    <x v="5"/>
    <x v="0"/>
    <x v="18"/>
    <n v="1.46"/>
    <x v="52"/>
    <x v="1"/>
    <m/>
    <m/>
    <m/>
    <m/>
    <m/>
    <m/>
    <m/>
    <m/>
    <m/>
    <m/>
  </r>
  <r>
    <x v="12"/>
    <n v="111339"/>
    <x v="24"/>
    <x v="3"/>
    <x v="76"/>
    <n v="1.1399999999999999"/>
    <x v="55"/>
    <x v="2"/>
    <m/>
    <m/>
    <m/>
    <m/>
    <m/>
    <m/>
    <m/>
    <m/>
    <m/>
    <m/>
  </r>
  <r>
    <x v="12"/>
    <n v="70720"/>
    <x v="25"/>
    <x v="3"/>
    <x v="2"/>
    <n v="1.43"/>
    <x v="3"/>
    <x v="2"/>
    <m/>
    <m/>
    <m/>
    <m/>
    <m/>
    <m/>
    <m/>
    <m/>
    <m/>
    <m/>
  </r>
  <r>
    <x v="8"/>
    <n v="50914"/>
    <x v="11"/>
    <x v="3"/>
    <x v="71"/>
    <n v="1.33"/>
    <x v="3"/>
    <x v="2"/>
    <m/>
    <m/>
    <m/>
    <m/>
    <m/>
    <m/>
    <m/>
    <m/>
    <m/>
    <m/>
  </r>
  <r>
    <x v="4"/>
    <n v="112684"/>
    <x v="0"/>
    <x v="3"/>
    <x v="17"/>
    <n v="1.3"/>
    <x v="78"/>
    <x v="2"/>
    <m/>
    <m/>
    <m/>
    <m/>
    <m/>
    <m/>
    <m/>
    <m/>
    <m/>
    <m/>
  </r>
  <r>
    <x v="8"/>
    <n v="55568"/>
    <x v="11"/>
    <x v="1"/>
    <x v="30"/>
    <n v="1.2"/>
    <x v="69"/>
    <x v="2"/>
    <m/>
    <m/>
    <m/>
    <m/>
    <m/>
    <m/>
    <m/>
    <m/>
    <m/>
    <m/>
  </r>
  <r>
    <x v="13"/>
    <n v="130965"/>
    <x v="12"/>
    <x v="2"/>
    <x v="97"/>
    <n v="0.96"/>
    <x v="58"/>
    <x v="2"/>
    <m/>
    <m/>
    <m/>
    <m/>
    <m/>
    <m/>
    <m/>
    <m/>
    <m/>
    <m/>
  </r>
  <r>
    <x v="15"/>
    <n v="38861"/>
    <x v="12"/>
    <x v="3"/>
    <x v="86"/>
    <n v="1.47"/>
    <x v="29"/>
    <x v="1"/>
    <m/>
    <m/>
    <m/>
    <m/>
    <m/>
    <m/>
    <m/>
    <m/>
    <m/>
    <m/>
  </r>
  <r>
    <x v="7"/>
    <n v="88812"/>
    <x v="17"/>
    <x v="3"/>
    <x v="72"/>
    <n v="1.33"/>
    <x v="21"/>
    <x v="1"/>
    <m/>
    <m/>
    <m/>
    <m/>
    <m/>
    <m/>
    <m/>
    <m/>
    <m/>
    <m/>
  </r>
  <r>
    <x v="4"/>
    <n v="104900"/>
    <x v="28"/>
    <x v="1"/>
    <x v="89"/>
    <n v="0.96"/>
    <x v="46"/>
    <x v="2"/>
    <m/>
    <m/>
    <m/>
    <m/>
    <m/>
    <m/>
    <m/>
    <m/>
    <m/>
    <m/>
  </r>
  <r>
    <x v="5"/>
    <n v="121814"/>
    <x v="24"/>
    <x v="2"/>
    <x v="97"/>
    <n v="0.97"/>
    <x v="52"/>
    <x v="1"/>
    <m/>
    <m/>
    <m/>
    <m/>
    <m/>
    <m/>
    <m/>
    <m/>
    <m/>
    <m/>
  </r>
  <r>
    <x v="14"/>
    <n v="112283"/>
    <x v="4"/>
    <x v="1"/>
    <x v="45"/>
    <n v="1.04"/>
    <x v="17"/>
    <x v="0"/>
    <m/>
    <m/>
    <m/>
    <m/>
    <m/>
    <m/>
    <m/>
    <m/>
    <m/>
    <m/>
  </r>
  <r>
    <x v="5"/>
    <n v="79678"/>
    <x v="24"/>
    <x v="3"/>
    <x v="34"/>
    <n v="1.1599999999999999"/>
    <x v="5"/>
    <x v="1"/>
    <m/>
    <m/>
    <m/>
    <m/>
    <m/>
    <m/>
    <m/>
    <m/>
    <m/>
    <m/>
  </r>
  <r>
    <x v="18"/>
    <n v="136020"/>
    <x v="9"/>
    <x v="3"/>
    <x v="29"/>
    <n v="1.47"/>
    <x v="5"/>
    <x v="1"/>
    <m/>
    <m/>
    <m/>
    <m/>
    <m/>
    <m/>
    <m/>
    <m/>
    <m/>
    <m/>
  </r>
  <r>
    <x v="3"/>
    <n v="127155"/>
    <x v="23"/>
    <x v="1"/>
    <x v="56"/>
    <n v="0.89"/>
    <x v="72"/>
    <x v="2"/>
    <m/>
    <m/>
    <m/>
    <m/>
    <m/>
    <m/>
    <m/>
    <m/>
    <m/>
    <m/>
  </r>
  <r>
    <x v="7"/>
    <n v="94813"/>
    <x v="13"/>
    <x v="3"/>
    <x v="4"/>
    <n v="1.25"/>
    <x v="47"/>
    <x v="1"/>
    <m/>
    <m/>
    <m/>
    <m/>
    <m/>
    <m/>
    <m/>
    <m/>
    <m/>
    <m/>
  </r>
  <r>
    <x v="3"/>
    <n v="127501"/>
    <x v="16"/>
    <x v="1"/>
    <x v="100"/>
    <n v="1.31"/>
    <x v="10"/>
    <x v="2"/>
    <m/>
    <m/>
    <m/>
    <m/>
    <m/>
    <m/>
    <m/>
    <m/>
    <m/>
    <m/>
  </r>
  <r>
    <x v="2"/>
    <n v="90843"/>
    <x v="9"/>
    <x v="0"/>
    <x v="51"/>
    <n v="0.56000000000000005"/>
    <x v="44"/>
    <x v="0"/>
    <m/>
    <m/>
    <m/>
    <m/>
    <m/>
    <m/>
    <m/>
    <m/>
    <m/>
    <m/>
  </r>
  <r>
    <x v="4"/>
    <n v="34715"/>
    <x v="8"/>
    <x v="1"/>
    <x v="86"/>
    <n v="0.9"/>
    <x v="84"/>
    <x v="2"/>
    <m/>
    <m/>
    <m/>
    <m/>
    <m/>
    <m/>
    <m/>
    <m/>
    <m/>
    <m/>
  </r>
  <r>
    <x v="12"/>
    <n v="44870"/>
    <x v="13"/>
    <x v="1"/>
    <x v="92"/>
    <n v="0.72"/>
    <x v="6"/>
    <x v="2"/>
    <m/>
    <m/>
    <m/>
    <m/>
    <m/>
    <m/>
    <m/>
    <m/>
    <m/>
    <m/>
  </r>
  <r>
    <x v="14"/>
    <n v="45432"/>
    <x v="5"/>
    <x v="2"/>
    <x v="90"/>
    <n v="1.07"/>
    <x v="90"/>
    <x v="0"/>
    <m/>
    <m/>
    <m/>
    <m/>
    <m/>
    <m/>
    <m/>
    <m/>
    <m/>
    <m/>
  </r>
  <r>
    <x v="6"/>
    <n v="102964"/>
    <x v="22"/>
    <x v="2"/>
    <x v="22"/>
    <n v="0.99"/>
    <x v="87"/>
    <x v="2"/>
    <m/>
    <m/>
    <m/>
    <m/>
    <m/>
    <m/>
    <m/>
    <m/>
    <m/>
    <m/>
  </r>
  <r>
    <x v="12"/>
    <n v="127677"/>
    <x v="3"/>
    <x v="3"/>
    <x v="73"/>
    <n v="0.84"/>
    <x v="53"/>
    <x v="2"/>
    <m/>
    <m/>
    <m/>
    <m/>
    <m/>
    <m/>
    <m/>
    <m/>
    <m/>
    <m/>
  </r>
  <r>
    <x v="14"/>
    <n v="36918"/>
    <x v="28"/>
    <x v="3"/>
    <x v="77"/>
    <n v="1.25"/>
    <x v="24"/>
    <x v="0"/>
    <m/>
    <m/>
    <m/>
    <m/>
    <m/>
    <m/>
    <m/>
    <m/>
    <m/>
    <m/>
  </r>
  <r>
    <x v="17"/>
    <n v="78634"/>
    <x v="14"/>
    <x v="2"/>
    <x v="72"/>
    <n v="1.27"/>
    <x v="64"/>
    <x v="2"/>
    <m/>
    <m/>
    <m/>
    <m/>
    <m/>
    <m/>
    <m/>
    <m/>
    <m/>
    <m/>
  </r>
  <r>
    <x v="0"/>
    <n v="95199"/>
    <x v="1"/>
    <x v="1"/>
    <x v="40"/>
    <n v="1.04"/>
    <x v="83"/>
    <x v="0"/>
    <m/>
    <m/>
    <m/>
    <m/>
    <m/>
    <m/>
    <m/>
    <m/>
    <m/>
    <m/>
  </r>
  <r>
    <x v="0"/>
    <n v="115062"/>
    <x v="8"/>
    <x v="3"/>
    <x v="99"/>
    <n v="1.1000000000000001"/>
    <x v="76"/>
    <x v="0"/>
    <m/>
    <m/>
    <m/>
    <m/>
    <m/>
    <m/>
    <m/>
    <m/>
    <m/>
    <m/>
  </r>
  <r>
    <x v="11"/>
    <n v="119007"/>
    <x v="25"/>
    <x v="3"/>
    <x v="70"/>
    <n v="1.19"/>
    <x v="8"/>
    <x v="2"/>
    <m/>
    <m/>
    <m/>
    <m/>
    <m/>
    <m/>
    <m/>
    <m/>
    <m/>
    <m/>
  </r>
  <r>
    <x v="18"/>
    <n v="58333"/>
    <x v="3"/>
    <x v="1"/>
    <x v="73"/>
    <n v="1"/>
    <x v="41"/>
    <x v="1"/>
    <m/>
    <m/>
    <m/>
    <m/>
    <m/>
    <m/>
    <m/>
    <m/>
    <m/>
    <m/>
  </r>
  <r>
    <x v="12"/>
    <n v="140415"/>
    <x v="7"/>
    <x v="1"/>
    <x v="4"/>
    <n v="0.64"/>
    <x v="48"/>
    <x v="2"/>
    <m/>
    <m/>
    <m/>
    <m/>
    <m/>
    <m/>
    <m/>
    <m/>
    <m/>
    <m/>
  </r>
  <r>
    <x v="11"/>
    <n v="89151"/>
    <x v="20"/>
    <x v="1"/>
    <x v="91"/>
    <n v="0.59"/>
    <x v="84"/>
    <x v="2"/>
    <m/>
    <m/>
    <m/>
    <m/>
    <m/>
    <m/>
    <m/>
    <m/>
    <m/>
    <m/>
  </r>
  <r>
    <x v="16"/>
    <n v="62784"/>
    <x v="25"/>
    <x v="0"/>
    <x v="67"/>
    <n v="1.31"/>
    <x v="73"/>
    <x v="0"/>
    <m/>
    <m/>
    <m/>
    <m/>
    <m/>
    <m/>
    <m/>
    <m/>
    <m/>
    <m/>
  </r>
  <r>
    <x v="11"/>
    <n v="143268"/>
    <x v="25"/>
    <x v="0"/>
    <x v="79"/>
    <n v="0.94"/>
    <x v="86"/>
    <x v="2"/>
    <m/>
    <m/>
    <m/>
    <m/>
    <m/>
    <m/>
    <m/>
    <m/>
    <m/>
    <m/>
  </r>
  <r>
    <x v="16"/>
    <n v="85134"/>
    <x v="25"/>
    <x v="3"/>
    <x v="65"/>
    <n v="1.21"/>
    <x v="39"/>
    <x v="0"/>
    <m/>
    <m/>
    <m/>
    <m/>
    <m/>
    <m/>
    <m/>
    <m/>
    <m/>
    <m/>
  </r>
  <r>
    <x v="17"/>
    <n v="87109"/>
    <x v="26"/>
    <x v="0"/>
    <x v="19"/>
    <n v="0.99"/>
    <x v="33"/>
    <x v="2"/>
    <m/>
    <m/>
    <m/>
    <m/>
    <m/>
    <m/>
    <m/>
    <m/>
    <m/>
    <m/>
  </r>
  <r>
    <x v="3"/>
    <n v="114116"/>
    <x v="14"/>
    <x v="0"/>
    <x v="51"/>
    <n v="1.04"/>
    <x v="50"/>
    <x v="2"/>
    <m/>
    <m/>
    <m/>
    <m/>
    <m/>
    <m/>
    <m/>
    <m/>
    <m/>
    <m/>
  </r>
  <r>
    <x v="1"/>
    <n v="39495"/>
    <x v="23"/>
    <x v="0"/>
    <x v="81"/>
    <n v="1.1100000000000001"/>
    <x v="47"/>
    <x v="1"/>
    <m/>
    <m/>
    <m/>
    <m/>
    <m/>
    <m/>
    <m/>
    <m/>
    <m/>
    <m/>
  </r>
  <r>
    <x v="12"/>
    <n v="115380"/>
    <x v="7"/>
    <x v="1"/>
    <x v="39"/>
    <n v="0.66"/>
    <x v="79"/>
    <x v="2"/>
    <m/>
    <m/>
    <m/>
    <m/>
    <m/>
    <m/>
    <m/>
    <m/>
    <m/>
    <m/>
  </r>
  <r>
    <x v="17"/>
    <n v="117843"/>
    <x v="22"/>
    <x v="0"/>
    <x v="67"/>
    <n v="0.67"/>
    <x v="14"/>
    <x v="2"/>
    <m/>
    <m/>
    <m/>
    <m/>
    <m/>
    <m/>
    <m/>
    <m/>
    <m/>
    <m/>
  </r>
  <r>
    <x v="4"/>
    <n v="84104"/>
    <x v="7"/>
    <x v="3"/>
    <x v="88"/>
    <n v="1.1100000000000001"/>
    <x v="12"/>
    <x v="2"/>
    <m/>
    <m/>
    <m/>
    <m/>
    <m/>
    <m/>
    <m/>
    <m/>
    <m/>
    <m/>
  </r>
  <r>
    <x v="3"/>
    <n v="81179"/>
    <x v="12"/>
    <x v="0"/>
    <x v="43"/>
    <n v="0.94"/>
    <x v="49"/>
    <x v="2"/>
    <m/>
    <m/>
    <m/>
    <m/>
    <m/>
    <m/>
    <m/>
    <m/>
    <m/>
    <m/>
  </r>
  <r>
    <x v="18"/>
    <n v="120404"/>
    <x v="27"/>
    <x v="3"/>
    <x v="61"/>
    <n v="0.76"/>
    <x v="41"/>
    <x v="1"/>
    <m/>
    <m/>
    <m/>
    <m/>
    <m/>
    <m/>
    <m/>
    <m/>
    <m/>
    <m/>
  </r>
  <r>
    <x v="1"/>
    <n v="127119"/>
    <x v="15"/>
    <x v="2"/>
    <x v="38"/>
    <n v="0.56999999999999995"/>
    <x v="18"/>
    <x v="1"/>
    <m/>
    <m/>
    <m/>
    <m/>
    <m/>
    <m/>
    <m/>
    <m/>
    <m/>
    <m/>
  </r>
  <r>
    <x v="3"/>
    <n v="84232"/>
    <x v="11"/>
    <x v="0"/>
    <x v="11"/>
    <n v="1.04"/>
    <x v="69"/>
    <x v="2"/>
    <m/>
    <m/>
    <m/>
    <m/>
    <m/>
    <m/>
    <m/>
    <m/>
    <m/>
    <m/>
  </r>
  <r>
    <x v="2"/>
    <n v="38689"/>
    <x v="29"/>
    <x v="3"/>
    <x v="55"/>
    <n v="1.47"/>
    <x v="44"/>
    <x v="0"/>
    <m/>
    <m/>
    <m/>
    <m/>
    <m/>
    <m/>
    <m/>
    <m/>
    <m/>
    <m/>
  </r>
  <r>
    <x v="14"/>
    <n v="143466"/>
    <x v="28"/>
    <x v="2"/>
    <x v="73"/>
    <n v="1.37"/>
    <x v="40"/>
    <x v="0"/>
    <m/>
    <m/>
    <m/>
    <m/>
    <m/>
    <m/>
    <m/>
    <m/>
    <m/>
    <m/>
  </r>
  <r>
    <x v="10"/>
    <n v="141038"/>
    <x v="29"/>
    <x v="1"/>
    <x v="2"/>
    <n v="1.04"/>
    <x v="71"/>
    <x v="2"/>
    <m/>
    <m/>
    <m/>
    <m/>
    <m/>
    <m/>
    <m/>
    <m/>
    <m/>
    <m/>
  </r>
  <r>
    <x v="9"/>
    <n v="117526"/>
    <x v="1"/>
    <x v="0"/>
    <x v="17"/>
    <n v="0.64"/>
    <x v="56"/>
    <x v="0"/>
    <m/>
    <m/>
    <m/>
    <m/>
    <m/>
    <m/>
    <m/>
    <m/>
    <m/>
    <m/>
  </r>
  <r>
    <x v="11"/>
    <n v="99503"/>
    <x v="11"/>
    <x v="3"/>
    <x v="79"/>
    <n v="0.52"/>
    <x v="64"/>
    <x v="2"/>
    <m/>
    <m/>
    <m/>
    <m/>
    <m/>
    <m/>
    <m/>
    <m/>
    <m/>
    <m/>
  </r>
  <r>
    <x v="7"/>
    <n v="39157"/>
    <x v="8"/>
    <x v="0"/>
    <x v="69"/>
    <n v="0.83"/>
    <x v="70"/>
    <x v="1"/>
    <m/>
    <m/>
    <m/>
    <m/>
    <m/>
    <m/>
    <m/>
    <m/>
    <m/>
    <m/>
  </r>
  <r>
    <x v="13"/>
    <n v="143565"/>
    <x v="8"/>
    <x v="1"/>
    <x v="40"/>
    <n v="1.32"/>
    <x v="14"/>
    <x v="2"/>
    <m/>
    <m/>
    <m/>
    <m/>
    <m/>
    <m/>
    <m/>
    <m/>
    <m/>
    <m/>
  </r>
  <r>
    <x v="1"/>
    <n v="107952"/>
    <x v="28"/>
    <x v="0"/>
    <x v="41"/>
    <n v="0.52"/>
    <x v="37"/>
    <x v="1"/>
    <m/>
    <m/>
    <m/>
    <m/>
    <m/>
    <m/>
    <m/>
    <m/>
    <m/>
    <m/>
  </r>
  <r>
    <x v="6"/>
    <n v="81224"/>
    <x v="2"/>
    <x v="1"/>
    <x v="100"/>
    <n v="1.1100000000000001"/>
    <x v="87"/>
    <x v="2"/>
    <m/>
    <m/>
    <m/>
    <m/>
    <m/>
    <m/>
    <m/>
    <m/>
    <m/>
    <m/>
  </r>
  <r>
    <x v="12"/>
    <n v="49517"/>
    <x v="20"/>
    <x v="3"/>
    <x v="82"/>
    <n v="0.66"/>
    <x v="20"/>
    <x v="2"/>
    <m/>
    <m/>
    <m/>
    <m/>
    <m/>
    <m/>
    <m/>
    <m/>
    <m/>
    <m/>
  </r>
  <r>
    <x v="17"/>
    <n v="70849"/>
    <x v="4"/>
    <x v="3"/>
    <x v="46"/>
    <n v="1.21"/>
    <x v="65"/>
    <x v="2"/>
    <m/>
    <m/>
    <m/>
    <m/>
    <m/>
    <m/>
    <m/>
    <m/>
    <m/>
    <m/>
  </r>
  <r>
    <x v="8"/>
    <n v="142277"/>
    <x v="19"/>
    <x v="0"/>
    <x v="65"/>
    <n v="1.22"/>
    <x v="4"/>
    <x v="2"/>
    <m/>
    <m/>
    <m/>
    <m/>
    <m/>
    <m/>
    <m/>
    <m/>
    <m/>
    <m/>
  </r>
  <r>
    <x v="0"/>
    <n v="137251"/>
    <x v="15"/>
    <x v="2"/>
    <x v="44"/>
    <n v="0.96"/>
    <x v="28"/>
    <x v="0"/>
    <m/>
    <m/>
    <m/>
    <m/>
    <m/>
    <m/>
    <m/>
    <m/>
    <m/>
    <m/>
  </r>
  <r>
    <x v="6"/>
    <n v="42979"/>
    <x v="14"/>
    <x v="3"/>
    <x v="21"/>
    <n v="0.8"/>
    <x v="50"/>
    <x v="2"/>
    <m/>
    <m/>
    <m/>
    <m/>
    <m/>
    <m/>
    <m/>
    <m/>
    <m/>
    <m/>
  </r>
  <r>
    <x v="5"/>
    <n v="102868"/>
    <x v="16"/>
    <x v="3"/>
    <x v="5"/>
    <n v="1.31"/>
    <x v="7"/>
    <x v="1"/>
    <m/>
    <m/>
    <m/>
    <m/>
    <m/>
    <m/>
    <m/>
    <m/>
    <m/>
    <m/>
  </r>
  <r>
    <x v="9"/>
    <n v="31649"/>
    <x v="24"/>
    <x v="3"/>
    <x v="95"/>
    <n v="1.42"/>
    <x v="9"/>
    <x v="0"/>
    <m/>
    <m/>
    <m/>
    <m/>
    <m/>
    <m/>
    <m/>
    <m/>
    <m/>
    <m/>
  </r>
  <r>
    <x v="13"/>
    <n v="91305"/>
    <x v="1"/>
    <x v="2"/>
    <x v="69"/>
    <n v="0.62"/>
    <x v="79"/>
    <x v="2"/>
    <m/>
    <m/>
    <m/>
    <m/>
    <m/>
    <m/>
    <m/>
    <m/>
    <m/>
    <m/>
  </r>
  <r>
    <x v="10"/>
    <n v="38738"/>
    <x v="28"/>
    <x v="2"/>
    <x v="34"/>
    <n v="0.76"/>
    <x v="87"/>
    <x v="2"/>
    <m/>
    <m/>
    <m/>
    <m/>
    <m/>
    <m/>
    <m/>
    <m/>
    <m/>
    <m/>
  </r>
  <r>
    <x v="4"/>
    <n v="55775"/>
    <x v="19"/>
    <x v="2"/>
    <x v="34"/>
    <n v="1.21"/>
    <x v="31"/>
    <x v="2"/>
    <m/>
    <m/>
    <m/>
    <m/>
    <m/>
    <m/>
    <m/>
    <m/>
    <m/>
    <m/>
  </r>
  <r>
    <x v="6"/>
    <n v="45569"/>
    <x v="23"/>
    <x v="1"/>
    <x v="49"/>
    <n v="1.31"/>
    <x v="23"/>
    <x v="2"/>
    <m/>
    <m/>
    <m/>
    <m/>
    <m/>
    <m/>
    <m/>
    <m/>
    <m/>
    <m/>
  </r>
  <r>
    <x v="15"/>
    <n v="89327"/>
    <x v="23"/>
    <x v="3"/>
    <x v="59"/>
    <n v="0.57999999999999996"/>
    <x v="54"/>
    <x v="1"/>
    <m/>
    <m/>
    <m/>
    <m/>
    <m/>
    <m/>
    <m/>
    <m/>
    <m/>
    <m/>
  </r>
  <r>
    <x v="10"/>
    <n v="142674"/>
    <x v="19"/>
    <x v="3"/>
    <x v="0"/>
    <n v="0.54"/>
    <x v="20"/>
    <x v="2"/>
    <m/>
    <m/>
    <m/>
    <m/>
    <m/>
    <m/>
    <m/>
    <m/>
    <m/>
    <m/>
  </r>
  <r>
    <x v="2"/>
    <n v="67602"/>
    <x v="26"/>
    <x v="3"/>
    <x v="43"/>
    <n v="1.24"/>
    <x v="59"/>
    <x v="0"/>
    <m/>
    <m/>
    <m/>
    <m/>
    <m/>
    <m/>
    <m/>
    <m/>
    <m/>
    <m/>
  </r>
  <r>
    <x v="6"/>
    <n v="68057"/>
    <x v="7"/>
    <x v="3"/>
    <x v="87"/>
    <n v="0.64"/>
    <x v="36"/>
    <x v="2"/>
    <m/>
    <m/>
    <m/>
    <m/>
    <m/>
    <m/>
    <m/>
    <m/>
    <m/>
    <m/>
  </r>
  <r>
    <x v="4"/>
    <n v="108104"/>
    <x v="27"/>
    <x v="0"/>
    <x v="23"/>
    <n v="0.75"/>
    <x v="6"/>
    <x v="2"/>
    <m/>
    <m/>
    <m/>
    <m/>
    <m/>
    <m/>
    <m/>
    <m/>
    <m/>
    <m/>
  </r>
  <r>
    <x v="15"/>
    <n v="139418"/>
    <x v="9"/>
    <x v="3"/>
    <x v="80"/>
    <n v="0.98"/>
    <x v="75"/>
    <x v="1"/>
    <m/>
    <m/>
    <m/>
    <m/>
    <m/>
    <m/>
    <m/>
    <m/>
    <m/>
    <m/>
  </r>
  <r>
    <x v="13"/>
    <n v="65411"/>
    <x v="5"/>
    <x v="2"/>
    <x v="93"/>
    <n v="1.41"/>
    <x v="68"/>
    <x v="2"/>
    <m/>
    <m/>
    <m/>
    <m/>
    <m/>
    <m/>
    <m/>
    <m/>
    <m/>
    <m/>
  </r>
  <r>
    <x v="4"/>
    <n v="139497"/>
    <x v="2"/>
    <x v="3"/>
    <x v="20"/>
    <n v="1.42"/>
    <x v="31"/>
    <x v="2"/>
    <m/>
    <m/>
    <m/>
    <m/>
    <m/>
    <m/>
    <m/>
    <m/>
    <m/>
    <m/>
  </r>
  <r>
    <x v="5"/>
    <n v="53043"/>
    <x v="24"/>
    <x v="2"/>
    <x v="96"/>
    <n v="1.45"/>
    <x v="7"/>
    <x v="1"/>
    <m/>
    <m/>
    <m/>
    <m/>
    <m/>
    <m/>
    <m/>
    <m/>
    <m/>
    <m/>
  </r>
  <r>
    <x v="4"/>
    <n v="139732"/>
    <x v="13"/>
    <x v="1"/>
    <x v="35"/>
    <n v="0.89"/>
    <x v="4"/>
    <x v="2"/>
    <m/>
    <m/>
    <m/>
    <m/>
    <m/>
    <m/>
    <m/>
    <m/>
    <m/>
    <m/>
  </r>
  <r>
    <x v="11"/>
    <n v="146332"/>
    <x v="9"/>
    <x v="0"/>
    <x v="91"/>
    <n v="0.82"/>
    <x v="11"/>
    <x v="2"/>
    <m/>
    <m/>
    <m/>
    <m/>
    <m/>
    <m/>
    <m/>
    <m/>
    <m/>
    <m/>
  </r>
  <r>
    <x v="14"/>
    <n v="110314"/>
    <x v="22"/>
    <x v="3"/>
    <x v="29"/>
    <n v="0.57999999999999996"/>
    <x v="0"/>
    <x v="0"/>
    <m/>
    <m/>
    <m/>
    <m/>
    <m/>
    <m/>
    <m/>
    <m/>
    <m/>
    <m/>
  </r>
  <r>
    <x v="8"/>
    <n v="147230"/>
    <x v="3"/>
    <x v="1"/>
    <x v="10"/>
    <n v="0.87"/>
    <x v="3"/>
    <x v="2"/>
    <m/>
    <m/>
    <m/>
    <m/>
    <m/>
    <m/>
    <m/>
    <m/>
    <m/>
    <m/>
  </r>
  <r>
    <x v="1"/>
    <n v="107271"/>
    <x v="13"/>
    <x v="0"/>
    <x v="62"/>
    <n v="0.64"/>
    <x v="1"/>
    <x v="1"/>
    <m/>
    <m/>
    <m/>
    <m/>
    <m/>
    <m/>
    <m/>
    <m/>
    <m/>
    <m/>
  </r>
  <r>
    <x v="14"/>
    <n v="135812"/>
    <x v="0"/>
    <x v="1"/>
    <x v="22"/>
    <n v="0.54"/>
    <x v="59"/>
    <x v="0"/>
    <m/>
    <m/>
    <m/>
    <m/>
    <m/>
    <m/>
    <m/>
    <m/>
    <m/>
    <m/>
  </r>
  <r>
    <x v="13"/>
    <n v="138613"/>
    <x v="10"/>
    <x v="1"/>
    <x v="66"/>
    <n v="0.88"/>
    <x v="23"/>
    <x v="2"/>
    <m/>
    <m/>
    <m/>
    <m/>
    <m/>
    <m/>
    <m/>
    <m/>
    <m/>
    <m/>
  </r>
  <r>
    <x v="18"/>
    <n v="82774"/>
    <x v="21"/>
    <x v="0"/>
    <x v="31"/>
    <n v="1.17"/>
    <x v="37"/>
    <x v="1"/>
    <m/>
    <m/>
    <m/>
    <m/>
    <m/>
    <m/>
    <m/>
    <m/>
    <m/>
    <m/>
  </r>
  <r>
    <x v="16"/>
    <n v="44436"/>
    <x v="26"/>
    <x v="3"/>
    <x v="80"/>
    <n v="0.82"/>
    <x v="56"/>
    <x v="0"/>
    <m/>
    <m/>
    <m/>
    <m/>
    <m/>
    <m/>
    <m/>
    <m/>
    <m/>
    <m/>
  </r>
  <r>
    <x v="16"/>
    <n v="41573"/>
    <x v="8"/>
    <x v="2"/>
    <x v="23"/>
    <n v="1.2"/>
    <x v="77"/>
    <x v="0"/>
    <m/>
    <m/>
    <m/>
    <m/>
    <m/>
    <m/>
    <m/>
    <m/>
    <m/>
    <m/>
  </r>
  <r>
    <x v="1"/>
    <n v="99269"/>
    <x v="23"/>
    <x v="3"/>
    <x v="22"/>
    <n v="0.82"/>
    <x v="47"/>
    <x v="1"/>
    <m/>
    <m/>
    <m/>
    <m/>
    <m/>
    <m/>
    <m/>
    <m/>
    <m/>
    <m/>
  </r>
  <r>
    <x v="12"/>
    <n v="55734"/>
    <x v="25"/>
    <x v="1"/>
    <x v="23"/>
    <n v="1.06"/>
    <x v="53"/>
    <x v="2"/>
    <m/>
    <m/>
    <m/>
    <m/>
    <m/>
    <m/>
    <m/>
    <m/>
    <m/>
    <m/>
  </r>
  <r>
    <x v="17"/>
    <n v="43764"/>
    <x v="15"/>
    <x v="3"/>
    <x v="79"/>
    <n v="0.8"/>
    <x v="20"/>
    <x v="2"/>
    <m/>
    <m/>
    <m/>
    <m/>
    <m/>
    <m/>
    <m/>
    <m/>
    <m/>
    <m/>
  </r>
  <r>
    <x v="16"/>
    <n v="40485"/>
    <x v="2"/>
    <x v="2"/>
    <x v="57"/>
    <n v="1.17"/>
    <x v="44"/>
    <x v="0"/>
    <m/>
    <m/>
    <m/>
    <m/>
    <m/>
    <m/>
    <m/>
    <m/>
    <m/>
    <m/>
  </r>
  <r>
    <x v="0"/>
    <n v="83804"/>
    <x v="20"/>
    <x v="3"/>
    <x v="20"/>
    <n v="0.54"/>
    <x v="56"/>
    <x v="0"/>
    <m/>
    <m/>
    <m/>
    <m/>
    <m/>
    <m/>
    <m/>
    <m/>
    <m/>
    <m/>
  </r>
  <r>
    <x v="4"/>
    <n v="97635"/>
    <x v="17"/>
    <x v="2"/>
    <x v="89"/>
    <n v="0.74"/>
    <x v="20"/>
    <x v="2"/>
    <m/>
    <m/>
    <m/>
    <m/>
    <m/>
    <m/>
    <m/>
    <m/>
    <m/>
    <m/>
  </r>
  <r>
    <x v="0"/>
    <n v="100880"/>
    <x v="11"/>
    <x v="3"/>
    <x v="14"/>
    <n v="1.26"/>
    <x v="80"/>
    <x v="0"/>
    <m/>
    <m/>
    <m/>
    <m/>
    <m/>
    <m/>
    <m/>
    <m/>
    <m/>
    <m/>
  </r>
  <r>
    <x v="18"/>
    <n v="74344"/>
    <x v="1"/>
    <x v="3"/>
    <x v="31"/>
    <n v="1.05"/>
    <x v="52"/>
    <x v="1"/>
    <m/>
    <m/>
    <m/>
    <m/>
    <m/>
    <m/>
    <m/>
    <m/>
    <m/>
    <m/>
  </r>
  <r>
    <x v="11"/>
    <n v="122424"/>
    <x v="27"/>
    <x v="0"/>
    <x v="69"/>
    <n v="0.53"/>
    <x v="71"/>
    <x v="2"/>
    <m/>
    <m/>
    <m/>
    <m/>
    <m/>
    <m/>
    <m/>
    <m/>
    <m/>
    <m/>
  </r>
  <r>
    <x v="8"/>
    <n v="131388"/>
    <x v="12"/>
    <x v="3"/>
    <x v="94"/>
    <n v="0.98"/>
    <x v="64"/>
    <x v="2"/>
    <m/>
    <m/>
    <m/>
    <m/>
    <m/>
    <m/>
    <m/>
    <m/>
    <m/>
    <m/>
  </r>
  <r>
    <x v="15"/>
    <n v="146649"/>
    <x v="10"/>
    <x v="2"/>
    <x v="84"/>
    <n v="0.97"/>
    <x v="61"/>
    <x v="1"/>
    <m/>
    <m/>
    <m/>
    <m/>
    <m/>
    <m/>
    <m/>
    <m/>
    <m/>
    <m/>
  </r>
  <r>
    <x v="12"/>
    <n v="79117"/>
    <x v="23"/>
    <x v="1"/>
    <x v="9"/>
    <n v="1.24"/>
    <x v="31"/>
    <x v="2"/>
    <m/>
    <m/>
    <m/>
    <m/>
    <m/>
    <m/>
    <m/>
    <m/>
    <m/>
    <m/>
  </r>
  <r>
    <x v="16"/>
    <n v="45685"/>
    <x v="9"/>
    <x v="2"/>
    <x v="95"/>
    <n v="1.49"/>
    <x v="0"/>
    <x v="0"/>
    <m/>
    <m/>
    <m/>
    <m/>
    <m/>
    <m/>
    <m/>
    <m/>
    <m/>
    <m/>
  </r>
  <r>
    <x v="14"/>
    <n v="134031"/>
    <x v="28"/>
    <x v="0"/>
    <x v="25"/>
    <n v="0.72"/>
    <x v="32"/>
    <x v="0"/>
    <m/>
    <m/>
    <m/>
    <m/>
    <m/>
    <m/>
    <m/>
    <m/>
    <m/>
    <m/>
  </r>
  <r>
    <x v="18"/>
    <n v="67595"/>
    <x v="28"/>
    <x v="2"/>
    <x v="63"/>
    <n v="1.44"/>
    <x v="52"/>
    <x v="1"/>
    <m/>
    <m/>
    <m/>
    <m/>
    <m/>
    <m/>
    <m/>
    <m/>
    <m/>
    <m/>
  </r>
  <r>
    <x v="19"/>
    <n v="54541"/>
    <x v="14"/>
    <x v="0"/>
    <x v="77"/>
    <n v="1.22"/>
    <x v="46"/>
    <x v="2"/>
    <m/>
    <m/>
    <m/>
    <m/>
    <m/>
    <m/>
    <m/>
    <m/>
    <m/>
    <m/>
  </r>
  <r>
    <x v="2"/>
    <n v="118598"/>
    <x v="16"/>
    <x v="3"/>
    <x v="58"/>
    <n v="0.97"/>
    <x v="90"/>
    <x v="0"/>
    <m/>
    <m/>
    <m/>
    <m/>
    <m/>
    <m/>
    <m/>
    <m/>
    <m/>
    <m/>
  </r>
  <r>
    <x v="8"/>
    <n v="70785"/>
    <x v="26"/>
    <x v="2"/>
    <x v="49"/>
    <n v="1.1299999999999999"/>
    <x v="45"/>
    <x v="2"/>
    <m/>
    <m/>
    <m/>
    <m/>
    <m/>
    <m/>
    <m/>
    <m/>
    <m/>
    <m/>
  </r>
  <r>
    <x v="19"/>
    <n v="131633"/>
    <x v="0"/>
    <x v="2"/>
    <x v="0"/>
    <n v="0.81"/>
    <x v="45"/>
    <x v="2"/>
    <m/>
    <m/>
    <m/>
    <m/>
    <m/>
    <m/>
    <m/>
    <m/>
    <m/>
    <m/>
  </r>
  <r>
    <x v="10"/>
    <n v="90359"/>
    <x v="13"/>
    <x v="0"/>
    <x v="11"/>
    <n v="0.87"/>
    <x v="31"/>
    <x v="2"/>
    <m/>
    <m/>
    <m/>
    <m/>
    <m/>
    <m/>
    <m/>
    <m/>
    <m/>
    <m/>
  </r>
  <r>
    <x v="18"/>
    <n v="55642"/>
    <x v="23"/>
    <x v="3"/>
    <x v="29"/>
    <n v="0.88"/>
    <x v="70"/>
    <x v="1"/>
    <m/>
    <m/>
    <m/>
    <m/>
    <m/>
    <m/>
    <m/>
    <m/>
    <m/>
    <m/>
  </r>
  <r>
    <x v="8"/>
    <n v="117657"/>
    <x v="24"/>
    <x v="0"/>
    <x v="4"/>
    <n v="1.17"/>
    <x v="86"/>
    <x v="2"/>
    <m/>
    <m/>
    <m/>
    <m/>
    <m/>
    <m/>
    <m/>
    <m/>
    <m/>
    <m/>
  </r>
  <r>
    <x v="8"/>
    <n v="128525"/>
    <x v="24"/>
    <x v="2"/>
    <x v="10"/>
    <n v="1.1200000000000001"/>
    <x v="87"/>
    <x v="2"/>
    <m/>
    <m/>
    <m/>
    <m/>
    <m/>
    <m/>
    <m/>
    <m/>
    <m/>
    <m/>
  </r>
  <r>
    <x v="6"/>
    <n v="41360"/>
    <x v="17"/>
    <x v="3"/>
    <x v="46"/>
    <n v="1.0900000000000001"/>
    <x v="64"/>
    <x v="2"/>
    <m/>
    <m/>
    <m/>
    <m/>
    <m/>
    <m/>
    <m/>
    <m/>
    <m/>
    <m/>
  </r>
  <r>
    <x v="2"/>
    <n v="135190"/>
    <x v="26"/>
    <x v="0"/>
    <x v="61"/>
    <n v="0.83"/>
    <x v="67"/>
    <x v="0"/>
    <m/>
    <m/>
    <m/>
    <m/>
    <m/>
    <m/>
    <m/>
    <m/>
    <m/>
    <m/>
  </r>
  <r>
    <x v="11"/>
    <n v="81747"/>
    <x v="20"/>
    <x v="2"/>
    <x v="48"/>
    <n v="0.77"/>
    <x v="84"/>
    <x v="2"/>
    <m/>
    <m/>
    <m/>
    <m/>
    <m/>
    <m/>
    <m/>
    <m/>
    <m/>
    <m/>
  </r>
  <r>
    <x v="9"/>
    <n v="131809"/>
    <x v="2"/>
    <x v="2"/>
    <x v="66"/>
    <n v="0.64"/>
    <x v="80"/>
    <x v="0"/>
    <m/>
    <m/>
    <m/>
    <m/>
    <m/>
    <m/>
    <m/>
    <m/>
    <m/>
    <m/>
  </r>
  <r>
    <x v="14"/>
    <n v="145070"/>
    <x v="29"/>
    <x v="0"/>
    <x v="66"/>
    <n v="0.76"/>
    <x v="90"/>
    <x v="0"/>
    <m/>
    <m/>
    <m/>
    <m/>
    <m/>
    <m/>
    <m/>
    <m/>
    <m/>
    <m/>
  </r>
  <r>
    <x v="0"/>
    <n v="98688"/>
    <x v="18"/>
    <x v="0"/>
    <x v="93"/>
    <n v="0.65"/>
    <x v="77"/>
    <x v="0"/>
    <m/>
    <m/>
    <m/>
    <m/>
    <m/>
    <m/>
    <m/>
    <m/>
    <m/>
    <m/>
  </r>
  <r>
    <x v="0"/>
    <n v="53545"/>
    <x v="16"/>
    <x v="3"/>
    <x v="45"/>
    <n v="0.56999999999999995"/>
    <x v="9"/>
    <x v="0"/>
    <m/>
    <m/>
    <m/>
    <m/>
    <m/>
    <m/>
    <m/>
    <m/>
    <m/>
    <m/>
  </r>
  <r>
    <x v="3"/>
    <n v="138322"/>
    <x v="29"/>
    <x v="1"/>
    <x v="41"/>
    <n v="1.1200000000000001"/>
    <x v="57"/>
    <x v="2"/>
    <m/>
    <m/>
    <m/>
    <m/>
    <m/>
    <m/>
    <m/>
    <m/>
    <m/>
    <m/>
  </r>
  <r>
    <x v="19"/>
    <n v="37965"/>
    <x v="2"/>
    <x v="1"/>
    <x v="70"/>
    <n v="1.36"/>
    <x v="72"/>
    <x v="2"/>
    <m/>
    <m/>
    <m/>
    <m/>
    <m/>
    <m/>
    <m/>
    <m/>
    <m/>
    <m/>
  </r>
  <r>
    <x v="6"/>
    <n v="52546"/>
    <x v="17"/>
    <x v="1"/>
    <x v="66"/>
    <n v="1.47"/>
    <x v="45"/>
    <x v="2"/>
    <m/>
    <m/>
    <m/>
    <m/>
    <m/>
    <m/>
    <m/>
    <m/>
    <m/>
    <m/>
  </r>
  <r>
    <x v="1"/>
    <n v="57774"/>
    <x v="7"/>
    <x v="3"/>
    <x v="83"/>
    <n v="1.05"/>
    <x v="37"/>
    <x v="1"/>
    <m/>
    <m/>
    <m/>
    <m/>
    <m/>
    <m/>
    <m/>
    <m/>
    <m/>
    <m/>
  </r>
  <r>
    <x v="18"/>
    <n v="113394"/>
    <x v="24"/>
    <x v="3"/>
    <x v="19"/>
    <n v="0.56000000000000005"/>
    <x v="41"/>
    <x v="1"/>
    <m/>
    <m/>
    <m/>
    <m/>
    <m/>
    <m/>
    <m/>
    <m/>
    <m/>
    <m/>
  </r>
  <r>
    <x v="18"/>
    <n v="40002"/>
    <x v="26"/>
    <x v="1"/>
    <x v="51"/>
    <n v="0.7"/>
    <x v="63"/>
    <x v="1"/>
    <m/>
    <m/>
    <m/>
    <m/>
    <m/>
    <m/>
    <m/>
    <m/>
    <m/>
    <m/>
  </r>
  <r>
    <x v="1"/>
    <n v="107365"/>
    <x v="4"/>
    <x v="1"/>
    <x v="70"/>
    <n v="0.97"/>
    <x v="52"/>
    <x v="1"/>
    <m/>
    <m/>
    <m/>
    <m/>
    <m/>
    <m/>
    <m/>
    <m/>
    <m/>
    <m/>
  </r>
  <r>
    <x v="14"/>
    <n v="44833"/>
    <x v="17"/>
    <x v="3"/>
    <x v="44"/>
    <n v="0.6"/>
    <x v="32"/>
    <x v="0"/>
    <m/>
    <m/>
    <m/>
    <m/>
    <m/>
    <m/>
    <m/>
    <m/>
    <m/>
    <m/>
  </r>
  <r>
    <x v="10"/>
    <n v="52844"/>
    <x v="19"/>
    <x v="0"/>
    <x v="43"/>
    <n v="0.54"/>
    <x v="48"/>
    <x v="2"/>
    <m/>
    <m/>
    <m/>
    <m/>
    <m/>
    <m/>
    <m/>
    <m/>
    <m/>
    <m/>
  </r>
  <r>
    <x v="8"/>
    <n v="95265"/>
    <x v="8"/>
    <x v="2"/>
    <x v="24"/>
    <n v="0.83"/>
    <x v="57"/>
    <x v="2"/>
    <m/>
    <m/>
    <m/>
    <m/>
    <m/>
    <m/>
    <m/>
    <m/>
    <m/>
    <m/>
  </r>
  <r>
    <x v="12"/>
    <n v="35725"/>
    <x v="10"/>
    <x v="0"/>
    <x v="59"/>
    <n v="0.63"/>
    <x v="20"/>
    <x v="2"/>
    <m/>
    <m/>
    <m/>
    <m/>
    <m/>
    <m/>
    <m/>
    <m/>
    <m/>
    <m/>
  </r>
  <r>
    <x v="0"/>
    <n v="33573"/>
    <x v="20"/>
    <x v="3"/>
    <x v="37"/>
    <n v="0.54"/>
    <x v="90"/>
    <x v="0"/>
    <m/>
    <m/>
    <m/>
    <m/>
    <m/>
    <m/>
    <m/>
    <m/>
    <m/>
    <m/>
  </r>
  <r>
    <x v="14"/>
    <n v="65744"/>
    <x v="11"/>
    <x v="3"/>
    <x v="86"/>
    <n v="1.18"/>
    <x v="0"/>
    <x v="0"/>
    <m/>
    <m/>
    <m/>
    <m/>
    <m/>
    <m/>
    <m/>
    <m/>
    <m/>
    <m/>
  </r>
  <r>
    <x v="14"/>
    <n v="58672"/>
    <x v="7"/>
    <x v="3"/>
    <x v="40"/>
    <n v="1.45"/>
    <x v="39"/>
    <x v="0"/>
    <m/>
    <m/>
    <m/>
    <m/>
    <m/>
    <m/>
    <m/>
    <m/>
    <m/>
    <m/>
  </r>
  <r>
    <x v="3"/>
    <n v="107831"/>
    <x v="6"/>
    <x v="0"/>
    <x v="54"/>
    <n v="0.64"/>
    <x v="8"/>
    <x v="2"/>
    <m/>
    <m/>
    <m/>
    <m/>
    <m/>
    <m/>
    <m/>
    <m/>
    <m/>
    <m/>
  </r>
  <r>
    <x v="7"/>
    <n v="69215"/>
    <x v="16"/>
    <x v="0"/>
    <x v="32"/>
    <n v="0.74"/>
    <x v="88"/>
    <x v="1"/>
    <m/>
    <m/>
    <m/>
    <m/>
    <m/>
    <m/>
    <m/>
    <m/>
    <m/>
    <m/>
  </r>
  <r>
    <x v="1"/>
    <n v="88769"/>
    <x v="22"/>
    <x v="0"/>
    <x v="21"/>
    <n v="0.51"/>
    <x v="18"/>
    <x v="1"/>
    <m/>
    <m/>
    <m/>
    <m/>
    <m/>
    <m/>
    <m/>
    <m/>
    <m/>
    <m/>
  </r>
  <r>
    <x v="18"/>
    <n v="48408"/>
    <x v="10"/>
    <x v="2"/>
    <x v="50"/>
    <n v="0.8"/>
    <x v="29"/>
    <x v="1"/>
    <m/>
    <m/>
    <m/>
    <m/>
    <m/>
    <m/>
    <m/>
    <m/>
    <m/>
    <m/>
  </r>
  <r>
    <x v="8"/>
    <n v="34286"/>
    <x v="23"/>
    <x v="1"/>
    <x v="29"/>
    <n v="0.75"/>
    <x v="25"/>
    <x v="2"/>
    <m/>
    <m/>
    <m/>
    <m/>
    <m/>
    <m/>
    <m/>
    <m/>
    <m/>
    <m/>
  </r>
  <r>
    <x v="9"/>
    <n v="86153"/>
    <x v="5"/>
    <x v="0"/>
    <x v="95"/>
    <n v="1.24"/>
    <x v="56"/>
    <x v="0"/>
    <m/>
    <m/>
    <m/>
    <m/>
    <m/>
    <m/>
    <m/>
    <m/>
    <m/>
    <m/>
  </r>
  <r>
    <x v="15"/>
    <n v="102944"/>
    <x v="8"/>
    <x v="2"/>
    <x v="86"/>
    <n v="1.26"/>
    <x v="75"/>
    <x v="1"/>
    <m/>
    <m/>
    <m/>
    <m/>
    <m/>
    <m/>
    <m/>
    <m/>
    <m/>
    <m/>
  </r>
  <r>
    <x v="15"/>
    <n v="92845"/>
    <x v="4"/>
    <x v="2"/>
    <x v="77"/>
    <n v="0.96"/>
    <x v="5"/>
    <x v="1"/>
    <m/>
    <m/>
    <m/>
    <m/>
    <m/>
    <m/>
    <m/>
    <m/>
    <m/>
    <m/>
  </r>
  <r>
    <x v="15"/>
    <n v="145429"/>
    <x v="29"/>
    <x v="3"/>
    <x v="17"/>
    <n v="0.52"/>
    <x v="5"/>
    <x v="1"/>
    <m/>
    <m/>
    <m/>
    <m/>
    <m/>
    <m/>
    <m/>
    <m/>
    <m/>
    <m/>
  </r>
  <r>
    <x v="7"/>
    <n v="144621"/>
    <x v="22"/>
    <x v="2"/>
    <x v="83"/>
    <n v="1.37"/>
    <x v="75"/>
    <x v="1"/>
    <m/>
    <m/>
    <m/>
    <m/>
    <m/>
    <m/>
    <m/>
    <m/>
    <m/>
    <m/>
  </r>
  <r>
    <x v="2"/>
    <n v="110174"/>
    <x v="21"/>
    <x v="3"/>
    <x v="75"/>
    <n v="1.35"/>
    <x v="76"/>
    <x v="0"/>
    <m/>
    <m/>
    <m/>
    <m/>
    <m/>
    <m/>
    <m/>
    <m/>
    <m/>
    <m/>
  </r>
  <r>
    <x v="8"/>
    <n v="95951"/>
    <x v="23"/>
    <x v="2"/>
    <x v="11"/>
    <n v="0.64"/>
    <x v="46"/>
    <x v="2"/>
    <m/>
    <m/>
    <m/>
    <m/>
    <m/>
    <m/>
    <m/>
    <m/>
    <m/>
    <m/>
  </r>
  <r>
    <x v="4"/>
    <n v="132255"/>
    <x v="1"/>
    <x v="3"/>
    <x v="96"/>
    <n v="0.61"/>
    <x v="48"/>
    <x v="2"/>
    <m/>
    <m/>
    <m/>
    <m/>
    <m/>
    <m/>
    <m/>
    <m/>
    <m/>
    <m/>
  </r>
  <r>
    <x v="7"/>
    <n v="77052"/>
    <x v="4"/>
    <x v="2"/>
    <x v="81"/>
    <n v="1.24"/>
    <x v="41"/>
    <x v="1"/>
    <m/>
    <m/>
    <m/>
    <m/>
    <m/>
    <m/>
    <m/>
    <m/>
    <m/>
    <m/>
  </r>
  <r>
    <x v="16"/>
    <n v="98324"/>
    <x v="20"/>
    <x v="1"/>
    <x v="9"/>
    <n v="1.24"/>
    <x v="62"/>
    <x v="0"/>
    <m/>
    <m/>
    <m/>
    <m/>
    <m/>
    <m/>
    <m/>
    <m/>
    <m/>
    <m/>
  </r>
  <r>
    <x v="3"/>
    <n v="127204"/>
    <x v="13"/>
    <x v="3"/>
    <x v="45"/>
    <n v="1.47"/>
    <x v="23"/>
    <x v="2"/>
    <m/>
    <m/>
    <m/>
    <m/>
    <m/>
    <m/>
    <m/>
    <m/>
    <m/>
    <m/>
  </r>
  <r>
    <x v="12"/>
    <n v="106489"/>
    <x v="5"/>
    <x v="2"/>
    <x v="90"/>
    <n v="1.22"/>
    <x v="23"/>
    <x v="2"/>
    <m/>
    <m/>
    <m/>
    <m/>
    <m/>
    <m/>
    <m/>
    <m/>
    <m/>
    <m/>
  </r>
  <r>
    <x v="17"/>
    <n v="138906"/>
    <x v="2"/>
    <x v="1"/>
    <x v="86"/>
    <n v="0.7"/>
    <x v="71"/>
    <x v="2"/>
    <m/>
    <m/>
    <m/>
    <m/>
    <m/>
    <m/>
    <m/>
    <m/>
    <m/>
    <m/>
  </r>
  <r>
    <x v="9"/>
    <n v="105477"/>
    <x v="11"/>
    <x v="3"/>
    <x v="15"/>
    <n v="0.93"/>
    <x v="39"/>
    <x v="0"/>
    <m/>
    <m/>
    <m/>
    <m/>
    <m/>
    <m/>
    <m/>
    <m/>
    <m/>
    <m/>
  </r>
  <r>
    <x v="13"/>
    <n v="128103"/>
    <x v="20"/>
    <x v="3"/>
    <x v="21"/>
    <n v="1.29"/>
    <x v="12"/>
    <x v="2"/>
    <m/>
    <m/>
    <m/>
    <m/>
    <m/>
    <m/>
    <m/>
    <m/>
    <m/>
    <m/>
  </r>
  <r>
    <x v="11"/>
    <n v="58401"/>
    <x v="21"/>
    <x v="2"/>
    <x v="16"/>
    <n v="1.02"/>
    <x v="50"/>
    <x v="2"/>
    <m/>
    <m/>
    <m/>
    <m/>
    <m/>
    <m/>
    <m/>
    <m/>
    <m/>
    <m/>
  </r>
  <r>
    <x v="0"/>
    <n v="109870"/>
    <x v="29"/>
    <x v="0"/>
    <x v="18"/>
    <n v="1.1100000000000001"/>
    <x v="51"/>
    <x v="0"/>
    <m/>
    <m/>
    <m/>
    <m/>
    <m/>
    <m/>
    <m/>
    <m/>
    <m/>
    <m/>
  </r>
  <r>
    <x v="5"/>
    <n v="93560"/>
    <x v="20"/>
    <x v="1"/>
    <x v="49"/>
    <n v="0.72"/>
    <x v="61"/>
    <x v="1"/>
    <m/>
    <m/>
    <m/>
    <m/>
    <m/>
    <m/>
    <m/>
    <m/>
    <m/>
    <m/>
  </r>
  <r>
    <x v="7"/>
    <n v="143114"/>
    <x v="13"/>
    <x v="2"/>
    <x v="76"/>
    <n v="1.19"/>
    <x v="74"/>
    <x v="1"/>
    <m/>
    <m/>
    <m/>
    <m/>
    <m/>
    <m/>
    <m/>
    <m/>
    <m/>
    <m/>
  </r>
  <r>
    <x v="8"/>
    <n v="128960"/>
    <x v="16"/>
    <x v="0"/>
    <x v="4"/>
    <n v="1.06"/>
    <x v="31"/>
    <x v="2"/>
    <m/>
    <m/>
    <m/>
    <m/>
    <m/>
    <m/>
    <m/>
    <m/>
    <m/>
    <m/>
  </r>
  <r>
    <x v="17"/>
    <n v="30125"/>
    <x v="29"/>
    <x v="1"/>
    <x v="93"/>
    <n v="1.27"/>
    <x v="57"/>
    <x v="2"/>
    <m/>
    <m/>
    <m/>
    <m/>
    <m/>
    <m/>
    <m/>
    <m/>
    <m/>
    <m/>
  </r>
  <r>
    <x v="3"/>
    <n v="121703"/>
    <x v="13"/>
    <x v="0"/>
    <x v="86"/>
    <n v="0.95"/>
    <x v="36"/>
    <x v="2"/>
    <m/>
    <m/>
    <m/>
    <m/>
    <m/>
    <m/>
    <m/>
    <m/>
    <m/>
    <m/>
  </r>
  <r>
    <x v="17"/>
    <n v="40736"/>
    <x v="15"/>
    <x v="3"/>
    <x v="39"/>
    <n v="1.45"/>
    <x v="57"/>
    <x v="2"/>
    <m/>
    <m/>
    <m/>
    <m/>
    <m/>
    <m/>
    <m/>
    <m/>
    <m/>
    <m/>
  </r>
  <r>
    <x v="11"/>
    <n v="131709"/>
    <x v="15"/>
    <x v="2"/>
    <x v="58"/>
    <n v="1.01"/>
    <x v="31"/>
    <x v="2"/>
    <m/>
    <m/>
    <m/>
    <m/>
    <m/>
    <m/>
    <m/>
    <m/>
    <m/>
    <m/>
  </r>
  <r>
    <x v="12"/>
    <n v="48050"/>
    <x v="12"/>
    <x v="3"/>
    <x v="11"/>
    <n v="1.05"/>
    <x v="64"/>
    <x v="2"/>
    <m/>
    <m/>
    <m/>
    <m/>
    <m/>
    <m/>
    <m/>
    <m/>
    <m/>
    <m/>
  </r>
  <r>
    <x v="15"/>
    <n v="38338"/>
    <x v="1"/>
    <x v="1"/>
    <x v="51"/>
    <n v="0.92"/>
    <x v="74"/>
    <x v="1"/>
    <m/>
    <m/>
    <m/>
    <m/>
    <m/>
    <m/>
    <m/>
    <m/>
    <m/>
    <m/>
  </r>
  <r>
    <x v="8"/>
    <n v="80382"/>
    <x v="4"/>
    <x v="2"/>
    <x v="39"/>
    <n v="1.23"/>
    <x v="3"/>
    <x v="2"/>
    <m/>
    <m/>
    <m/>
    <m/>
    <m/>
    <m/>
    <m/>
    <m/>
    <m/>
    <m/>
  </r>
  <r>
    <x v="12"/>
    <n v="147511"/>
    <x v="24"/>
    <x v="2"/>
    <x v="99"/>
    <n v="0.76"/>
    <x v="31"/>
    <x v="2"/>
    <m/>
    <m/>
    <m/>
    <m/>
    <m/>
    <m/>
    <m/>
    <m/>
    <m/>
    <m/>
  </r>
  <r>
    <x v="3"/>
    <n v="46791"/>
    <x v="21"/>
    <x v="3"/>
    <x v="9"/>
    <n v="1.49"/>
    <x v="66"/>
    <x v="2"/>
    <m/>
    <m/>
    <m/>
    <m/>
    <m/>
    <m/>
    <m/>
    <m/>
    <m/>
    <m/>
  </r>
  <r>
    <x v="10"/>
    <n v="114300"/>
    <x v="28"/>
    <x v="0"/>
    <x v="19"/>
    <n v="1.36"/>
    <x v="22"/>
    <x v="2"/>
    <m/>
    <m/>
    <m/>
    <m/>
    <m/>
    <m/>
    <m/>
    <m/>
    <m/>
    <m/>
  </r>
  <r>
    <x v="0"/>
    <n v="105165"/>
    <x v="8"/>
    <x v="3"/>
    <x v="79"/>
    <n v="0.66"/>
    <x v="35"/>
    <x v="0"/>
    <m/>
    <m/>
    <m/>
    <m/>
    <m/>
    <m/>
    <m/>
    <m/>
    <m/>
    <m/>
  </r>
  <r>
    <x v="9"/>
    <n v="68180"/>
    <x v="12"/>
    <x v="2"/>
    <x v="17"/>
    <n v="0.56000000000000005"/>
    <x v="62"/>
    <x v="0"/>
    <m/>
    <m/>
    <m/>
    <m/>
    <m/>
    <m/>
    <m/>
    <m/>
    <m/>
    <m/>
  </r>
  <r>
    <x v="18"/>
    <n v="72019"/>
    <x v="28"/>
    <x v="3"/>
    <x v="92"/>
    <n v="1.21"/>
    <x v="82"/>
    <x v="1"/>
    <m/>
    <m/>
    <m/>
    <m/>
    <m/>
    <m/>
    <m/>
    <m/>
    <m/>
    <m/>
  </r>
  <r>
    <x v="11"/>
    <n v="117464"/>
    <x v="10"/>
    <x v="2"/>
    <x v="97"/>
    <n v="0.92"/>
    <x v="8"/>
    <x v="2"/>
    <m/>
    <m/>
    <m/>
    <m/>
    <m/>
    <m/>
    <m/>
    <m/>
    <m/>
    <m/>
  </r>
  <r>
    <x v="2"/>
    <n v="100278"/>
    <x v="0"/>
    <x v="0"/>
    <x v="10"/>
    <n v="1.07"/>
    <x v="51"/>
    <x v="0"/>
    <m/>
    <m/>
    <m/>
    <m/>
    <m/>
    <m/>
    <m/>
    <m/>
    <m/>
    <m/>
  </r>
  <r>
    <x v="10"/>
    <n v="105073"/>
    <x v="14"/>
    <x v="0"/>
    <x v="66"/>
    <n v="1.4"/>
    <x v="49"/>
    <x v="2"/>
    <m/>
    <m/>
    <m/>
    <m/>
    <m/>
    <m/>
    <m/>
    <m/>
    <m/>
    <m/>
  </r>
  <r>
    <x v="10"/>
    <n v="35922"/>
    <x v="6"/>
    <x v="3"/>
    <x v="99"/>
    <n v="1.45"/>
    <x v="22"/>
    <x v="2"/>
    <m/>
    <m/>
    <m/>
    <m/>
    <m/>
    <m/>
    <m/>
    <m/>
    <m/>
    <m/>
  </r>
  <r>
    <x v="4"/>
    <n v="99915"/>
    <x v="3"/>
    <x v="2"/>
    <x v="32"/>
    <n v="0.72"/>
    <x v="69"/>
    <x v="2"/>
    <m/>
    <m/>
    <m/>
    <m/>
    <m/>
    <m/>
    <m/>
    <m/>
    <m/>
    <m/>
  </r>
  <r>
    <x v="10"/>
    <n v="143868"/>
    <x v="9"/>
    <x v="0"/>
    <x v="54"/>
    <n v="1.23"/>
    <x v="87"/>
    <x v="2"/>
    <m/>
    <m/>
    <m/>
    <m/>
    <m/>
    <m/>
    <m/>
    <m/>
    <m/>
    <m/>
  </r>
  <r>
    <x v="6"/>
    <n v="30318"/>
    <x v="26"/>
    <x v="3"/>
    <x v="45"/>
    <n v="0.95"/>
    <x v="43"/>
    <x v="2"/>
    <m/>
    <m/>
    <m/>
    <m/>
    <m/>
    <m/>
    <m/>
    <m/>
    <m/>
    <m/>
  </r>
  <r>
    <x v="11"/>
    <n v="144148"/>
    <x v="11"/>
    <x v="1"/>
    <x v="55"/>
    <n v="0.64"/>
    <x v="23"/>
    <x v="2"/>
    <m/>
    <m/>
    <m/>
    <m/>
    <m/>
    <m/>
    <m/>
    <m/>
    <m/>
    <m/>
  </r>
  <r>
    <x v="4"/>
    <n v="68790"/>
    <x v="23"/>
    <x v="1"/>
    <x v="14"/>
    <n v="0.87"/>
    <x v="87"/>
    <x v="2"/>
    <m/>
    <m/>
    <m/>
    <m/>
    <m/>
    <m/>
    <m/>
    <m/>
    <m/>
    <m/>
  </r>
  <r>
    <x v="4"/>
    <n v="102353"/>
    <x v="8"/>
    <x v="3"/>
    <x v="9"/>
    <n v="1.1299999999999999"/>
    <x v="33"/>
    <x v="2"/>
    <m/>
    <m/>
    <m/>
    <m/>
    <m/>
    <m/>
    <m/>
    <m/>
    <m/>
    <m/>
  </r>
  <r>
    <x v="9"/>
    <n v="50810"/>
    <x v="28"/>
    <x v="2"/>
    <x v="34"/>
    <n v="1.46"/>
    <x v="76"/>
    <x v="0"/>
    <m/>
    <m/>
    <m/>
    <m/>
    <m/>
    <m/>
    <m/>
    <m/>
    <m/>
    <m/>
  </r>
  <r>
    <x v="1"/>
    <n v="83565"/>
    <x v="2"/>
    <x v="2"/>
    <x v="83"/>
    <n v="0.61"/>
    <x v="41"/>
    <x v="1"/>
    <m/>
    <m/>
    <m/>
    <m/>
    <m/>
    <m/>
    <m/>
    <m/>
    <m/>
    <m/>
  </r>
  <r>
    <x v="1"/>
    <n v="74555"/>
    <x v="2"/>
    <x v="3"/>
    <x v="58"/>
    <n v="1.48"/>
    <x v="21"/>
    <x v="1"/>
    <m/>
    <m/>
    <m/>
    <m/>
    <m/>
    <m/>
    <m/>
    <m/>
    <m/>
    <m/>
  </r>
  <r>
    <x v="14"/>
    <n v="110196"/>
    <x v="25"/>
    <x v="0"/>
    <x v="35"/>
    <n v="1.35"/>
    <x v="2"/>
    <x v="0"/>
    <m/>
    <m/>
    <m/>
    <m/>
    <m/>
    <m/>
    <m/>
    <m/>
    <m/>
    <m/>
  </r>
  <r>
    <x v="19"/>
    <n v="133501"/>
    <x v="26"/>
    <x v="3"/>
    <x v="32"/>
    <n v="1.22"/>
    <x v="87"/>
    <x v="2"/>
    <m/>
    <m/>
    <m/>
    <m/>
    <m/>
    <m/>
    <m/>
    <m/>
    <m/>
    <m/>
  </r>
  <r>
    <x v="8"/>
    <n v="60639"/>
    <x v="26"/>
    <x v="3"/>
    <x v="7"/>
    <n v="0.56000000000000005"/>
    <x v="43"/>
    <x v="2"/>
    <m/>
    <m/>
    <m/>
    <m/>
    <m/>
    <m/>
    <m/>
    <m/>
    <m/>
    <m/>
  </r>
  <r>
    <x v="14"/>
    <n v="94414"/>
    <x v="20"/>
    <x v="1"/>
    <x v="56"/>
    <n v="0.67"/>
    <x v="0"/>
    <x v="0"/>
    <m/>
    <m/>
    <m/>
    <m/>
    <m/>
    <m/>
    <m/>
    <m/>
    <m/>
    <m/>
  </r>
  <r>
    <x v="7"/>
    <n v="97963"/>
    <x v="15"/>
    <x v="3"/>
    <x v="57"/>
    <n v="1.1499999999999999"/>
    <x v="18"/>
    <x v="1"/>
    <m/>
    <m/>
    <m/>
    <m/>
    <m/>
    <m/>
    <m/>
    <m/>
    <m/>
    <m/>
  </r>
  <r>
    <x v="1"/>
    <n v="137020"/>
    <x v="6"/>
    <x v="1"/>
    <x v="75"/>
    <n v="0.98"/>
    <x v="29"/>
    <x v="1"/>
    <m/>
    <m/>
    <m/>
    <m/>
    <m/>
    <m/>
    <m/>
    <m/>
    <m/>
    <m/>
  </r>
  <r>
    <x v="16"/>
    <n v="71941"/>
    <x v="4"/>
    <x v="2"/>
    <x v="100"/>
    <n v="1.36"/>
    <x v="24"/>
    <x v="0"/>
    <m/>
    <m/>
    <m/>
    <m/>
    <m/>
    <m/>
    <m/>
    <m/>
    <m/>
    <m/>
  </r>
  <r>
    <x v="14"/>
    <n v="54269"/>
    <x v="14"/>
    <x v="1"/>
    <x v="39"/>
    <n v="1.17"/>
    <x v="59"/>
    <x v="0"/>
    <m/>
    <m/>
    <m/>
    <m/>
    <m/>
    <m/>
    <m/>
    <m/>
    <m/>
    <m/>
  </r>
  <r>
    <x v="0"/>
    <n v="122816"/>
    <x v="13"/>
    <x v="0"/>
    <x v="23"/>
    <n v="1"/>
    <x v="2"/>
    <x v="0"/>
    <m/>
    <m/>
    <m/>
    <m/>
    <m/>
    <m/>
    <m/>
    <m/>
    <m/>
    <m/>
  </r>
  <r>
    <x v="12"/>
    <n v="97500"/>
    <x v="6"/>
    <x v="0"/>
    <x v="12"/>
    <n v="1.1000000000000001"/>
    <x v="64"/>
    <x v="2"/>
    <m/>
    <m/>
    <m/>
    <m/>
    <m/>
    <m/>
    <m/>
    <m/>
    <m/>
    <m/>
  </r>
  <r>
    <x v="11"/>
    <n v="129626"/>
    <x v="5"/>
    <x v="3"/>
    <x v="59"/>
    <n v="0.5"/>
    <x v="36"/>
    <x v="2"/>
    <m/>
    <m/>
    <m/>
    <m/>
    <m/>
    <m/>
    <m/>
    <m/>
    <m/>
    <m/>
  </r>
  <r>
    <x v="4"/>
    <n v="95107"/>
    <x v="10"/>
    <x v="3"/>
    <x v="63"/>
    <n v="0.55000000000000004"/>
    <x v="45"/>
    <x v="2"/>
    <m/>
    <m/>
    <m/>
    <m/>
    <m/>
    <m/>
    <m/>
    <m/>
    <m/>
    <m/>
  </r>
  <r>
    <x v="0"/>
    <n v="49638"/>
    <x v="28"/>
    <x v="2"/>
    <x v="79"/>
    <n v="0.87"/>
    <x v="35"/>
    <x v="0"/>
    <m/>
    <m/>
    <m/>
    <m/>
    <m/>
    <m/>
    <m/>
    <m/>
    <m/>
    <m/>
  </r>
  <r>
    <x v="12"/>
    <n v="131471"/>
    <x v="21"/>
    <x v="0"/>
    <x v="35"/>
    <n v="0.92"/>
    <x v="48"/>
    <x v="2"/>
    <m/>
    <m/>
    <m/>
    <m/>
    <m/>
    <m/>
    <m/>
    <m/>
    <m/>
    <m/>
  </r>
  <r>
    <x v="12"/>
    <n v="65319"/>
    <x v="15"/>
    <x v="2"/>
    <x v="72"/>
    <n v="0.87"/>
    <x v="38"/>
    <x v="2"/>
    <m/>
    <m/>
    <m/>
    <m/>
    <m/>
    <m/>
    <m/>
    <m/>
    <m/>
    <m/>
  </r>
  <r>
    <x v="0"/>
    <n v="46029"/>
    <x v="29"/>
    <x v="0"/>
    <x v="7"/>
    <n v="1.19"/>
    <x v="73"/>
    <x v="0"/>
    <m/>
    <m/>
    <m/>
    <m/>
    <m/>
    <m/>
    <m/>
    <m/>
    <m/>
    <m/>
  </r>
  <r>
    <x v="5"/>
    <n v="62380"/>
    <x v="2"/>
    <x v="0"/>
    <x v="5"/>
    <n v="1.1200000000000001"/>
    <x v="5"/>
    <x v="1"/>
    <m/>
    <m/>
    <m/>
    <m/>
    <m/>
    <m/>
    <m/>
    <m/>
    <m/>
    <m/>
  </r>
  <r>
    <x v="8"/>
    <n v="108966"/>
    <x v="21"/>
    <x v="3"/>
    <x v="42"/>
    <n v="1.2"/>
    <x v="25"/>
    <x v="2"/>
    <m/>
    <m/>
    <m/>
    <m/>
    <m/>
    <m/>
    <m/>
    <m/>
    <m/>
    <m/>
  </r>
  <r>
    <x v="4"/>
    <n v="142692"/>
    <x v="9"/>
    <x v="1"/>
    <x v="3"/>
    <n v="1.1599999999999999"/>
    <x v="79"/>
    <x v="2"/>
    <m/>
    <m/>
    <m/>
    <m/>
    <m/>
    <m/>
    <m/>
    <m/>
    <m/>
    <m/>
  </r>
  <r>
    <x v="9"/>
    <n v="33518"/>
    <x v="8"/>
    <x v="1"/>
    <x v="13"/>
    <n v="1.49"/>
    <x v="56"/>
    <x v="0"/>
    <m/>
    <m/>
    <m/>
    <m/>
    <m/>
    <m/>
    <m/>
    <m/>
    <m/>
    <m/>
  </r>
  <r>
    <x v="3"/>
    <n v="49098"/>
    <x v="8"/>
    <x v="0"/>
    <x v="7"/>
    <n v="0.64"/>
    <x v="87"/>
    <x v="2"/>
    <m/>
    <m/>
    <m/>
    <m/>
    <m/>
    <m/>
    <m/>
    <m/>
    <m/>
    <m/>
  </r>
  <r>
    <x v="2"/>
    <n v="130992"/>
    <x v="21"/>
    <x v="1"/>
    <x v="21"/>
    <n v="1.34"/>
    <x v="2"/>
    <x v="0"/>
    <m/>
    <m/>
    <m/>
    <m/>
    <m/>
    <m/>
    <m/>
    <m/>
    <m/>
    <m/>
  </r>
  <r>
    <x v="3"/>
    <n v="43950"/>
    <x v="2"/>
    <x v="1"/>
    <x v="24"/>
    <n v="1"/>
    <x v="79"/>
    <x v="2"/>
    <m/>
    <m/>
    <m/>
    <m/>
    <m/>
    <m/>
    <m/>
    <m/>
    <m/>
    <m/>
  </r>
  <r>
    <x v="4"/>
    <n v="96603"/>
    <x v="19"/>
    <x v="2"/>
    <x v="32"/>
    <n v="0.62"/>
    <x v="11"/>
    <x v="2"/>
    <m/>
    <m/>
    <m/>
    <m/>
    <m/>
    <m/>
    <m/>
    <m/>
    <m/>
    <m/>
  </r>
  <r>
    <x v="18"/>
    <n v="106831"/>
    <x v="6"/>
    <x v="0"/>
    <x v="62"/>
    <n v="1.48"/>
    <x v="34"/>
    <x v="1"/>
    <m/>
    <m/>
    <m/>
    <m/>
    <m/>
    <m/>
    <m/>
    <m/>
    <m/>
    <m/>
  </r>
  <r>
    <x v="14"/>
    <n v="81850"/>
    <x v="4"/>
    <x v="2"/>
    <x v="96"/>
    <n v="0.9"/>
    <x v="0"/>
    <x v="0"/>
    <m/>
    <m/>
    <m/>
    <m/>
    <m/>
    <m/>
    <m/>
    <m/>
    <m/>
    <m/>
  </r>
  <r>
    <x v="18"/>
    <n v="142697"/>
    <x v="28"/>
    <x v="1"/>
    <x v="23"/>
    <n v="1.02"/>
    <x v="27"/>
    <x v="1"/>
    <m/>
    <m/>
    <m/>
    <m/>
    <m/>
    <m/>
    <m/>
    <m/>
    <m/>
    <m/>
  </r>
  <r>
    <x v="19"/>
    <n v="63158"/>
    <x v="17"/>
    <x v="2"/>
    <x v="26"/>
    <n v="0.64"/>
    <x v="22"/>
    <x v="2"/>
    <m/>
    <m/>
    <m/>
    <m/>
    <m/>
    <m/>
    <m/>
    <m/>
    <m/>
    <m/>
  </r>
  <r>
    <x v="16"/>
    <n v="43065"/>
    <x v="17"/>
    <x v="1"/>
    <x v="18"/>
    <n v="0.77"/>
    <x v="67"/>
    <x v="0"/>
    <m/>
    <m/>
    <m/>
    <m/>
    <m/>
    <m/>
    <m/>
    <m/>
    <m/>
    <m/>
  </r>
  <r>
    <x v="2"/>
    <n v="53115"/>
    <x v="28"/>
    <x v="0"/>
    <x v="13"/>
    <n v="0.97"/>
    <x v="32"/>
    <x v="0"/>
    <m/>
    <m/>
    <m/>
    <m/>
    <m/>
    <m/>
    <m/>
    <m/>
    <m/>
    <m/>
  </r>
  <r>
    <x v="4"/>
    <n v="111462"/>
    <x v="24"/>
    <x v="3"/>
    <x v="86"/>
    <n v="1.38"/>
    <x v="86"/>
    <x v="2"/>
    <m/>
    <m/>
    <m/>
    <m/>
    <m/>
    <m/>
    <m/>
    <m/>
    <m/>
    <m/>
  </r>
  <r>
    <x v="14"/>
    <n v="30234"/>
    <x v="17"/>
    <x v="1"/>
    <x v="43"/>
    <n v="0.73"/>
    <x v="9"/>
    <x v="0"/>
    <m/>
    <m/>
    <m/>
    <m/>
    <m/>
    <m/>
    <m/>
    <m/>
    <m/>
    <m/>
  </r>
  <r>
    <x v="3"/>
    <n v="80262"/>
    <x v="25"/>
    <x v="2"/>
    <x v="64"/>
    <n v="1.17"/>
    <x v="50"/>
    <x v="2"/>
    <m/>
    <m/>
    <m/>
    <m/>
    <m/>
    <m/>
    <m/>
    <m/>
    <m/>
    <m/>
  </r>
  <r>
    <x v="5"/>
    <n v="100529"/>
    <x v="9"/>
    <x v="3"/>
    <x v="68"/>
    <n v="0.74"/>
    <x v="15"/>
    <x v="1"/>
    <m/>
    <m/>
    <m/>
    <m/>
    <m/>
    <m/>
    <m/>
    <m/>
    <m/>
    <m/>
  </r>
  <r>
    <x v="17"/>
    <n v="72563"/>
    <x v="8"/>
    <x v="1"/>
    <x v="80"/>
    <n v="1.27"/>
    <x v="68"/>
    <x v="2"/>
    <m/>
    <m/>
    <m/>
    <m/>
    <m/>
    <m/>
    <m/>
    <m/>
    <m/>
    <m/>
  </r>
  <r>
    <x v="11"/>
    <n v="122983"/>
    <x v="9"/>
    <x v="0"/>
    <x v="96"/>
    <n v="0.93"/>
    <x v="71"/>
    <x v="2"/>
    <m/>
    <m/>
    <m/>
    <m/>
    <m/>
    <m/>
    <m/>
    <m/>
    <m/>
    <m/>
  </r>
  <r>
    <x v="5"/>
    <n v="93815"/>
    <x v="23"/>
    <x v="2"/>
    <x v="65"/>
    <n v="0.91"/>
    <x v="29"/>
    <x v="1"/>
    <m/>
    <m/>
    <m/>
    <m/>
    <m/>
    <m/>
    <m/>
    <m/>
    <m/>
    <m/>
  </r>
  <r>
    <x v="13"/>
    <n v="58385"/>
    <x v="23"/>
    <x v="2"/>
    <x v="42"/>
    <n v="1.1100000000000001"/>
    <x v="86"/>
    <x v="2"/>
    <m/>
    <m/>
    <m/>
    <m/>
    <m/>
    <m/>
    <m/>
    <m/>
    <m/>
    <m/>
  </r>
  <r>
    <x v="3"/>
    <n v="148297"/>
    <x v="12"/>
    <x v="3"/>
    <x v="34"/>
    <n v="1.08"/>
    <x v="12"/>
    <x v="2"/>
    <m/>
    <m/>
    <m/>
    <m/>
    <m/>
    <m/>
    <m/>
    <m/>
    <m/>
    <m/>
  </r>
  <r>
    <x v="19"/>
    <n v="35289"/>
    <x v="11"/>
    <x v="2"/>
    <x v="79"/>
    <n v="1.41"/>
    <x v="53"/>
    <x v="2"/>
    <m/>
    <m/>
    <m/>
    <m/>
    <m/>
    <m/>
    <m/>
    <m/>
    <m/>
    <m/>
  </r>
  <r>
    <x v="2"/>
    <n v="35877"/>
    <x v="24"/>
    <x v="0"/>
    <x v="25"/>
    <n v="1.02"/>
    <x v="89"/>
    <x v="0"/>
    <m/>
    <m/>
    <m/>
    <m/>
    <m/>
    <m/>
    <m/>
    <m/>
    <m/>
    <m/>
  </r>
  <r>
    <x v="12"/>
    <n v="52761"/>
    <x v="24"/>
    <x v="0"/>
    <x v="13"/>
    <n v="1.1399999999999999"/>
    <x v="10"/>
    <x v="2"/>
    <m/>
    <m/>
    <m/>
    <m/>
    <m/>
    <m/>
    <m/>
    <m/>
    <m/>
    <m/>
  </r>
  <r>
    <x v="14"/>
    <n v="123758"/>
    <x v="17"/>
    <x v="0"/>
    <x v="73"/>
    <n v="0.89"/>
    <x v="35"/>
    <x v="0"/>
    <m/>
    <m/>
    <m/>
    <m/>
    <m/>
    <m/>
    <m/>
    <m/>
    <m/>
    <m/>
  </r>
  <r>
    <x v="13"/>
    <n v="86366"/>
    <x v="2"/>
    <x v="2"/>
    <x v="80"/>
    <n v="0.72"/>
    <x v="72"/>
    <x v="2"/>
    <m/>
    <m/>
    <m/>
    <m/>
    <m/>
    <m/>
    <m/>
    <m/>
    <m/>
    <m/>
  </r>
  <r>
    <x v="10"/>
    <n v="85652"/>
    <x v="4"/>
    <x v="0"/>
    <x v="75"/>
    <n v="0.53"/>
    <x v="78"/>
    <x v="2"/>
    <m/>
    <m/>
    <m/>
    <m/>
    <m/>
    <m/>
    <m/>
    <m/>
    <m/>
    <m/>
  </r>
  <r>
    <x v="3"/>
    <n v="55286"/>
    <x v="6"/>
    <x v="1"/>
    <x v="66"/>
    <n v="1.28"/>
    <x v="64"/>
    <x v="2"/>
    <m/>
    <m/>
    <m/>
    <m/>
    <m/>
    <m/>
    <m/>
    <m/>
    <m/>
    <m/>
  </r>
  <r>
    <x v="13"/>
    <n v="104041"/>
    <x v="11"/>
    <x v="2"/>
    <x v="35"/>
    <n v="0.74"/>
    <x v="4"/>
    <x v="2"/>
    <m/>
    <m/>
    <m/>
    <m/>
    <m/>
    <m/>
    <m/>
    <m/>
    <m/>
    <m/>
  </r>
  <r>
    <x v="15"/>
    <n v="140998"/>
    <x v="10"/>
    <x v="2"/>
    <x v="34"/>
    <n v="0.78"/>
    <x v="1"/>
    <x v="1"/>
    <m/>
    <m/>
    <m/>
    <m/>
    <m/>
    <m/>
    <m/>
    <m/>
    <m/>
    <m/>
  </r>
  <r>
    <x v="8"/>
    <n v="122743"/>
    <x v="1"/>
    <x v="0"/>
    <x v="53"/>
    <n v="1.31"/>
    <x v="84"/>
    <x v="2"/>
    <m/>
    <m/>
    <m/>
    <m/>
    <m/>
    <m/>
    <m/>
    <m/>
    <m/>
    <m/>
  </r>
  <r>
    <x v="18"/>
    <n v="64303"/>
    <x v="25"/>
    <x v="3"/>
    <x v="39"/>
    <n v="1.02"/>
    <x v="16"/>
    <x v="1"/>
    <m/>
    <m/>
    <m/>
    <m/>
    <m/>
    <m/>
    <m/>
    <m/>
    <m/>
    <m/>
  </r>
  <r>
    <x v="5"/>
    <n v="89977"/>
    <x v="23"/>
    <x v="0"/>
    <x v="74"/>
    <n v="0.76"/>
    <x v="61"/>
    <x v="1"/>
    <m/>
    <m/>
    <m/>
    <m/>
    <m/>
    <m/>
    <m/>
    <m/>
    <m/>
    <m/>
  </r>
  <r>
    <x v="3"/>
    <n v="67133"/>
    <x v="11"/>
    <x v="3"/>
    <x v="51"/>
    <n v="1.27"/>
    <x v="12"/>
    <x v="2"/>
    <m/>
    <m/>
    <m/>
    <m/>
    <m/>
    <m/>
    <m/>
    <m/>
    <m/>
    <m/>
  </r>
  <r>
    <x v="13"/>
    <n v="70680"/>
    <x v="11"/>
    <x v="0"/>
    <x v="80"/>
    <n v="1.1100000000000001"/>
    <x v="31"/>
    <x v="2"/>
    <m/>
    <m/>
    <m/>
    <m/>
    <m/>
    <m/>
    <m/>
    <m/>
    <m/>
    <m/>
  </r>
  <r>
    <x v="2"/>
    <n v="47013"/>
    <x v="28"/>
    <x v="2"/>
    <x v="26"/>
    <n v="0.63"/>
    <x v="60"/>
    <x v="0"/>
    <m/>
    <m/>
    <m/>
    <m/>
    <m/>
    <m/>
    <m/>
    <m/>
    <m/>
    <m/>
  </r>
  <r>
    <x v="13"/>
    <n v="139982"/>
    <x v="27"/>
    <x v="3"/>
    <x v="14"/>
    <n v="1.27"/>
    <x v="30"/>
    <x v="2"/>
    <m/>
    <m/>
    <m/>
    <m/>
    <m/>
    <m/>
    <m/>
    <m/>
    <m/>
    <m/>
  </r>
  <r>
    <x v="11"/>
    <n v="114935"/>
    <x v="4"/>
    <x v="1"/>
    <x v="49"/>
    <n v="0.68"/>
    <x v="46"/>
    <x v="2"/>
    <m/>
    <m/>
    <m/>
    <m/>
    <m/>
    <m/>
    <m/>
    <m/>
    <m/>
    <m/>
  </r>
  <r>
    <x v="9"/>
    <n v="74741"/>
    <x v="7"/>
    <x v="1"/>
    <x v="32"/>
    <n v="0.95"/>
    <x v="89"/>
    <x v="0"/>
    <m/>
    <m/>
    <m/>
    <m/>
    <m/>
    <m/>
    <m/>
    <m/>
    <m/>
    <m/>
  </r>
  <r>
    <x v="15"/>
    <n v="114153"/>
    <x v="1"/>
    <x v="2"/>
    <x v="94"/>
    <n v="0.95"/>
    <x v="27"/>
    <x v="1"/>
    <m/>
    <m/>
    <m/>
    <m/>
    <m/>
    <m/>
    <m/>
    <m/>
    <m/>
    <m/>
  </r>
  <r>
    <x v="2"/>
    <n v="113110"/>
    <x v="5"/>
    <x v="2"/>
    <x v="67"/>
    <n v="0.81"/>
    <x v="56"/>
    <x v="0"/>
    <m/>
    <m/>
    <m/>
    <m/>
    <m/>
    <m/>
    <m/>
    <m/>
    <m/>
    <m/>
  </r>
  <r>
    <x v="16"/>
    <n v="108596"/>
    <x v="10"/>
    <x v="3"/>
    <x v="37"/>
    <n v="1.45"/>
    <x v="40"/>
    <x v="0"/>
    <m/>
    <m/>
    <m/>
    <m/>
    <m/>
    <m/>
    <m/>
    <m/>
    <m/>
    <m/>
  </r>
  <r>
    <x v="19"/>
    <n v="94274"/>
    <x v="26"/>
    <x v="1"/>
    <x v="84"/>
    <n v="0.86"/>
    <x v="78"/>
    <x v="2"/>
    <m/>
    <m/>
    <m/>
    <m/>
    <m/>
    <m/>
    <m/>
    <m/>
    <m/>
    <m/>
  </r>
  <r>
    <x v="19"/>
    <n v="135649"/>
    <x v="5"/>
    <x v="1"/>
    <x v="2"/>
    <n v="0.59"/>
    <x v="23"/>
    <x v="2"/>
    <m/>
    <m/>
    <m/>
    <m/>
    <m/>
    <m/>
    <m/>
    <m/>
    <m/>
    <m/>
  </r>
  <r>
    <x v="15"/>
    <n v="131433"/>
    <x v="26"/>
    <x v="2"/>
    <x v="93"/>
    <n v="0.71"/>
    <x v="54"/>
    <x v="1"/>
    <m/>
    <m/>
    <m/>
    <m/>
    <m/>
    <m/>
    <m/>
    <m/>
    <m/>
    <m/>
  </r>
  <r>
    <x v="17"/>
    <n v="148962"/>
    <x v="9"/>
    <x v="3"/>
    <x v="62"/>
    <n v="1.38"/>
    <x v="23"/>
    <x v="2"/>
    <m/>
    <m/>
    <m/>
    <m/>
    <m/>
    <m/>
    <m/>
    <m/>
    <m/>
    <m/>
  </r>
  <r>
    <x v="2"/>
    <n v="104901"/>
    <x v="22"/>
    <x v="0"/>
    <x v="27"/>
    <n v="0.74"/>
    <x v="32"/>
    <x v="0"/>
    <m/>
    <m/>
    <m/>
    <m/>
    <m/>
    <m/>
    <m/>
    <m/>
    <m/>
    <m/>
  </r>
  <r>
    <x v="7"/>
    <n v="44133"/>
    <x v="9"/>
    <x v="3"/>
    <x v="23"/>
    <n v="0.61"/>
    <x v="88"/>
    <x v="1"/>
    <m/>
    <m/>
    <m/>
    <m/>
    <m/>
    <m/>
    <m/>
    <m/>
    <m/>
    <m/>
  </r>
  <r>
    <x v="1"/>
    <n v="114293"/>
    <x v="5"/>
    <x v="2"/>
    <x v="26"/>
    <n v="1.45"/>
    <x v="47"/>
    <x v="1"/>
    <m/>
    <m/>
    <m/>
    <m/>
    <m/>
    <m/>
    <m/>
    <m/>
    <m/>
    <m/>
  </r>
  <r>
    <x v="5"/>
    <n v="66155"/>
    <x v="10"/>
    <x v="1"/>
    <x v="39"/>
    <n v="1.25"/>
    <x v="75"/>
    <x v="1"/>
    <m/>
    <m/>
    <m/>
    <m/>
    <m/>
    <m/>
    <m/>
    <m/>
    <m/>
    <m/>
  </r>
  <r>
    <x v="10"/>
    <n v="116070"/>
    <x v="19"/>
    <x v="1"/>
    <x v="75"/>
    <n v="0.79"/>
    <x v="53"/>
    <x v="2"/>
    <m/>
    <m/>
    <m/>
    <m/>
    <m/>
    <m/>
    <m/>
    <m/>
    <m/>
    <m/>
  </r>
  <r>
    <x v="18"/>
    <n v="86439"/>
    <x v="1"/>
    <x v="3"/>
    <x v="75"/>
    <n v="0.87"/>
    <x v="1"/>
    <x v="1"/>
    <m/>
    <m/>
    <m/>
    <m/>
    <m/>
    <m/>
    <m/>
    <m/>
    <m/>
    <m/>
  </r>
  <r>
    <x v="5"/>
    <n v="98500"/>
    <x v="8"/>
    <x v="3"/>
    <x v="32"/>
    <n v="1.22"/>
    <x v="41"/>
    <x v="1"/>
    <m/>
    <m/>
    <m/>
    <m/>
    <m/>
    <m/>
    <m/>
    <m/>
    <m/>
    <m/>
  </r>
  <r>
    <x v="1"/>
    <n v="79887"/>
    <x v="11"/>
    <x v="1"/>
    <x v="30"/>
    <n v="0.56000000000000005"/>
    <x v="42"/>
    <x v="1"/>
    <m/>
    <m/>
    <m/>
    <m/>
    <m/>
    <m/>
    <m/>
    <m/>
    <m/>
    <m/>
  </r>
  <r>
    <x v="1"/>
    <n v="109880"/>
    <x v="29"/>
    <x v="0"/>
    <x v="97"/>
    <n v="1.26"/>
    <x v="63"/>
    <x v="1"/>
    <m/>
    <m/>
    <m/>
    <m/>
    <m/>
    <m/>
    <m/>
    <m/>
    <m/>
    <m/>
  </r>
  <r>
    <x v="13"/>
    <n v="105352"/>
    <x v="21"/>
    <x v="0"/>
    <x v="79"/>
    <n v="0.73"/>
    <x v="38"/>
    <x v="2"/>
    <m/>
    <m/>
    <m/>
    <m/>
    <m/>
    <m/>
    <m/>
    <m/>
    <m/>
    <m/>
  </r>
  <r>
    <x v="16"/>
    <n v="73781"/>
    <x v="25"/>
    <x v="1"/>
    <x v="16"/>
    <n v="1.34"/>
    <x v="17"/>
    <x v="0"/>
    <m/>
    <m/>
    <m/>
    <m/>
    <m/>
    <m/>
    <m/>
    <m/>
    <m/>
    <m/>
  </r>
  <r>
    <x v="7"/>
    <n v="126492"/>
    <x v="7"/>
    <x v="2"/>
    <x v="21"/>
    <n v="0.88"/>
    <x v="16"/>
    <x v="1"/>
    <m/>
    <m/>
    <m/>
    <m/>
    <m/>
    <m/>
    <m/>
    <m/>
    <m/>
    <m/>
  </r>
  <r>
    <x v="19"/>
    <n v="149635"/>
    <x v="11"/>
    <x v="1"/>
    <x v="51"/>
    <n v="0.56000000000000005"/>
    <x v="38"/>
    <x v="2"/>
    <m/>
    <m/>
    <m/>
    <m/>
    <m/>
    <m/>
    <m/>
    <m/>
    <m/>
    <m/>
  </r>
  <r>
    <x v="15"/>
    <n v="99368"/>
    <x v="11"/>
    <x v="0"/>
    <x v="65"/>
    <n v="0.96"/>
    <x v="1"/>
    <x v="1"/>
    <m/>
    <m/>
    <m/>
    <m/>
    <m/>
    <m/>
    <m/>
    <m/>
    <m/>
    <m/>
  </r>
  <r>
    <x v="0"/>
    <n v="94344"/>
    <x v="24"/>
    <x v="3"/>
    <x v="4"/>
    <n v="1.17"/>
    <x v="28"/>
    <x v="0"/>
    <m/>
    <m/>
    <m/>
    <m/>
    <m/>
    <m/>
    <m/>
    <m/>
    <m/>
    <m/>
  </r>
  <r>
    <x v="13"/>
    <n v="79223"/>
    <x v="14"/>
    <x v="2"/>
    <x v="59"/>
    <n v="1.17"/>
    <x v="26"/>
    <x v="2"/>
    <m/>
    <m/>
    <m/>
    <m/>
    <m/>
    <m/>
    <m/>
    <m/>
    <m/>
    <m/>
  </r>
  <r>
    <x v="2"/>
    <n v="68907"/>
    <x v="18"/>
    <x v="3"/>
    <x v="81"/>
    <n v="1.07"/>
    <x v="17"/>
    <x v="0"/>
    <m/>
    <m/>
    <m/>
    <m/>
    <m/>
    <m/>
    <m/>
    <m/>
    <m/>
    <m/>
  </r>
  <r>
    <x v="18"/>
    <n v="115733"/>
    <x v="18"/>
    <x v="0"/>
    <x v="41"/>
    <n v="1.08"/>
    <x v="54"/>
    <x v="1"/>
    <m/>
    <m/>
    <m/>
    <m/>
    <m/>
    <m/>
    <m/>
    <m/>
    <m/>
    <m/>
  </r>
  <r>
    <x v="13"/>
    <n v="80281"/>
    <x v="8"/>
    <x v="3"/>
    <x v="83"/>
    <n v="1.1000000000000001"/>
    <x v="8"/>
    <x v="2"/>
    <m/>
    <m/>
    <m/>
    <m/>
    <m/>
    <m/>
    <m/>
    <m/>
    <m/>
    <m/>
  </r>
  <r>
    <x v="14"/>
    <n v="128203"/>
    <x v="7"/>
    <x v="0"/>
    <x v="5"/>
    <n v="0.82"/>
    <x v="58"/>
    <x v="2"/>
    <m/>
    <m/>
    <m/>
    <m/>
    <m/>
    <m/>
    <m/>
    <m/>
    <m/>
    <m/>
  </r>
  <r>
    <x v="8"/>
    <n v="96416"/>
    <x v="17"/>
    <x v="2"/>
    <x v="50"/>
    <n v="1.41"/>
    <x v="49"/>
    <x v="2"/>
    <m/>
    <m/>
    <m/>
    <m/>
    <m/>
    <m/>
    <m/>
    <m/>
    <m/>
    <m/>
  </r>
  <r>
    <x v="15"/>
    <n v="59825"/>
    <x v="20"/>
    <x v="2"/>
    <x v="38"/>
    <n v="1.33"/>
    <x v="27"/>
    <x v="1"/>
    <m/>
    <m/>
    <m/>
    <m/>
    <m/>
    <m/>
    <m/>
    <m/>
    <m/>
    <m/>
  </r>
  <r>
    <x v="4"/>
    <n v="42795"/>
    <x v="18"/>
    <x v="2"/>
    <x v="8"/>
    <n v="1.41"/>
    <x v="36"/>
    <x v="2"/>
    <m/>
    <m/>
    <m/>
    <m/>
    <m/>
    <m/>
    <m/>
    <m/>
    <m/>
    <m/>
  </r>
  <r>
    <x v="10"/>
    <n v="127391"/>
    <x v="29"/>
    <x v="3"/>
    <x v="0"/>
    <n v="1.18"/>
    <x v="11"/>
    <x v="2"/>
    <m/>
    <m/>
    <m/>
    <m/>
    <m/>
    <m/>
    <m/>
    <m/>
    <m/>
    <m/>
  </r>
  <r>
    <x v="11"/>
    <n v="87635"/>
    <x v="28"/>
    <x v="3"/>
    <x v="89"/>
    <n v="1.29"/>
    <x v="55"/>
    <x v="2"/>
    <m/>
    <m/>
    <m/>
    <m/>
    <m/>
    <m/>
    <m/>
    <m/>
    <m/>
    <m/>
  </r>
  <r>
    <x v="13"/>
    <n v="111115"/>
    <x v="29"/>
    <x v="3"/>
    <x v="69"/>
    <n v="0.75"/>
    <x v="12"/>
    <x v="2"/>
    <m/>
    <m/>
    <m/>
    <m/>
    <m/>
    <m/>
    <m/>
    <m/>
    <m/>
    <m/>
  </r>
  <r>
    <x v="5"/>
    <n v="87392"/>
    <x v="27"/>
    <x v="0"/>
    <x v="67"/>
    <n v="0.82"/>
    <x v="61"/>
    <x v="1"/>
    <m/>
    <m/>
    <m/>
    <m/>
    <m/>
    <m/>
    <m/>
    <m/>
    <m/>
    <m/>
  </r>
  <r>
    <x v="0"/>
    <n v="100143"/>
    <x v="24"/>
    <x v="3"/>
    <x v="47"/>
    <n v="1.17"/>
    <x v="9"/>
    <x v="0"/>
    <m/>
    <m/>
    <m/>
    <m/>
    <m/>
    <m/>
    <m/>
    <m/>
    <m/>
    <m/>
  </r>
  <r>
    <x v="9"/>
    <n v="94863"/>
    <x v="18"/>
    <x v="2"/>
    <x v="11"/>
    <n v="0.6"/>
    <x v="90"/>
    <x v="0"/>
    <m/>
    <m/>
    <m/>
    <m/>
    <m/>
    <m/>
    <m/>
    <m/>
    <m/>
    <m/>
  </r>
  <r>
    <x v="8"/>
    <n v="48819"/>
    <x v="21"/>
    <x v="2"/>
    <x v="8"/>
    <n v="1.19"/>
    <x v="25"/>
    <x v="2"/>
    <m/>
    <m/>
    <m/>
    <m/>
    <m/>
    <m/>
    <m/>
    <m/>
    <m/>
    <m/>
  </r>
  <r>
    <x v="3"/>
    <n v="142255"/>
    <x v="12"/>
    <x v="0"/>
    <x v="42"/>
    <n v="0.67"/>
    <x v="57"/>
    <x v="2"/>
    <m/>
    <m/>
    <m/>
    <m/>
    <m/>
    <m/>
    <m/>
    <m/>
    <m/>
    <m/>
  </r>
  <r>
    <x v="5"/>
    <n v="128664"/>
    <x v="15"/>
    <x v="2"/>
    <x v="13"/>
    <n v="1.1200000000000001"/>
    <x v="18"/>
    <x v="1"/>
    <m/>
    <m/>
    <m/>
    <m/>
    <m/>
    <m/>
    <m/>
    <m/>
    <m/>
    <m/>
  </r>
  <r>
    <x v="5"/>
    <n v="33347"/>
    <x v="25"/>
    <x v="3"/>
    <x v="33"/>
    <n v="0.6"/>
    <x v="7"/>
    <x v="1"/>
    <m/>
    <m/>
    <m/>
    <m/>
    <m/>
    <m/>
    <m/>
    <m/>
    <m/>
    <m/>
  </r>
  <r>
    <x v="10"/>
    <n v="105618"/>
    <x v="14"/>
    <x v="0"/>
    <x v="51"/>
    <n v="1.34"/>
    <x v="12"/>
    <x v="2"/>
    <m/>
    <m/>
    <m/>
    <m/>
    <m/>
    <m/>
    <m/>
    <m/>
    <m/>
    <m/>
  </r>
  <r>
    <x v="3"/>
    <n v="135309"/>
    <x v="22"/>
    <x v="1"/>
    <x v="38"/>
    <n v="0.99"/>
    <x v="12"/>
    <x v="2"/>
    <m/>
    <m/>
    <m/>
    <m/>
    <m/>
    <m/>
    <m/>
    <m/>
    <m/>
    <m/>
  </r>
  <r>
    <x v="18"/>
    <n v="78276"/>
    <x v="11"/>
    <x v="3"/>
    <x v="15"/>
    <n v="0.9"/>
    <x v="16"/>
    <x v="1"/>
    <m/>
    <m/>
    <m/>
    <m/>
    <m/>
    <m/>
    <m/>
    <m/>
    <m/>
    <m/>
  </r>
  <r>
    <x v="9"/>
    <n v="145269"/>
    <x v="9"/>
    <x v="1"/>
    <x v="84"/>
    <n v="1.22"/>
    <x v="56"/>
    <x v="0"/>
    <m/>
    <m/>
    <m/>
    <m/>
    <m/>
    <m/>
    <m/>
    <m/>
    <m/>
    <m/>
  </r>
  <r>
    <x v="9"/>
    <n v="47060"/>
    <x v="28"/>
    <x v="3"/>
    <x v="49"/>
    <n v="1.1499999999999999"/>
    <x v="35"/>
    <x v="0"/>
    <m/>
    <m/>
    <m/>
    <m/>
    <m/>
    <m/>
    <m/>
    <m/>
    <m/>
    <m/>
  </r>
  <r>
    <x v="9"/>
    <n v="118307"/>
    <x v="15"/>
    <x v="3"/>
    <x v="86"/>
    <n v="0.56999999999999995"/>
    <x v="17"/>
    <x v="0"/>
    <m/>
    <m/>
    <m/>
    <m/>
    <m/>
    <m/>
    <m/>
    <m/>
    <m/>
    <m/>
  </r>
  <r>
    <x v="14"/>
    <n v="98140"/>
    <x v="22"/>
    <x v="0"/>
    <x v="70"/>
    <n v="1.43"/>
    <x v="51"/>
    <x v="0"/>
    <m/>
    <m/>
    <m/>
    <m/>
    <m/>
    <m/>
    <m/>
    <m/>
    <m/>
    <m/>
  </r>
  <r>
    <x v="14"/>
    <n v="145092"/>
    <x v="15"/>
    <x v="0"/>
    <x v="35"/>
    <n v="1.3"/>
    <x v="81"/>
    <x v="0"/>
    <m/>
    <m/>
    <m/>
    <m/>
    <m/>
    <m/>
    <m/>
    <m/>
    <m/>
    <m/>
  </r>
  <r>
    <x v="9"/>
    <n v="122965"/>
    <x v="10"/>
    <x v="0"/>
    <x v="61"/>
    <n v="1.36"/>
    <x v="24"/>
    <x v="0"/>
    <m/>
    <m/>
    <m/>
    <m/>
    <m/>
    <m/>
    <m/>
    <m/>
    <m/>
    <m/>
  </r>
  <r>
    <x v="14"/>
    <n v="138204"/>
    <x v="4"/>
    <x v="3"/>
    <x v="12"/>
    <n v="0.57999999999999996"/>
    <x v="89"/>
    <x v="0"/>
    <m/>
    <m/>
    <m/>
    <m/>
    <m/>
    <m/>
    <m/>
    <m/>
    <m/>
    <m/>
  </r>
  <r>
    <x v="13"/>
    <n v="138500"/>
    <x v="13"/>
    <x v="3"/>
    <x v="58"/>
    <n v="1.28"/>
    <x v="33"/>
    <x v="2"/>
    <m/>
    <m/>
    <m/>
    <m/>
    <m/>
    <m/>
    <m/>
    <m/>
    <m/>
    <m/>
  </r>
  <r>
    <x v="16"/>
    <n v="49728"/>
    <x v="8"/>
    <x v="3"/>
    <x v="25"/>
    <n v="1.08"/>
    <x v="28"/>
    <x v="0"/>
    <m/>
    <m/>
    <m/>
    <m/>
    <m/>
    <m/>
    <m/>
    <m/>
    <m/>
    <m/>
  </r>
  <r>
    <x v="11"/>
    <n v="79108"/>
    <x v="3"/>
    <x v="2"/>
    <x v="60"/>
    <n v="1.08"/>
    <x v="20"/>
    <x v="2"/>
    <m/>
    <m/>
    <m/>
    <m/>
    <m/>
    <m/>
    <m/>
    <m/>
    <m/>
    <m/>
  </r>
  <r>
    <x v="19"/>
    <n v="114724"/>
    <x v="1"/>
    <x v="2"/>
    <x v="60"/>
    <n v="1.3"/>
    <x v="6"/>
    <x v="2"/>
    <m/>
    <m/>
    <m/>
    <m/>
    <m/>
    <m/>
    <m/>
    <m/>
    <m/>
    <m/>
  </r>
  <r>
    <x v="19"/>
    <n v="123566"/>
    <x v="26"/>
    <x v="2"/>
    <x v="98"/>
    <n v="0.51"/>
    <x v="8"/>
    <x v="2"/>
    <m/>
    <m/>
    <m/>
    <m/>
    <m/>
    <m/>
    <m/>
    <m/>
    <m/>
    <m/>
  </r>
  <r>
    <x v="16"/>
    <n v="33984"/>
    <x v="24"/>
    <x v="3"/>
    <x v="49"/>
    <n v="1.19"/>
    <x v="9"/>
    <x v="0"/>
    <m/>
    <m/>
    <m/>
    <m/>
    <m/>
    <m/>
    <m/>
    <m/>
    <m/>
    <m/>
  </r>
  <r>
    <x v="17"/>
    <n v="140839"/>
    <x v="28"/>
    <x v="2"/>
    <x v="99"/>
    <n v="0.53"/>
    <x v="20"/>
    <x v="2"/>
    <m/>
    <m/>
    <m/>
    <m/>
    <m/>
    <m/>
    <m/>
    <m/>
    <m/>
    <m/>
  </r>
  <r>
    <x v="19"/>
    <n v="78481"/>
    <x v="14"/>
    <x v="2"/>
    <x v="69"/>
    <n v="0.67"/>
    <x v="58"/>
    <x v="2"/>
    <m/>
    <m/>
    <m/>
    <m/>
    <m/>
    <m/>
    <m/>
    <m/>
    <m/>
    <m/>
  </r>
  <r>
    <x v="4"/>
    <n v="101343"/>
    <x v="26"/>
    <x v="3"/>
    <x v="97"/>
    <n v="0.51"/>
    <x v="71"/>
    <x v="2"/>
    <m/>
    <m/>
    <m/>
    <m/>
    <m/>
    <m/>
    <m/>
    <m/>
    <m/>
    <m/>
  </r>
  <r>
    <x v="1"/>
    <n v="84034"/>
    <x v="27"/>
    <x v="0"/>
    <x v="88"/>
    <n v="1.0900000000000001"/>
    <x v="15"/>
    <x v="1"/>
    <m/>
    <m/>
    <m/>
    <m/>
    <m/>
    <m/>
    <m/>
    <m/>
    <m/>
    <m/>
  </r>
  <r>
    <x v="6"/>
    <n v="66419"/>
    <x v="25"/>
    <x v="0"/>
    <x v="89"/>
    <n v="0.87"/>
    <x v="48"/>
    <x v="2"/>
    <m/>
    <m/>
    <m/>
    <m/>
    <m/>
    <m/>
    <m/>
    <m/>
    <m/>
    <m/>
  </r>
  <r>
    <x v="13"/>
    <n v="79357"/>
    <x v="21"/>
    <x v="2"/>
    <x v="58"/>
    <n v="0.81"/>
    <x v="6"/>
    <x v="2"/>
    <m/>
    <m/>
    <m/>
    <m/>
    <m/>
    <m/>
    <m/>
    <m/>
    <m/>
    <m/>
  </r>
  <r>
    <x v="18"/>
    <n v="99064"/>
    <x v="16"/>
    <x v="3"/>
    <x v="76"/>
    <n v="1.36"/>
    <x v="16"/>
    <x v="1"/>
    <m/>
    <m/>
    <m/>
    <m/>
    <m/>
    <m/>
    <m/>
    <m/>
    <m/>
    <m/>
  </r>
  <r>
    <x v="8"/>
    <n v="44280"/>
    <x v="2"/>
    <x v="3"/>
    <x v="17"/>
    <n v="1.25"/>
    <x v="69"/>
    <x v="2"/>
    <m/>
    <m/>
    <m/>
    <m/>
    <m/>
    <m/>
    <m/>
    <m/>
    <m/>
    <m/>
  </r>
  <r>
    <x v="2"/>
    <n v="49691"/>
    <x v="27"/>
    <x v="0"/>
    <x v="26"/>
    <n v="1.05"/>
    <x v="28"/>
    <x v="0"/>
    <m/>
    <m/>
    <m/>
    <m/>
    <m/>
    <m/>
    <m/>
    <m/>
    <m/>
    <m/>
  </r>
  <r>
    <x v="12"/>
    <n v="95234"/>
    <x v="21"/>
    <x v="3"/>
    <x v="70"/>
    <n v="1.28"/>
    <x v="30"/>
    <x v="2"/>
    <m/>
    <m/>
    <m/>
    <m/>
    <m/>
    <m/>
    <m/>
    <m/>
    <m/>
    <m/>
  </r>
  <r>
    <x v="13"/>
    <n v="63783"/>
    <x v="2"/>
    <x v="2"/>
    <x v="79"/>
    <n v="1"/>
    <x v="12"/>
    <x v="2"/>
    <m/>
    <m/>
    <m/>
    <m/>
    <m/>
    <m/>
    <m/>
    <m/>
    <m/>
    <m/>
  </r>
  <r>
    <x v="8"/>
    <n v="95609"/>
    <x v="27"/>
    <x v="2"/>
    <x v="44"/>
    <n v="1.1100000000000001"/>
    <x v="3"/>
    <x v="2"/>
    <m/>
    <m/>
    <m/>
    <m/>
    <m/>
    <m/>
    <m/>
    <m/>
    <m/>
    <m/>
  </r>
  <r>
    <x v="19"/>
    <n v="34590"/>
    <x v="1"/>
    <x v="1"/>
    <x v="86"/>
    <n v="1.01"/>
    <x v="72"/>
    <x v="2"/>
    <m/>
    <m/>
    <m/>
    <m/>
    <m/>
    <m/>
    <m/>
    <m/>
    <m/>
    <m/>
  </r>
  <r>
    <x v="4"/>
    <n v="141463"/>
    <x v="17"/>
    <x v="0"/>
    <x v="52"/>
    <n v="1.05"/>
    <x v="68"/>
    <x v="2"/>
    <m/>
    <m/>
    <m/>
    <m/>
    <m/>
    <m/>
    <m/>
    <m/>
    <m/>
    <m/>
  </r>
  <r>
    <x v="16"/>
    <n v="90891"/>
    <x v="4"/>
    <x v="3"/>
    <x v="61"/>
    <n v="1.24"/>
    <x v="9"/>
    <x v="0"/>
    <m/>
    <m/>
    <m/>
    <m/>
    <m/>
    <m/>
    <m/>
    <m/>
    <m/>
    <m/>
  </r>
  <r>
    <x v="12"/>
    <n v="127976"/>
    <x v="10"/>
    <x v="2"/>
    <x v="5"/>
    <n v="1.03"/>
    <x v="4"/>
    <x v="2"/>
    <m/>
    <m/>
    <m/>
    <m/>
    <m/>
    <m/>
    <m/>
    <m/>
    <m/>
    <m/>
  </r>
  <r>
    <x v="0"/>
    <n v="137046"/>
    <x v="11"/>
    <x v="0"/>
    <x v="95"/>
    <n v="1.05"/>
    <x v="9"/>
    <x v="0"/>
    <m/>
    <m/>
    <m/>
    <m/>
    <m/>
    <m/>
    <m/>
    <m/>
    <m/>
    <m/>
  </r>
  <r>
    <x v="15"/>
    <n v="51058"/>
    <x v="15"/>
    <x v="1"/>
    <x v="9"/>
    <n v="1.35"/>
    <x v="70"/>
    <x v="1"/>
    <m/>
    <m/>
    <m/>
    <m/>
    <m/>
    <m/>
    <m/>
    <m/>
    <m/>
    <m/>
  </r>
  <r>
    <x v="9"/>
    <n v="34258"/>
    <x v="27"/>
    <x v="0"/>
    <x v="64"/>
    <n v="1.23"/>
    <x v="51"/>
    <x v="0"/>
    <m/>
    <m/>
    <m/>
    <m/>
    <m/>
    <m/>
    <m/>
    <m/>
    <m/>
    <m/>
  </r>
  <r>
    <x v="16"/>
    <n v="107273"/>
    <x v="0"/>
    <x v="1"/>
    <x v="70"/>
    <n v="0.8"/>
    <x v="73"/>
    <x v="0"/>
    <m/>
    <m/>
    <m/>
    <m/>
    <m/>
    <m/>
    <m/>
    <m/>
    <m/>
    <m/>
  </r>
  <r>
    <x v="18"/>
    <n v="144365"/>
    <x v="13"/>
    <x v="1"/>
    <x v="32"/>
    <n v="0.98"/>
    <x v="34"/>
    <x v="1"/>
    <m/>
    <m/>
    <m/>
    <m/>
    <m/>
    <m/>
    <m/>
    <m/>
    <m/>
    <m/>
  </r>
  <r>
    <x v="4"/>
    <n v="91146"/>
    <x v="20"/>
    <x v="3"/>
    <x v="51"/>
    <n v="1.18"/>
    <x v="57"/>
    <x v="2"/>
    <m/>
    <m/>
    <m/>
    <m/>
    <m/>
    <m/>
    <m/>
    <m/>
    <m/>
    <m/>
  </r>
  <r>
    <x v="13"/>
    <n v="139759"/>
    <x v="1"/>
    <x v="1"/>
    <x v="31"/>
    <n v="1.23"/>
    <x v="25"/>
    <x v="2"/>
    <m/>
    <m/>
    <m/>
    <m/>
    <m/>
    <m/>
    <m/>
    <m/>
    <m/>
    <m/>
  </r>
  <r>
    <x v="2"/>
    <n v="89087"/>
    <x v="28"/>
    <x v="0"/>
    <x v="7"/>
    <n v="0.59"/>
    <x v="51"/>
    <x v="0"/>
    <m/>
    <m/>
    <m/>
    <m/>
    <m/>
    <m/>
    <m/>
    <m/>
    <m/>
    <m/>
  </r>
  <r>
    <x v="17"/>
    <n v="105692"/>
    <x v="24"/>
    <x v="1"/>
    <x v="57"/>
    <n v="0.76"/>
    <x v="79"/>
    <x v="2"/>
    <m/>
    <m/>
    <m/>
    <m/>
    <m/>
    <m/>
    <m/>
    <m/>
    <m/>
    <m/>
  </r>
  <r>
    <x v="8"/>
    <n v="94930"/>
    <x v="27"/>
    <x v="2"/>
    <x v="31"/>
    <n v="0.56000000000000005"/>
    <x v="12"/>
    <x v="2"/>
    <m/>
    <m/>
    <m/>
    <m/>
    <m/>
    <m/>
    <m/>
    <m/>
    <m/>
    <m/>
  </r>
  <r>
    <x v="15"/>
    <n v="80852"/>
    <x v="6"/>
    <x v="1"/>
    <x v="46"/>
    <n v="1.08"/>
    <x v="34"/>
    <x v="1"/>
    <m/>
    <m/>
    <m/>
    <m/>
    <m/>
    <m/>
    <m/>
    <m/>
    <m/>
    <m/>
  </r>
  <r>
    <x v="4"/>
    <n v="135857"/>
    <x v="21"/>
    <x v="2"/>
    <x v="80"/>
    <n v="0.96"/>
    <x v="12"/>
    <x v="2"/>
    <m/>
    <m/>
    <m/>
    <m/>
    <m/>
    <m/>
    <m/>
    <m/>
    <m/>
    <m/>
  </r>
  <r>
    <x v="5"/>
    <n v="118816"/>
    <x v="19"/>
    <x v="0"/>
    <x v="87"/>
    <n v="1.07"/>
    <x v="37"/>
    <x v="1"/>
    <m/>
    <m/>
    <m/>
    <m/>
    <m/>
    <m/>
    <m/>
    <m/>
    <m/>
    <m/>
  </r>
  <r>
    <x v="12"/>
    <n v="73906"/>
    <x v="20"/>
    <x v="1"/>
    <x v="1"/>
    <n v="1.1100000000000001"/>
    <x v="65"/>
    <x v="2"/>
    <m/>
    <m/>
    <m/>
    <m/>
    <m/>
    <m/>
    <m/>
    <m/>
    <m/>
    <m/>
  </r>
  <r>
    <x v="1"/>
    <n v="79723"/>
    <x v="6"/>
    <x v="0"/>
    <x v="19"/>
    <n v="1.43"/>
    <x v="13"/>
    <x v="1"/>
    <m/>
    <m/>
    <m/>
    <m/>
    <m/>
    <m/>
    <m/>
    <m/>
    <m/>
    <m/>
  </r>
  <r>
    <x v="18"/>
    <n v="98457"/>
    <x v="20"/>
    <x v="0"/>
    <x v="18"/>
    <n v="1.1599999999999999"/>
    <x v="15"/>
    <x v="1"/>
    <m/>
    <m/>
    <m/>
    <m/>
    <m/>
    <m/>
    <m/>
    <m/>
    <m/>
    <m/>
  </r>
  <r>
    <x v="8"/>
    <n v="35659"/>
    <x v="14"/>
    <x v="2"/>
    <x v="91"/>
    <n v="0.81"/>
    <x v="36"/>
    <x v="2"/>
    <m/>
    <m/>
    <m/>
    <m/>
    <m/>
    <m/>
    <m/>
    <m/>
    <m/>
    <m/>
  </r>
  <r>
    <x v="15"/>
    <n v="114295"/>
    <x v="26"/>
    <x v="0"/>
    <x v="32"/>
    <n v="1.35"/>
    <x v="27"/>
    <x v="1"/>
    <m/>
    <m/>
    <m/>
    <m/>
    <m/>
    <m/>
    <m/>
    <m/>
    <m/>
    <m/>
  </r>
  <r>
    <x v="15"/>
    <n v="128989"/>
    <x v="28"/>
    <x v="2"/>
    <x v="42"/>
    <n v="0.51"/>
    <x v="63"/>
    <x v="1"/>
    <m/>
    <m/>
    <m/>
    <m/>
    <m/>
    <m/>
    <m/>
    <m/>
    <m/>
    <m/>
  </r>
  <r>
    <x v="8"/>
    <n v="125011"/>
    <x v="21"/>
    <x v="2"/>
    <x v="92"/>
    <n v="0.57999999999999996"/>
    <x v="64"/>
    <x v="2"/>
    <m/>
    <m/>
    <m/>
    <m/>
    <m/>
    <m/>
    <m/>
    <m/>
    <m/>
    <m/>
  </r>
  <r>
    <x v="1"/>
    <n v="70372"/>
    <x v="19"/>
    <x v="3"/>
    <x v="34"/>
    <n v="0.56000000000000005"/>
    <x v="75"/>
    <x v="1"/>
    <m/>
    <m/>
    <m/>
    <m/>
    <m/>
    <m/>
    <m/>
    <m/>
    <m/>
    <m/>
  </r>
  <r>
    <x v="11"/>
    <n v="37203"/>
    <x v="0"/>
    <x v="2"/>
    <x v="59"/>
    <n v="1.28"/>
    <x v="86"/>
    <x v="2"/>
    <m/>
    <m/>
    <m/>
    <m/>
    <m/>
    <m/>
    <m/>
    <m/>
    <m/>
    <m/>
  </r>
  <r>
    <x v="19"/>
    <n v="72928"/>
    <x v="18"/>
    <x v="2"/>
    <x v="22"/>
    <n v="0.78"/>
    <x v="84"/>
    <x v="2"/>
    <m/>
    <m/>
    <m/>
    <m/>
    <m/>
    <m/>
    <m/>
    <m/>
    <m/>
    <m/>
  </r>
  <r>
    <x v="10"/>
    <n v="42568"/>
    <x v="23"/>
    <x v="1"/>
    <x v="56"/>
    <n v="1.4"/>
    <x v="71"/>
    <x v="2"/>
    <m/>
    <m/>
    <m/>
    <m/>
    <m/>
    <m/>
    <m/>
    <m/>
    <m/>
    <m/>
  </r>
  <r>
    <x v="12"/>
    <n v="147982"/>
    <x v="0"/>
    <x v="3"/>
    <x v="4"/>
    <n v="1.04"/>
    <x v="87"/>
    <x v="2"/>
    <m/>
    <m/>
    <m/>
    <m/>
    <m/>
    <m/>
    <m/>
    <m/>
    <m/>
    <m/>
  </r>
  <r>
    <x v="3"/>
    <n v="81011"/>
    <x v="24"/>
    <x v="1"/>
    <x v="15"/>
    <n v="1.05"/>
    <x v="8"/>
    <x v="2"/>
    <m/>
    <m/>
    <m/>
    <m/>
    <m/>
    <m/>
    <m/>
    <m/>
    <m/>
    <m/>
  </r>
  <r>
    <x v="12"/>
    <n v="148691"/>
    <x v="14"/>
    <x v="1"/>
    <x v="90"/>
    <n v="0.6"/>
    <x v="10"/>
    <x v="2"/>
    <m/>
    <m/>
    <m/>
    <m/>
    <m/>
    <m/>
    <m/>
    <m/>
    <m/>
    <m/>
  </r>
  <r>
    <x v="10"/>
    <n v="139014"/>
    <x v="26"/>
    <x v="1"/>
    <x v="3"/>
    <n v="1.03"/>
    <x v="30"/>
    <x v="2"/>
    <m/>
    <m/>
    <m/>
    <m/>
    <m/>
    <m/>
    <m/>
    <m/>
    <m/>
    <m/>
  </r>
  <r>
    <x v="17"/>
    <n v="111164"/>
    <x v="0"/>
    <x v="0"/>
    <x v="94"/>
    <n v="1.25"/>
    <x v="69"/>
    <x v="2"/>
    <m/>
    <m/>
    <m/>
    <m/>
    <m/>
    <m/>
    <m/>
    <m/>
    <m/>
    <m/>
  </r>
  <r>
    <x v="12"/>
    <n v="37529"/>
    <x v="20"/>
    <x v="3"/>
    <x v="91"/>
    <n v="0.61"/>
    <x v="45"/>
    <x v="2"/>
    <m/>
    <m/>
    <m/>
    <m/>
    <m/>
    <m/>
    <m/>
    <m/>
    <m/>
    <m/>
  </r>
  <r>
    <x v="15"/>
    <n v="125707"/>
    <x v="14"/>
    <x v="0"/>
    <x v="94"/>
    <n v="1.1399999999999999"/>
    <x v="75"/>
    <x v="1"/>
    <m/>
    <m/>
    <m/>
    <m/>
    <m/>
    <m/>
    <m/>
    <m/>
    <m/>
    <m/>
  </r>
  <r>
    <x v="17"/>
    <n v="139633"/>
    <x v="6"/>
    <x v="1"/>
    <x v="48"/>
    <n v="0.51"/>
    <x v="57"/>
    <x v="2"/>
    <m/>
    <m/>
    <m/>
    <m/>
    <m/>
    <m/>
    <m/>
    <m/>
    <m/>
    <m/>
  </r>
  <r>
    <x v="5"/>
    <n v="75477"/>
    <x v="2"/>
    <x v="1"/>
    <x v="81"/>
    <n v="0.8"/>
    <x v="27"/>
    <x v="1"/>
    <m/>
    <m/>
    <m/>
    <m/>
    <m/>
    <m/>
    <m/>
    <m/>
    <m/>
    <m/>
  </r>
  <r>
    <x v="7"/>
    <n v="84756"/>
    <x v="0"/>
    <x v="1"/>
    <x v="23"/>
    <n v="0.78"/>
    <x v="54"/>
    <x v="1"/>
    <m/>
    <m/>
    <m/>
    <m/>
    <m/>
    <m/>
    <m/>
    <m/>
    <m/>
    <m/>
  </r>
  <r>
    <x v="7"/>
    <n v="67309"/>
    <x v="7"/>
    <x v="2"/>
    <x v="88"/>
    <n v="0.72"/>
    <x v="42"/>
    <x v="1"/>
    <m/>
    <m/>
    <m/>
    <m/>
    <m/>
    <m/>
    <m/>
    <m/>
    <m/>
    <m/>
  </r>
  <r>
    <x v="1"/>
    <n v="130043"/>
    <x v="1"/>
    <x v="0"/>
    <x v="94"/>
    <n v="1.26"/>
    <x v="13"/>
    <x v="1"/>
    <m/>
    <m/>
    <m/>
    <m/>
    <m/>
    <m/>
    <m/>
    <m/>
    <m/>
    <m/>
  </r>
  <r>
    <x v="10"/>
    <n v="101880"/>
    <x v="26"/>
    <x v="1"/>
    <x v="41"/>
    <n v="0.69"/>
    <x v="50"/>
    <x v="2"/>
    <m/>
    <m/>
    <m/>
    <m/>
    <m/>
    <m/>
    <m/>
    <m/>
    <m/>
    <m/>
  </r>
  <r>
    <x v="10"/>
    <n v="37011"/>
    <x v="21"/>
    <x v="0"/>
    <x v="76"/>
    <n v="0.74"/>
    <x v="8"/>
    <x v="2"/>
    <m/>
    <m/>
    <m/>
    <m/>
    <m/>
    <m/>
    <m/>
    <m/>
    <m/>
    <m/>
  </r>
  <r>
    <x v="0"/>
    <n v="89658"/>
    <x v="24"/>
    <x v="0"/>
    <x v="71"/>
    <n v="1.43"/>
    <x v="81"/>
    <x v="0"/>
    <m/>
    <m/>
    <m/>
    <m/>
    <m/>
    <m/>
    <m/>
    <m/>
    <m/>
    <m/>
  </r>
  <r>
    <x v="2"/>
    <n v="99720"/>
    <x v="9"/>
    <x v="1"/>
    <x v="92"/>
    <n v="1.39"/>
    <x v="58"/>
    <x v="2"/>
    <m/>
    <m/>
    <m/>
    <m/>
    <m/>
    <m/>
    <m/>
    <m/>
    <m/>
    <m/>
  </r>
  <r>
    <x v="17"/>
    <n v="115934"/>
    <x v="3"/>
    <x v="1"/>
    <x v="57"/>
    <n v="0.5"/>
    <x v="79"/>
    <x v="2"/>
    <m/>
    <m/>
    <m/>
    <m/>
    <m/>
    <m/>
    <m/>
    <m/>
    <m/>
    <m/>
  </r>
  <r>
    <x v="7"/>
    <n v="104713"/>
    <x v="3"/>
    <x v="2"/>
    <x v="26"/>
    <n v="1.49"/>
    <x v="34"/>
    <x v="1"/>
    <m/>
    <m/>
    <m/>
    <m/>
    <m/>
    <m/>
    <m/>
    <m/>
    <m/>
    <m/>
  </r>
  <r>
    <x v="14"/>
    <n v="51622"/>
    <x v="7"/>
    <x v="2"/>
    <x v="15"/>
    <n v="1.49"/>
    <x v="83"/>
    <x v="0"/>
    <m/>
    <m/>
    <m/>
    <m/>
    <m/>
    <m/>
    <m/>
    <m/>
    <m/>
    <m/>
  </r>
  <r>
    <x v="1"/>
    <n v="118635"/>
    <x v="26"/>
    <x v="1"/>
    <x v="96"/>
    <n v="0.89"/>
    <x v="74"/>
    <x v="1"/>
    <m/>
    <m/>
    <m/>
    <m/>
    <m/>
    <m/>
    <m/>
    <m/>
    <m/>
    <m/>
  </r>
  <r>
    <x v="0"/>
    <n v="58645"/>
    <x v="17"/>
    <x v="3"/>
    <x v="72"/>
    <n v="0.51"/>
    <x v="90"/>
    <x v="0"/>
    <m/>
    <m/>
    <m/>
    <m/>
    <m/>
    <m/>
    <m/>
    <m/>
    <m/>
    <m/>
  </r>
  <r>
    <x v="13"/>
    <n v="74511"/>
    <x v="29"/>
    <x v="1"/>
    <x v="31"/>
    <n v="1.07"/>
    <x v="69"/>
    <x v="2"/>
    <m/>
    <m/>
    <m/>
    <m/>
    <m/>
    <m/>
    <m/>
    <m/>
    <m/>
    <m/>
  </r>
  <r>
    <x v="8"/>
    <n v="101013"/>
    <x v="11"/>
    <x v="3"/>
    <x v="93"/>
    <n v="1.47"/>
    <x v="86"/>
    <x v="2"/>
    <m/>
    <m/>
    <m/>
    <m/>
    <m/>
    <m/>
    <m/>
    <m/>
    <m/>
    <m/>
  </r>
  <r>
    <x v="19"/>
    <n v="131277"/>
    <x v="17"/>
    <x v="0"/>
    <x v="43"/>
    <n v="0.93"/>
    <x v="31"/>
    <x v="2"/>
    <m/>
    <m/>
    <m/>
    <m/>
    <m/>
    <m/>
    <m/>
    <m/>
    <m/>
    <m/>
  </r>
  <r>
    <x v="4"/>
    <n v="47881"/>
    <x v="0"/>
    <x v="3"/>
    <x v="66"/>
    <n v="1.42"/>
    <x v="25"/>
    <x v="2"/>
    <m/>
    <m/>
    <m/>
    <m/>
    <m/>
    <m/>
    <m/>
    <m/>
    <m/>
    <m/>
  </r>
  <r>
    <x v="3"/>
    <n v="109741"/>
    <x v="17"/>
    <x v="3"/>
    <x v="8"/>
    <n v="1.36"/>
    <x v="48"/>
    <x v="2"/>
    <m/>
    <m/>
    <m/>
    <m/>
    <m/>
    <m/>
    <m/>
    <m/>
    <m/>
    <m/>
  </r>
  <r>
    <x v="9"/>
    <n v="126509"/>
    <x v="5"/>
    <x v="1"/>
    <x v="77"/>
    <n v="1.1200000000000001"/>
    <x v="2"/>
    <x v="0"/>
    <m/>
    <m/>
    <m/>
    <m/>
    <m/>
    <m/>
    <m/>
    <m/>
    <m/>
    <m/>
  </r>
  <r>
    <x v="4"/>
    <n v="85308"/>
    <x v="17"/>
    <x v="3"/>
    <x v="92"/>
    <n v="0.81"/>
    <x v="57"/>
    <x v="2"/>
    <m/>
    <m/>
    <m/>
    <m/>
    <m/>
    <m/>
    <m/>
    <m/>
    <m/>
    <m/>
  </r>
  <r>
    <x v="16"/>
    <n v="41467"/>
    <x v="16"/>
    <x v="0"/>
    <x v="90"/>
    <n v="1.3"/>
    <x v="17"/>
    <x v="0"/>
    <m/>
    <m/>
    <m/>
    <m/>
    <m/>
    <m/>
    <m/>
    <m/>
    <m/>
    <m/>
  </r>
  <r>
    <x v="3"/>
    <n v="82762"/>
    <x v="18"/>
    <x v="2"/>
    <x v="53"/>
    <n v="1.46"/>
    <x v="11"/>
    <x v="2"/>
    <m/>
    <m/>
    <m/>
    <m/>
    <m/>
    <m/>
    <m/>
    <m/>
    <m/>
    <m/>
  </r>
  <r>
    <x v="4"/>
    <n v="125711"/>
    <x v="29"/>
    <x v="1"/>
    <x v="97"/>
    <n v="0.8"/>
    <x v="46"/>
    <x v="2"/>
    <m/>
    <m/>
    <m/>
    <m/>
    <m/>
    <m/>
    <m/>
    <m/>
    <m/>
    <m/>
  </r>
  <r>
    <x v="17"/>
    <n v="131011"/>
    <x v="21"/>
    <x v="2"/>
    <x v="74"/>
    <n v="0.79"/>
    <x v="86"/>
    <x v="2"/>
    <m/>
    <m/>
    <m/>
    <m/>
    <m/>
    <m/>
    <m/>
    <m/>
    <m/>
    <m/>
  </r>
  <r>
    <x v="8"/>
    <n v="36588"/>
    <x v="29"/>
    <x v="3"/>
    <x v="50"/>
    <n v="0.81"/>
    <x v="11"/>
    <x v="2"/>
    <m/>
    <m/>
    <m/>
    <m/>
    <m/>
    <m/>
    <m/>
    <m/>
    <m/>
    <m/>
  </r>
  <r>
    <x v="6"/>
    <n v="133768"/>
    <x v="24"/>
    <x v="2"/>
    <x v="22"/>
    <n v="1.38"/>
    <x v="84"/>
    <x v="2"/>
    <m/>
    <m/>
    <m/>
    <m/>
    <m/>
    <m/>
    <m/>
    <m/>
    <m/>
    <m/>
  </r>
  <r>
    <x v="11"/>
    <n v="149170"/>
    <x v="4"/>
    <x v="2"/>
    <x v="3"/>
    <n v="1.1299999999999999"/>
    <x v="71"/>
    <x v="2"/>
    <m/>
    <m/>
    <m/>
    <m/>
    <m/>
    <m/>
    <m/>
    <m/>
    <m/>
    <m/>
  </r>
  <r>
    <x v="2"/>
    <n v="91860"/>
    <x v="13"/>
    <x v="2"/>
    <x v="78"/>
    <n v="0.64"/>
    <x v="81"/>
    <x v="0"/>
    <m/>
    <m/>
    <m/>
    <m/>
    <m/>
    <m/>
    <m/>
    <m/>
    <m/>
    <m/>
  </r>
  <r>
    <x v="7"/>
    <n v="106206"/>
    <x v="20"/>
    <x v="0"/>
    <x v="34"/>
    <n v="1.36"/>
    <x v="41"/>
    <x v="1"/>
    <m/>
    <m/>
    <m/>
    <m/>
    <m/>
    <m/>
    <m/>
    <m/>
    <m/>
    <m/>
  </r>
  <r>
    <x v="9"/>
    <n v="145155"/>
    <x v="24"/>
    <x v="0"/>
    <x v="0"/>
    <n v="1.32"/>
    <x v="62"/>
    <x v="0"/>
    <m/>
    <m/>
    <m/>
    <m/>
    <m/>
    <m/>
    <m/>
    <m/>
    <m/>
    <m/>
  </r>
  <r>
    <x v="1"/>
    <n v="101812"/>
    <x v="19"/>
    <x v="0"/>
    <x v="68"/>
    <n v="0.59"/>
    <x v="82"/>
    <x v="1"/>
    <m/>
    <m/>
    <m/>
    <m/>
    <m/>
    <m/>
    <m/>
    <m/>
    <m/>
    <m/>
  </r>
  <r>
    <x v="10"/>
    <n v="89199"/>
    <x v="13"/>
    <x v="3"/>
    <x v="82"/>
    <n v="1.1599999999999999"/>
    <x v="87"/>
    <x v="2"/>
    <m/>
    <m/>
    <m/>
    <m/>
    <m/>
    <m/>
    <m/>
    <m/>
    <m/>
    <m/>
  </r>
  <r>
    <x v="7"/>
    <n v="141176"/>
    <x v="2"/>
    <x v="3"/>
    <x v="100"/>
    <n v="0.81"/>
    <x v="75"/>
    <x v="1"/>
    <m/>
    <m/>
    <m/>
    <m/>
    <m/>
    <m/>
    <m/>
    <m/>
    <m/>
    <m/>
  </r>
  <r>
    <x v="3"/>
    <n v="53983"/>
    <x v="17"/>
    <x v="2"/>
    <x v="64"/>
    <n v="1.2"/>
    <x v="23"/>
    <x v="2"/>
    <m/>
    <m/>
    <m/>
    <m/>
    <m/>
    <m/>
    <m/>
    <m/>
    <m/>
    <m/>
  </r>
  <r>
    <x v="9"/>
    <n v="35807"/>
    <x v="28"/>
    <x v="0"/>
    <x v="14"/>
    <n v="1.26"/>
    <x v="39"/>
    <x v="0"/>
    <m/>
    <m/>
    <m/>
    <m/>
    <m/>
    <m/>
    <m/>
    <m/>
    <m/>
    <m/>
  </r>
  <r>
    <x v="6"/>
    <n v="82546"/>
    <x v="15"/>
    <x v="2"/>
    <x v="52"/>
    <n v="0.57999999999999996"/>
    <x v="53"/>
    <x v="2"/>
    <m/>
    <m/>
    <m/>
    <m/>
    <m/>
    <m/>
    <m/>
    <m/>
    <m/>
    <m/>
  </r>
  <r>
    <x v="13"/>
    <n v="40987"/>
    <x v="28"/>
    <x v="1"/>
    <x v="6"/>
    <n v="0.54"/>
    <x v="36"/>
    <x v="2"/>
    <m/>
    <m/>
    <m/>
    <m/>
    <m/>
    <m/>
    <m/>
    <m/>
    <m/>
    <m/>
  </r>
  <r>
    <x v="1"/>
    <n v="116856"/>
    <x v="7"/>
    <x v="1"/>
    <x v="19"/>
    <n v="1.41"/>
    <x v="54"/>
    <x v="1"/>
    <m/>
    <m/>
    <m/>
    <m/>
    <m/>
    <m/>
    <m/>
    <m/>
    <m/>
    <m/>
  </r>
  <r>
    <x v="3"/>
    <n v="71397"/>
    <x v="13"/>
    <x v="2"/>
    <x v="42"/>
    <n v="0.98"/>
    <x v="78"/>
    <x v="2"/>
    <m/>
    <m/>
    <m/>
    <m/>
    <m/>
    <m/>
    <m/>
    <m/>
    <m/>
    <m/>
  </r>
  <r>
    <x v="0"/>
    <n v="45456"/>
    <x v="1"/>
    <x v="2"/>
    <x v="80"/>
    <n v="1.47"/>
    <x v="58"/>
    <x v="2"/>
    <m/>
    <m/>
    <m/>
    <m/>
    <m/>
    <m/>
    <m/>
    <m/>
    <m/>
    <m/>
  </r>
  <r>
    <x v="13"/>
    <n v="66911"/>
    <x v="5"/>
    <x v="2"/>
    <x v="2"/>
    <n v="0.69"/>
    <x v="10"/>
    <x v="2"/>
    <m/>
    <m/>
    <m/>
    <m/>
    <m/>
    <m/>
    <m/>
    <m/>
    <m/>
    <m/>
  </r>
  <r>
    <x v="14"/>
    <n v="34852"/>
    <x v="11"/>
    <x v="2"/>
    <x v="21"/>
    <n v="1.03"/>
    <x v="40"/>
    <x v="0"/>
    <m/>
    <m/>
    <m/>
    <m/>
    <m/>
    <m/>
    <m/>
    <m/>
    <m/>
    <m/>
  </r>
  <r>
    <x v="12"/>
    <n v="42705"/>
    <x v="9"/>
    <x v="3"/>
    <x v="73"/>
    <n v="0.59"/>
    <x v="57"/>
    <x v="2"/>
    <m/>
    <m/>
    <m/>
    <m/>
    <m/>
    <m/>
    <m/>
    <m/>
    <m/>
    <m/>
  </r>
  <r>
    <x v="18"/>
    <n v="65495"/>
    <x v="6"/>
    <x v="1"/>
    <x v="71"/>
    <n v="1.5"/>
    <x v="61"/>
    <x v="1"/>
    <m/>
    <m/>
    <m/>
    <m/>
    <m/>
    <m/>
    <m/>
    <m/>
    <m/>
    <m/>
  </r>
  <r>
    <x v="16"/>
    <n v="99282"/>
    <x v="2"/>
    <x v="0"/>
    <x v="66"/>
    <n v="0.92"/>
    <x v="9"/>
    <x v="0"/>
    <m/>
    <m/>
    <m/>
    <m/>
    <m/>
    <m/>
    <m/>
    <m/>
    <m/>
    <m/>
  </r>
  <r>
    <x v="3"/>
    <n v="107275"/>
    <x v="11"/>
    <x v="0"/>
    <x v="47"/>
    <n v="0.52"/>
    <x v="45"/>
    <x v="2"/>
    <m/>
    <m/>
    <m/>
    <m/>
    <m/>
    <m/>
    <m/>
    <m/>
    <m/>
    <m/>
  </r>
  <r>
    <x v="4"/>
    <n v="45573"/>
    <x v="2"/>
    <x v="2"/>
    <x v="11"/>
    <n v="0.69"/>
    <x v="64"/>
    <x v="2"/>
    <m/>
    <m/>
    <m/>
    <m/>
    <m/>
    <m/>
    <m/>
    <m/>
    <m/>
    <m/>
  </r>
  <r>
    <x v="13"/>
    <n v="128853"/>
    <x v="1"/>
    <x v="3"/>
    <x v="39"/>
    <n v="1.25"/>
    <x v="25"/>
    <x v="2"/>
    <m/>
    <m/>
    <m/>
    <m/>
    <m/>
    <m/>
    <m/>
    <m/>
    <m/>
    <m/>
  </r>
  <r>
    <x v="10"/>
    <n v="65314"/>
    <x v="19"/>
    <x v="0"/>
    <x v="6"/>
    <n v="1.28"/>
    <x v="49"/>
    <x v="2"/>
    <m/>
    <m/>
    <m/>
    <m/>
    <m/>
    <m/>
    <m/>
    <m/>
    <m/>
    <m/>
  </r>
  <r>
    <x v="15"/>
    <n v="88826"/>
    <x v="8"/>
    <x v="1"/>
    <x v="76"/>
    <n v="0.61"/>
    <x v="54"/>
    <x v="1"/>
    <m/>
    <m/>
    <m/>
    <m/>
    <m/>
    <m/>
    <m/>
    <m/>
    <m/>
    <m/>
  </r>
  <r>
    <x v="16"/>
    <n v="53449"/>
    <x v="25"/>
    <x v="0"/>
    <x v="44"/>
    <n v="1.24"/>
    <x v="80"/>
    <x v="0"/>
    <m/>
    <m/>
    <m/>
    <m/>
    <m/>
    <m/>
    <m/>
    <m/>
    <m/>
    <m/>
  </r>
  <r>
    <x v="19"/>
    <n v="87564"/>
    <x v="9"/>
    <x v="1"/>
    <x v="58"/>
    <n v="0.89"/>
    <x v="30"/>
    <x v="2"/>
    <m/>
    <m/>
    <m/>
    <m/>
    <m/>
    <m/>
    <m/>
    <m/>
    <m/>
    <m/>
  </r>
  <r>
    <x v="1"/>
    <n v="32405"/>
    <x v="23"/>
    <x v="0"/>
    <x v="13"/>
    <n v="1.21"/>
    <x v="27"/>
    <x v="1"/>
    <m/>
    <m/>
    <m/>
    <m/>
    <m/>
    <m/>
    <m/>
    <m/>
    <m/>
    <m/>
  </r>
  <r>
    <x v="19"/>
    <n v="114028"/>
    <x v="2"/>
    <x v="2"/>
    <x v="94"/>
    <n v="1.2"/>
    <x v="78"/>
    <x v="2"/>
    <m/>
    <m/>
    <m/>
    <m/>
    <m/>
    <m/>
    <m/>
    <m/>
    <m/>
    <m/>
  </r>
  <r>
    <x v="2"/>
    <n v="122061"/>
    <x v="1"/>
    <x v="1"/>
    <x v="10"/>
    <n v="1.5"/>
    <x v="90"/>
    <x v="0"/>
    <m/>
    <m/>
    <m/>
    <m/>
    <m/>
    <m/>
    <m/>
    <m/>
    <m/>
    <m/>
  </r>
  <r>
    <x v="10"/>
    <n v="121396"/>
    <x v="28"/>
    <x v="1"/>
    <x v="78"/>
    <n v="0.88"/>
    <x v="11"/>
    <x v="2"/>
    <m/>
    <m/>
    <m/>
    <m/>
    <m/>
    <m/>
    <m/>
    <m/>
    <m/>
    <m/>
  </r>
  <r>
    <x v="15"/>
    <n v="87454"/>
    <x v="13"/>
    <x v="1"/>
    <x v="74"/>
    <n v="0.86"/>
    <x v="21"/>
    <x v="1"/>
    <m/>
    <m/>
    <m/>
    <m/>
    <m/>
    <m/>
    <m/>
    <m/>
    <m/>
    <m/>
  </r>
  <r>
    <x v="7"/>
    <n v="127216"/>
    <x v="16"/>
    <x v="0"/>
    <x v="16"/>
    <n v="0.86"/>
    <x v="18"/>
    <x v="1"/>
    <m/>
    <m/>
    <m/>
    <m/>
    <m/>
    <m/>
    <m/>
    <m/>
    <m/>
    <m/>
  </r>
  <r>
    <x v="12"/>
    <n v="89871"/>
    <x v="12"/>
    <x v="0"/>
    <x v="20"/>
    <n v="1.1599999999999999"/>
    <x v="25"/>
    <x v="2"/>
    <m/>
    <m/>
    <m/>
    <m/>
    <m/>
    <m/>
    <m/>
    <m/>
    <m/>
    <m/>
  </r>
  <r>
    <x v="6"/>
    <n v="140564"/>
    <x v="11"/>
    <x v="3"/>
    <x v="97"/>
    <n v="1.24"/>
    <x v="64"/>
    <x v="2"/>
    <m/>
    <m/>
    <m/>
    <m/>
    <m/>
    <m/>
    <m/>
    <m/>
    <m/>
    <m/>
  </r>
  <r>
    <x v="3"/>
    <n v="76887"/>
    <x v="17"/>
    <x v="1"/>
    <x v="34"/>
    <n v="0.77"/>
    <x v="64"/>
    <x v="2"/>
    <m/>
    <m/>
    <m/>
    <m/>
    <m/>
    <m/>
    <m/>
    <m/>
    <m/>
    <m/>
  </r>
  <r>
    <x v="5"/>
    <n v="94817"/>
    <x v="7"/>
    <x v="2"/>
    <x v="50"/>
    <n v="1.45"/>
    <x v="52"/>
    <x v="1"/>
    <m/>
    <m/>
    <m/>
    <m/>
    <m/>
    <m/>
    <m/>
    <m/>
    <m/>
    <m/>
  </r>
  <r>
    <x v="11"/>
    <n v="90388"/>
    <x v="22"/>
    <x v="0"/>
    <x v="68"/>
    <n v="1.0900000000000001"/>
    <x v="68"/>
    <x v="2"/>
    <m/>
    <m/>
    <m/>
    <m/>
    <m/>
    <m/>
    <m/>
    <m/>
    <m/>
    <m/>
  </r>
  <r>
    <x v="7"/>
    <n v="133323"/>
    <x v="23"/>
    <x v="0"/>
    <x v="19"/>
    <n v="0.89"/>
    <x v="42"/>
    <x v="1"/>
    <m/>
    <m/>
    <m/>
    <m/>
    <m/>
    <m/>
    <m/>
    <m/>
    <m/>
    <m/>
  </r>
  <r>
    <x v="0"/>
    <n v="119526"/>
    <x v="26"/>
    <x v="1"/>
    <x v="76"/>
    <n v="0.72"/>
    <x v="51"/>
    <x v="0"/>
    <m/>
    <m/>
    <m/>
    <m/>
    <m/>
    <m/>
    <m/>
    <m/>
    <m/>
    <m/>
  </r>
  <r>
    <x v="12"/>
    <n v="62676"/>
    <x v="21"/>
    <x v="1"/>
    <x v="24"/>
    <n v="0.75"/>
    <x v="72"/>
    <x v="2"/>
    <m/>
    <m/>
    <m/>
    <m/>
    <m/>
    <m/>
    <m/>
    <m/>
    <m/>
    <m/>
  </r>
  <r>
    <x v="12"/>
    <n v="44590"/>
    <x v="4"/>
    <x v="2"/>
    <x v="21"/>
    <n v="1.35"/>
    <x v="25"/>
    <x v="2"/>
    <m/>
    <m/>
    <m/>
    <m/>
    <m/>
    <m/>
    <m/>
    <m/>
    <m/>
    <m/>
  </r>
  <r>
    <x v="3"/>
    <n v="68463"/>
    <x v="22"/>
    <x v="3"/>
    <x v="70"/>
    <n v="0.81"/>
    <x v="14"/>
    <x v="2"/>
    <m/>
    <m/>
    <m/>
    <m/>
    <m/>
    <m/>
    <m/>
    <m/>
    <m/>
    <m/>
  </r>
  <r>
    <x v="3"/>
    <n v="52053"/>
    <x v="28"/>
    <x v="3"/>
    <x v="22"/>
    <n v="0.7"/>
    <x v="48"/>
    <x v="2"/>
    <m/>
    <m/>
    <m/>
    <m/>
    <m/>
    <m/>
    <m/>
    <m/>
    <m/>
    <m/>
  </r>
  <r>
    <x v="3"/>
    <n v="104767"/>
    <x v="19"/>
    <x v="3"/>
    <x v="2"/>
    <n v="1.07"/>
    <x v="33"/>
    <x v="2"/>
    <m/>
    <m/>
    <m/>
    <m/>
    <m/>
    <m/>
    <m/>
    <m/>
    <m/>
    <m/>
  </r>
  <r>
    <x v="3"/>
    <n v="65303"/>
    <x v="1"/>
    <x v="1"/>
    <x v="49"/>
    <n v="0.53"/>
    <x v="78"/>
    <x v="2"/>
    <m/>
    <m/>
    <m/>
    <m/>
    <m/>
    <m/>
    <m/>
    <m/>
    <m/>
    <m/>
  </r>
  <r>
    <x v="17"/>
    <n v="34312"/>
    <x v="23"/>
    <x v="3"/>
    <x v="52"/>
    <n v="0.79"/>
    <x v="55"/>
    <x v="2"/>
    <m/>
    <m/>
    <m/>
    <m/>
    <m/>
    <m/>
    <m/>
    <m/>
    <m/>
    <m/>
  </r>
  <r>
    <x v="18"/>
    <n v="69794"/>
    <x v="20"/>
    <x v="3"/>
    <x v="50"/>
    <n v="0.66"/>
    <x v="7"/>
    <x v="1"/>
    <m/>
    <m/>
    <m/>
    <m/>
    <m/>
    <m/>
    <m/>
    <m/>
    <m/>
    <m/>
  </r>
  <r>
    <x v="16"/>
    <n v="80102"/>
    <x v="6"/>
    <x v="0"/>
    <x v="19"/>
    <n v="0.78"/>
    <x v="62"/>
    <x v="0"/>
    <m/>
    <m/>
    <m/>
    <m/>
    <m/>
    <m/>
    <m/>
    <m/>
    <m/>
    <m/>
  </r>
  <r>
    <x v="2"/>
    <n v="106743"/>
    <x v="5"/>
    <x v="0"/>
    <x v="52"/>
    <n v="0.72"/>
    <x v="9"/>
    <x v="0"/>
    <m/>
    <m/>
    <m/>
    <m/>
    <m/>
    <m/>
    <m/>
    <m/>
    <m/>
    <m/>
  </r>
  <r>
    <x v="0"/>
    <n v="67333"/>
    <x v="26"/>
    <x v="2"/>
    <x v="69"/>
    <n v="0.99"/>
    <x v="67"/>
    <x v="0"/>
    <m/>
    <m/>
    <m/>
    <m/>
    <m/>
    <m/>
    <m/>
    <m/>
    <m/>
    <m/>
  </r>
  <r>
    <x v="5"/>
    <n v="80724"/>
    <x v="17"/>
    <x v="3"/>
    <x v="38"/>
    <n v="1.07"/>
    <x v="63"/>
    <x v="1"/>
    <m/>
    <m/>
    <m/>
    <m/>
    <m/>
    <m/>
    <m/>
    <m/>
    <m/>
    <m/>
  </r>
  <r>
    <x v="8"/>
    <n v="107684"/>
    <x v="22"/>
    <x v="2"/>
    <x v="49"/>
    <n v="1.48"/>
    <x v="26"/>
    <x v="2"/>
    <m/>
    <m/>
    <m/>
    <m/>
    <m/>
    <m/>
    <m/>
    <m/>
    <m/>
    <m/>
  </r>
  <r>
    <x v="19"/>
    <n v="57161"/>
    <x v="0"/>
    <x v="1"/>
    <x v="10"/>
    <n v="1.17"/>
    <x v="20"/>
    <x v="2"/>
    <m/>
    <m/>
    <m/>
    <m/>
    <m/>
    <m/>
    <m/>
    <m/>
    <m/>
    <m/>
  </r>
  <r>
    <x v="10"/>
    <n v="33687"/>
    <x v="13"/>
    <x v="2"/>
    <x v="73"/>
    <n v="0.87"/>
    <x v="4"/>
    <x v="2"/>
    <m/>
    <m/>
    <m/>
    <m/>
    <m/>
    <m/>
    <m/>
    <m/>
    <m/>
    <m/>
  </r>
  <r>
    <x v="9"/>
    <n v="58777"/>
    <x v="17"/>
    <x v="0"/>
    <x v="66"/>
    <n v="0.56000000000000005"/>
    <x v="80"/>
    <x v="0"/>
    <m/>
    <m/>
    <m/>
    <m/>
    <m/>
    <m/>
    <m/>
    <m/>
    <m/>
    <m/>
  </r>
  <r>
    <x v="13"/>
    <n v="58915"/>
    <x v="19"/>
    <x v="0"/>
    <x v="36"/>
    <n v="0.56000000000000005"/>
    <x v="22"/>
    <x v="2"/>
    <m/>
    <m/>
    <m/>
    <m/>
    <m/>
    <m/>
    <m/>
    <m/>
    <m/>
    <m/>
  </r>
  <r>
    <x v="11"/>
    <n v="148222"/>
    <x v="2"/>
    <x v="1"/>
    <x v="93"/>
    <n v="0.75"/>
    <x v="86"/>
    <x v="2"/>
    <m/>
    <m/>
    <m/>
    <m/>
    <m/>
    <m/>
    <m/>
    <m/>
    <m/>
    <m/>
  </r>
  <r>
    <x v="10"/>
    <n v="100880"/>
    <x v="20"/>
    <x v="3"/>
    <x v="77"/>
    <n v="1.02"/>
    <x v="49"/>
    <x v="2"/>
    <m/>
    <m/>
    <m/>
    <m/>
    <m/>
    <m/>
    <m/>
    <m/>
    <m/>
    <m/>
  </r>
  <r>
    <x v="7"/>
    <n v="112056"/>
    <x v="11"/>
    <x v="2"/>
    <x v="65"/>
    <n v="0.66"/>
    <x v="37"/>
    <x v="1"/>
    <m/>
    <m/>
    <m/>
    <m/>
    <m/>
    <m/>
    <m/>
    <m/>
    <m/>
    <m/>
  </r>
  <r>
    <x v="3"/>
    <n v="133144"/>
    <x v="28"/>
    <x v="0"/>
    <x v="58"/>
    <n v="0.51"/>
    <x v="46"/>
    <x v="2"/>
    <m/>
    <m/>
    <m/>
    <m/>
    <m/>
    <m/>
    <m/>
    <m/>
    <m/>
    <m/>
  </r>
  <r>
    <x v="3"/>
    <n v="127364"/>
    <x v="24"/>
    <x v="0"/>
    <x v="26"/>
    <n v="1.34"/>
    <x v="43"/>
    <x v="2"/>
    <m/>
    <m/>
    <m/>
    <m/>
    <m/>
    <m/>
    <m/>
    <m/>
    <m/>
    <m/>
  </r>
  <r>
    <x v="0"/>
    <n v="147257"/>
    <x v="6"/>
    <x v="2"/>
    <x v="25"/>
    <n v="1.07"/>
    <x v="73"/>
    <x v="0"/>
    <m/>
    <m/>
    <m/>
    <m/>
    <m/>
    <m/>
    <m/>
    <m/>
    <m/>
    <m/>
  </r>
  <r>
    <x v="10"/>
    <n v="141706"/>
    <x v="17"/>
    <x v="3"/>
    <x v="6"/>
    <n v="0.89"/>
    <x v="36"/>
    <x v="2"/>
    <m/>
    <m/>
    <m/>
    <m/>
    <m/>
    <m/>
    <m/>
    <m/>
    <m/>
    <m/>
  </r>
  <r>
    <x v="2"/>
    <n v="60795"/>
    <x v="2"/>
    <x v="3"/>
    <x v="68"/>
    <n v="0.59"/>
    <x v="77"/>
    <x v="0"/>
    <m/>
    <m/>
    <m/>
    <m/>
    <m/>
    <m/>
    <m/>
    <m/>
    <m/>
    <m/>
  </r>
  <r>
    <x v="0"/>
    <n v="137729"/>
    <x v="27"/>
    <x v="3"/>
    <x v="100"/>
    <n v="0.96"/>
    <x v="59"/>
    <x v="0"/>
    <m/>
    <m/>
    <m/>
    <m/>
    <m/>
    <m/>
    <m/>
    <m/>
    <m/>
    <m/>
  </r>
  <r>
    <x v="18"/>
    <n v="59340"/>
    <x v="22"/>
    <x v="2"/>
    <x v="2"/>
    <n v="1.36"/>
    <x v="21"/>
    <x v="1"/>
    <m/>
    <m/>
    <m/>
    <m/>
    <m/>
    <m/>
    <m/>
    <m/>
    <m/>
    <m/>
  </r>
  <r>
    <x v="8"/>
    <n v="75487"/>
    <x v="2"/>
    <x v="2"/>
    <x v="19"/>
    <n v="0.82"/>
    <x v="33"/>
    <x v="2"/>
    <m/>
    <m/>
    <m/>
    <m/>
    <m/>
    <m/>
    <m/>
    <m/>
    <m/>
    <m/>
  </r>
  <r>
    <x v="16"/>
    <n v="123258"/>
    <x v="25"/>
    <x v="0"/>
    <x v="12"/>
    <n v="0.89"/>
    <x v="35"/>
    <x v="0"/>
    <m/>
    <m/>
    <m/>
    <m/>
    <m/>
    <m/>
    <m/>
    <m/>
    <m/>
    <m/>
  </r>
  <r>
    <x v="7"/>
    <n v="37160"/>
    <x v="10"/>
    <x v="3"/>
    <x v="67"/>
    <n v="1.01"/>
    <x v="7"/>
    <x v="1"/>
    <m/>
    <m/>
    <m/>
    <m/>
    <m/>
    <m/>
    <m/>
    <m/>
    <m/>
    <m/>
  </r>
  <r>
    <x v="10"/>
    <n v="43869"/>
    <x v="16"/>
    <x v="2"/>
    <x v="52"/>
    <n v="1.27"/>
    <x v="6"/>
    <x v="2"/>
    <m/>
    <m/>
    <m/>
    <m/>
    <m/>
    <m/>
    <m/>
    <m/>
    <m/>
    <m/>
  </r>
  <r>
    <x v="2"/>
    <n v="142266"/>
    <x v="1"/>
    <x v="0"/>
    <x v="0"/>
    <n v="0.57999999999999996"/>
    <x v="0"/>
    <x v="0"/>
    <m/>
    <m/>
    <m/>
    <m/>
    <m/>
    <m/>
    <m/>
    <m/>
    <m/>
    <m/>
  </r>
  <r>
    <x v="8"/>
    <n v="112833"/>
    <x v="19"/>
    <x v="2"/>
    <x v="94"/>
    <n v="0.61"/>
    <x v="86"/>
    <x v="2"/>
    <m/>
    <m/>
    <m/>
    <m/>
    <m/>
    <m/>
    <m/>
    <m/>
    <m/>
    <m/>
  </r>
  <r>
    <x v="14"/>
    <n v="124538"/>
    <x v="26"/>
    <x v="3"/>
    <x v="9"/>
    <n v="1.23"/>
    <x v="67"/>
    <x v="0"/>
    <m/>
    <m/>
    <m/>
    <m/>
    <m/>
    <m/>
    <m/>
    <m/>
    <m/>
    <m/>
  </r>
  <r>
    <x v="3"/>
    <n v="54608"/>
    <x v="21"/>
    <x v="2"/>
    <x v="41"/>
    <n v="0.54"/>
    <x v="46"/>
    <x v="2"/>
    <m/>
    <m/>
    <m/>
    <m/>
    <m/>
    <m/>
    <m/>
    <m/>
    <m/>
    <m/>
  </r>
  <r>
    <x v="19"/>
    <n v="41367"/>
    <x v="5"/>
    <x v="3"/>
    <x v="58"/>
    <n v="0.91"/>
    <x v="11"/>
    <x v="2"/>
    <m/>
    <m/>
    <m/>
    <m/>
    <m/>
    <m/>
    <m/>
    <m/>
    <m/>
    <m/>
  </r>
  <r>
    <x v="18"/>
    <n v="123159"/>
    <x v="4"/>
    <x v="1"/>
    <x v="42"/>
    <n v="1.38"/>
    <x v="37"/>
    <x v="1"/>
    <m/>
    <m/>
    <m/>
    <m/>
    <m/>
    <m/>
    <m/>
    <m/>
    <m/>
    <m/>
  </r>
  <r>
    <x v="2"/>
    <n v="138864"/>
    <x v="5"/>
    <x v="3"/>
    <x v="18"/>
    <n v="1.37"/>
    <x v="35"/>
    <x v="0"/>
    <m/>
    <m/>
    <m/>
    <m/>
    <m/>
    <m/>
    <m/>
    <m/>
    <m/>
    <m/>
  </r>
  <r>
    <x v="0"/>
    <n v="125504"/>
    <x v="29"/>
    <x v="2"/>
    <x v="15"/>
    <n v="0.74"/>
    <x v="17"/>
    <x v="0"/>
    <m/>
    <m/>
    <m/>
    <m/>
    <m/>
    <m/>
    <m/>
    <m/>
    <m/>
    <m/>
  </r>
  <r>
    <x v="12"/>
    <n v="90302"/>
    <x v="17"/>
    <x v="1"/>
    <x v="73"/>
    <n v="0.5"/>
    <x v="10"/>
    <x v="2"/>
    <m/>
    <m/>
    <m/>
    <m/>
    <m/>
    <m/>
    <m/>
    <m/>
    <m/>
    <m/>
  </r>
  <r>
    <x v="1"/>
    <n v="72722"/>
    <x v="24"/>
    <x v="3"/>
    <x v="48"/>
    <n v="1.21"/>
    <x v="5"/>
    <x v="1"/>
    <m/>
    <m/>
    <m/>
    <m/>
    <m/>
    <m/>
    <m/>
    <m/>
    <m/>
    <m/>
  </r>
  <r>
    <x v="14"/>
    <n v="116379"/>
    <x v="1"/>
    <x v="2"/>
    <x v="17"/>
    <n v="1.25"/>
    <x v="32"/>
    <x v="0"/>
    <m/>
    <m/>
    <m/>
    <m/>
    <m/>
    <m/>
    <m/>
    <m/>
    <m/>
    <m/>
  </r>
  <r>
    <x v="12"/>
    <n v="72412"/>
    <x v="20"/>
    <x v="3"/>
    <x v="3"/>
    <n v="1.02"/>
    <x v="8"/>
    <x v="2"/>
    <m/>
    <m/>
    <m/>
    <m/>
    <m/>
    <m/>
    <m/>
    <m/>
    <m/>
    <m/>
  </r>
  <r>
    <x v="9"/>
    <n v="74956"/>
    <x v="14"/>
    <x v="2"/>
    <x v="74"/>
    <n v="0.56000000000000005"/>
    <x v="73"/>
    <x v="0"/>
    <m/>
    <m/>
    <m/>
    <m/>
    <m/>
    <m/>
    <m/>
    <m/>
    <m/>
    <m/>
  </r>
  <r>
    <x v="7"/>
    <n v="108872"/>
    <x v="28"/>
    <x v="2"/>
    <x v="74"/>
    <n v="0.89"/>
    <x v="7"/>
    <x v="1"/>
    <m/>
    <m/>
    <m/>
    <m/>
    <m/>
    <m/>
    <m/>
    <m/>
    <m/>
    <m/>
  </r>
  <r>
    <x v="8"/>
    <n v="90542"/>
    <x v="11"/>
    <x v="2"/>
    <x v="64"/>
    <n v="1.1499999999999999"/>
    <x v="58"/>
    <x v="2"/>
    <m/>
    <m/>
    <m/>
    <m/>
    <m/>
    <m/>
    <m/>
    <m/>
    <m/>
    <m/>
  </r>
  <r>
    <x v="9"/>
    <n v="48481"/>
    <x v="10"/>
    <x v="3"/>
    <x v="14"/>
    <n v="0.68"/>
    <x v="35"/>
    <x v="0"/>
    <m/>
    <m/>
    <m/>
    <m/>
    <m/>
    <m/>
    <m/>
    <m/>
    <m/>
    <m/>
  </r>
  <r>
    <x v="19"/>
    <n v="37075"/>
    <x v="26"/>
    <x v="0"/>
    <x v="76"/>
    <n v="1.1599999999999999"/>
    <x v="66"/>
    <x v="2"/>
    <m/>
    <m/>
    <m/>
    <m/>
    <m/>
    <m/>
    <m/>
    <m/>
    <m/>
    <m/>
  </r>
  <r>
    <x v="11"/>
    <n v="100043"/>
    <x v="27"/>
    <x v="0"/>
    <x v="76"/>
    <n v="0.69"/>
    <x v="4"/>
    <x v="2"/>
    <m/>
    <m/>
    <m/>
    <m/>
    <m/>
    <m/>
    <m/>
    <m/>
    <m/>
    <m/>
  </r>
  <r>
    <x v="3"/>
    <n v="105069"/>
    <x v="7"/>
    <x v="0"/>
    <x v="29"/>
    <n v="0.98"/>
    <x v="3"/>
    <x v="2"/>
    <m/>
    <m/>
    <m/>
    <m/>
    <m/>
    <m/>
    <m/>
    <m/>
    <m/>
    <m/>
  </r>
  <r>
    <x v="7"/>
    <n v="82692"/>
    <x v="10"/>
    <x v="2"/>
    <x v="76"/>
    <n v="0.77"/>
    <x v="74"/>
    <x v="1"/>
    <m/>
    <m/>
    <m/>
    <m/>
    <m/>
    <m/>
    <m/>
    <m/>
    <m/>
    <m/>
  </r>
  <r>
    <x v="12"/>
    <n v="71918"/>
    <x v="13"/>
    <x v="1"/>
    <x v="63"/>
    <n v="1.03"/>
    <x v="64"/>
    <x v="2"/>
    <m/>
    <m/>
    <m/>
    <m/>
    <m/>
    <m/>
    <m/>
    <m/>
    <m/>
    <m/>
  </r>
  <r>
    <x v="9"/>
    <n v="33264"/>
    <x v="5"/>
    <x v="3"/>
    <x v="75"/>
    <n v="1.37"/>
    <x v="80"/>
    <x v="0"/>
    <m/>
    <m/>
    <m/>
    <m/>
    <m/>
    <m/>
    <m/>
    <m/>
    <m/>
    <m/>
  </r>
  <r>
    <x v="2"/>
    <n v="144047"/>
    <x v="28"/>
    <x v="2"/>
    <x v="41"/>
    <n v="1.48"/>
    <x v="73"/>
    <x v="0"/>
    <m/>
    <m/>
    <m/>
    <m/>
    <m/>
    <m/>
    <m/>
    <m/>
    <m/>
    <m/>
  </r>
  <r>
    <x v="1"/>
    <n v="83433"/>
    <x v="21"/>
    <x v="0"/>
    <x v="71"/>
    <n v="0.99"/>
    <x v="34"/>
    <x v="1"/>
    <m/>
    <m/>
    <m/>
    <m/>
    <m/>
    <m/>
    <m/>
    <m/>
    <m/>
    <m/>
  </r>
  <r>
    <x v="17"/>
    <n v="99201"/>
    <x v="23"/>
    <x v="1"/>
    <x v="95"/>
    <n v="1.02"/>
    <x v="23"/>
    <x v="2"/>
    <m/>
    <m/>
    <m/>
    <m/>
    <m/>
    <m/>
    <m/>
    <m/>
    <m/>
    <m/>
  </r>
  <r>
    <x v="3"/>
    <n v="145131"/>
    <x v="11"/>
    <x v="2"/>
    <x v="73"/>
    <n v="1.03"/>
    <x v="43"/>
    <x v="2"/>
    <m/>
    <m/>
    <m/>
    <m/>
    <m/>
    <m/>
    <m/>
    <m/>
    <m/>
    <m/>
  </r>
  <r>
    <x v="18"/>
    <n v="134290"/>
    <x v="18"/>
    <x v="1"/>
    <x v="42"/>
    <n v="1.1000000000000001"/>
    <x v="21"/>
    <x v="1"/>
    <m/>
    <m/>
    <m/>
    <m/>
    <m/>
    <m/>
    <m/>
    <m/>
    <m/>
    <m/>
  </r>
  <r>
    <x v="7"/>
    <n v="100779"/>
    <x v="20"/>
    <x v="1"/>
    <x v="93"/>
    <n v="1.3"/>
    <x v="27"/>
    <x v="1"/>
    <m/>
    <m/>
    <m/>
    <m/>
    <m/>
    <m/>
    <m/>
    <m/>
    <m/>
    <m/>
  </r>
  <r>
    <x v="1"/>
    <n v="100935"/>
    <x v="22"/>
    <x v="1"/>
    <x v="13"/>
    <n v="0.57999999999999996"/>
    <x v="42"/>
    <x v="1"/>
    <m/>
    <m/>
    <m/>
    <m/>
    <m/>
    <m/>
    <m/>
    <m/>
    <m/>
    <m/>
  </r>
  <r>
    <x v="15"/>
    <n v="59483"/>
    <x v="15"/>
    <x v="2"/>
    <x v="94"/>
    <n v="0.56000000000000005"/>
    <x v="82"/>
    <x v="1"/>
    <m/>
    <m/>
    <m/>
    <m/>
    <m/>
    <m/>
    <m/>
    <m/>
    <m/>
    <m/>
  </r>
  <r>
    <x v="19"/>
    <n v="61155"/>
    <x v="27"/>
    <x v="2"/>
    <x v="98"/>
    <n v="1.1299999999999999"/>
    <x v="31"/>
    <x v="2"/>
    <m/>
    <m/>
    <m/>
    <m/>
    <m/>
    <m/>
    <m/>
    <m/>
    <m/>
    <m/>
  </r>
  <r>
    <x v="19"/>
    <n v="34176"/>
    <x v="8"/>
    <x v="0"/>
    <x v="29"/>
    <n v="1.26"/>
    <x v="84"/>
    <x v="2"/>
    <m/>
    <m/>
    <m/>
    <m/>
    <m/>
    <m/>
    <m/>
    <m/>
    <m/>
    <m/>
  </r>
  <r>
    <x v="9"/>
    <n v="50746"/>
    <x v="7"/>
    <x v="0"/>
    <x v="98"/>
    <n v="0.87"/>
    <x v="60"/>
    <x v="0"/>
    <m/>
    <m/>
    <m/>
    <m/>
    <m/>
    <m/>
    <m/>
    <m/>
    <m/>
    <m/>
  </r>
  <r>
    <x v="15"/>
    <n v="104557"/>
    <x v="17"/>
    <x v="0"/>
    <x v="59"/>
    <n v="0.79"/>
    <x v="15"/>
    <x v="1"/>
    <m/>
    <m/>
    <m/>
    <m/>
    <m/>
    <m/>
    <m/>
    <m/>
    <m/>
    <m/>
  </r>
  <r>
    <x v="15"/>
    <n v="131242"/>
    <x v="29"/>
    <x v="3"/>
    <x v="56"/>
    <n v="1.47"/>
    <x v="13"/>
    <x v="1"/>
    <m/>
    <m/>
    <m/>
    <m/>
    <m/>
    <m/>
    <m/>
    <m/>
    <m/>
    <m/>
  </r>
  <r>
    <x v="3"/>
    <n v="116949"/>
    <x v="5"/>
    <x v="2"/>
    <x v="5"/>
    <n v="0.98"/>
    <x v="38"/>
    <x v="2"/>
    <m/>
    <m/>
    <m/>
    <m/>
    <m/>
    <m/>
    <m/>
    <m/>
    <m/>
    <m/>
  </r>
  <r>
    <x v="12"/>
    <n v="88204"/>
    <x v="29"/>
    <x v="1"/>
    <x v="10"/>
    <n v="0.84"/>
    <x v="33"/>
    <x v="2"/>
    <m/>
    <m/>
    <m/>
    <m/>
    <m/>
    <m/>
    <m/>
    <m/>
    <m/>
    <m/>
  </r>
  <r>
    <x v="15"/>
    <n v="45089"/>
    <x v="21"/>
    <x v="1"/>
    <x v="47"/>
    <n v="0.65"/>
    <x v="21"/>
    <x v="1"/>
    <m/>
    <m/>
    <m/>
    <m/>
    <m/>
    <m/>
    <m/>
    <m/>
    <m/>
    <m/>
  </r>
  <r>
    <x v="7"/>
    <n v="83341"/>
    <x v="22"/>
    <x v="0"/>
    <x v="23"/>
    <n v="1.1399999999999999"/>
    <x v="5"/>
    <x v="1"/>
    <m/>
    <m/>
    <m/>
    <m/>
    <m/>
    <m/>
    <m/>
    <m/>
    <m/>
    <m/>
  </r>
  <r>
    <x v="2"/>
    <n v="126621"/>
    <x v="3"/>
    <x v="2"/>
    <x v="18"/>
    <n v="0.88"/>
    <x v="67"/>
    <x v="0"/>
    <m/>
    <m/>
    <m/>
    <m/>
    <m/>
    <m/>
    <m/>
    <m/>
    <m/>
    <m/>
  </r>
  <r>
    <x v="14"/>
    <n v="128283"/>
    <x v="21"/>
    <x v="3"/>
    <x v="75"/>
    <n v="1.46"/>
    <x v="17"/>
    <x v="0"/>
    <m/>
    <m/>
    <m/>
    <m/>
    <m/>
    <m/>
    <m/>
    <m/>
    <m/>
    <m/>
  </r>
  <r>
    <x v="11"/>
    <n v="100446"/>
    <x v="10"/>
    <x v="2"/>
    <x v="45"/>
    <n v="1.3"/>
    <x v="36"/>
    <x v="2"/>
    <m/>
    <m/>
    <m/>
    <m/>
    <m/>
    <m/>
    <m/>
    <m/>
    <m/>
    <m/>
  </r>
  <r>
    <x v="17"/>
    <n v="107413"/>
    <x v="20"/>
    <x v="3"/>
    <x v="26"/>
    <n v="0.85"/>
    <x v="8"/>
    <x v="2"/>
    <m/>
    <m/>
    <m/>
    <m/>
    <m/>
    <m/>
    <m/>
    <m/>
    <m/>
    <m/>
  </r>
  <r>
    <x v="1"/>
    <n v="106789"/>
    <x v="1"/>
    <x v="1"/>
    <x v="24"/>
    <n v="0.93"/>
    <x v="18"/>
    <x v="1"/>
    <m/>
    <m/>
    <m/>
    <m/>
    <m/>
    <m/>
    <m/>
    <m/>
    <m/>
    <m/>
  </r>
  <r>
    <x v="17"/>
    <n v="86193"/>
    <x v="23"/>
    <x v="2"/>
    <x v="64"/>
    <n v="1.23"/>
    <x v="68"/>
    <x v="2"/>
    <m/>
    <m/>
    <m/>
    <m/>
    <m/>
    <m/>
    <m/>
    <m/>
    <m/>
    <m/>
  </r>
  <r>
    <x v="17"/>
    <n v="102652"/>
    <x v="28"/>
    <x v="2"/>
    <x v="57"/>
    <n v="1.31"/>
    <x v="84"/>
    <x v="2"/>
    <m/>
    <m/>
    <m/>
    <m/>
    <m/>
    <m/>
    <m/>
    <m/>
    <m/>
    <m/>
  </r>
  <r>
    <x v="6"/>
    <n v="131038"/>
    <x v="15"/>
    <x v="1"/>
    <x v="68"/>
    <n v="1.23"/>
    <x v="65"/>
    <x v="2"/>
    <m/>
    <m/>
    <m/>
    <m/>
    <m/>
    <m/>
    <m/>
    <m/>
    <m/>
    <m/>
  </r>
  <r>
    <x v="14"/>
    <n v="55143"/>
    <x v="2"/>
    <x v="0"/>
    <x v="32"/>
    <n v="1.08"/>
    <x v="0"/>
    <x v="0"/>
    <m/>
    <m/>
    <m/>
    <m/>
    <m/>
    <m/>
    <m/>
    <m/>
    <m/>
    <m/>
  </r>
  <r>
    <x v="4"/>
    <n v="112702"/>
    <x v="4"/>
    <x v="3"/>
    <x v="91"/>
    <n v="1.31"/>
    <x v="84"/>
    <x v="2"/>
    <m/>
    <m/>
    <m/>
    <m/>
    <m/>
    <m/>
    <m/>
    <m/>
    <m/>
    <m/>
  </r>
  <r>
    <x v="9"/>
    <n v="141459"/>
    <x v="27"/>
    <x v="1"/>
    <x v="88"/>
    <n v="0.7"/>
    <x v="9"/>
    <x v="0"/>
    <m/>
    <m/>
    <m/>
    <m/>
    <m/>
    <m/>
    <m/>
    <m/>
    <m/>
    <m/>
  </r>
  <r>
    <x v="13"/>
    <n v="56107"/>
    <x v="19"/>
    <x v="2"/>
    <x v="71"/>
    <n v="0.98"/>
    <x v="43"/>
    <x v="2"/>
    <m/>
    <m/>
    <m/>
    <m/>
    <m/>
    <m/>
    <m/>
    <m/>
    <m/>
    <m/>
  </r>
  <r>
    <x v="11"/>
    <n v="98402"/>
    <x v="18"/>
    <x v="3"/>
    <x v="59"/>
    <n v="0.7"/>
    <x v="87"/>
    <x v="2"/>
    <m/>
    <m/>
    <m/>
    <m/>
    <m/>
    <m/>
    <m/>
    <m/>
    <m/>
    <m/>
  </r>
  <r>
    <x v="0"/>
    <n v="36005"/>
    <x v="29"/>
    <x v="2"/>
    <x v="64"/>
    <n v="0.52"/>
    <x v="90"/>
    <x v="0"/>
    <m/>
    <m/>
    <m/>
    <m/>
    <m/>
    <m/>
    <m/>
    <m/>
    <m/>
    <m/>
  </r>
  <r>
    <x v="15"/>
    <n v="81038"/>
    <x v="15"/>
    <x v="3"/>
    <x v="42"/>
    <n v="0.88"/>
    <x v="75"/>
    <x v="1"/>
    <m/>
    <m/>
    <m/>
    <m/>
    <m/>
    <m/>
    <m/>
    <m/>
    <m/>
    <m/>
  </r>
  <r>
    <x v="10"/>
    <n v="96783"/>
    <x v="1"/>
    <x v="3"/>
    <x v="52"/>
    <n v="1.1599999999999999"/>
    <x v="78"/>
    <x v="2"/>
    <m/>
    <m/>
    <m/>
    <m/>
    <m/>
    <m/>
    <m/>
    <m/>
    <m/>
    <m/>
  </r>
  <r>
    <x v="18"/>
    <n v="101020"/>
    <x v="20"/>
    <x v="1"/>
    <x v="70"/>
    <n v="1.1499999999999999"/>
    <x v="74"/>
    <x v="1"/>
    <m/>
    <m/>
    <m/>
    <m/>
    <m/>
    <m/>
    <m/>
    <m/>
    <m/>
    <m/>
  </r>
  <r>
    <x v="11"/>
    <n v="95217"/>
    <x v="28"/>
    <x v="3"/>
    <x v="58"/>
    <n v="0.78"/>
    <x v="12"/>
    <x v="2"/>
    <m/>
    <m/>
    <m/>
    <m/>
    <m/>
    <m/>
    <m/>
    <m/>
    <m/>
    <m/>
  </r>
  <r>
    <x v="10"/>
    <n v="97323"/>
    <x v="11"/>
    <x v="3"/>
    <x v="44"/>
    <n v="0.84"/>
    <x v="71"/>
    <x v="2"/>
    <m/>
    <m/>
    <m/>
    <m/>
    <m/>
    <m/>
    <m/>
    <m/>
    <m/>
    <m/>
  </r>
  <r>
    <x v="7"/>
    <n v="80049"/>
    <x v="11"/>
    <x v="3"/>
    <x v="59"/>
    <n v="0.56000000000000005"/>
    <x v="16"/>
    <x v="1"/>
    <m/>
    <m/>
    <m/>
    <m/>
    <m/>
    <m/>
    <m/>
    <m/>
    <m/>
    <m/>
  </r>
  <r>
    <x v="18"/>
    <n v="48428"/>
    <x v="2"/>
    <x v="0"/>
    <x v="20"/>
    <n v="0.68"/>
    <x v="52"/>
    <x v="1"/>
    <m/>
    <m/>
    <m/>
    <m/>
    <m/>
    <m/>
    <m/>
    <m/>
    <m/>
    <m/>
  </r>
  <r>
    <x v="7"/>
    <n v="85331"/>
    <x v="9"/>
    <x v="2"/>
    <x v="47"/>
    <n v="1.46"/>
    <x v="63"/>
    <x v="1"/>
    <m/>
    <m/>
    <m/>
    <m/>
    <m/>
    <m/>
    <m/>
    <m/>
    <m/>
    <m/>
  </r>
  <r>
    <x v="19"/>
    <n v="35973"/>
    <x v="2"/>
    <x v="2"/>
    <x v="75"/>
    <n v="0.88"/>
    <x v="84"/>
    <x v="2"/>
    <m/>
    <m/>
    <m/>
    <m/>
    <m/>
    <m/>
    <m/>
    <m/>
    <m/>
    <m/>
  </r>
  <r>
    <x v="3"/>
    <n v="67236"/>
    <x v="26"/>
    <x v="0"/>
    <x v="54"/>
    <n v="1.19"/>
    <x v="86"/>
    <x v="2"/>
    <m/>
    <m/>
    <m/>
    <m/>
    <m/>
    <m/>
    <m/>
    <m/>
    <m/>
    <m/>
  </r>
  <r>
    <x v="4"/>
    <n v="112473"/>
    <x v="15"/>
    <x v="1"/>
    <x v="40"/>
    <n v="1.28"/>
    <x v="23"/>
    <x v="2"/>
    <m/>
    <m/>
    <m/>
    <m/>
    <m/>
    <m/>
    <m/>
    <m/>
    <m/>
    <m/>
  </r>
  <r>
    <x v="17"/>
    <n v="138480"/>
    <x v="9"/>
    <x v="3"/>
    <x v="69"/>
    <n v="0.95"/>
    <x v="25"/>
    <x v="2"/>
    <m/>
    <m/>
    <m/>
    <m/>
    <m/>
    <m/>
    <m/>
    <m/>
    <m/>
    <m/>
  </r>
  <r>
    <x v="12"/>
    <n v="73464"/>
    <x v="9"/>
    <x v="0"/>
    <x v="30"/>
    <n v="1.1000000000000001"/>
    <x v="30"/>
    <x v="2"/>
    <m/>
    <m/>
    <m/>
    <m/>
    <m/>
    <m/>
    <m/>
    <m/>
    <m/>
    <m/>
  </r>
  <r>
    <x v="15"/>
    <n v="118060"/>
    <x v="11"/>
    <x v="3"/>
    <x v="12"/>
    <n v="0.76"/>
    <x v="41"/>
    <x v="1"/>
    <m/>
    <m/>
    <m/>
    <m/>
    <m/>
    <m/>
    <m/>
    <m/>
    <m/>
    <m/>
  </r>
  <r>
    <x v="3"/>
    <n v="76905"/>
    <x v="7"/>
    <x v="2"/>
    <x v="39"/>
    <n v="0.62"/>
    <x v="79"/>
    <x v="2"/>
    <m/>
    <m/>
    <m/>
    <m/>
    <m/>
    <m/>
    <m/>
    <m/>
    <m/>
    <m/>
  </r>
  <r>
    <x v="12"/>
    <n v="101341"/>
    <x v="13"/>
    <x v="2"/>
    <x v="67"/>
    <n v="0.51"/>
    <x v="71"/>
    <x v="2"/>
    <m/>
    <m/>
    <m/>
    <m/>
    <m/>
    <m/>
    <m/>
    <m/>
    <m/>
    <m/>
  </r>
  <r>
    <x v="0"/>
    <n v="119314"/>
    <x v="27"/>
    <x v="0"/>
    <x v="28"/>
    <n v="1.3"/>
    <x v="77"/>
    <x v="0"/>
    <m/>
    <m/>
    <m/>
    <m/>
    <m/>
    <m/>
    <m/>
    <m/>
    <m/>
    <m/>
  </r>
  <r>
    <x v="9"/>
    <n v="109455"/>
    <x v="27"/>
    <x v="1"/>
    <x v="90"/>
    <n v="1.34"/>
    <x v="40"/>
    <x v="0"/>
    <m/>
    <m/>
    <m/>
    <m/>
    <m/>
    <m/>
    <m/>
    <m/>
    <m/>
    <m/>
  </r>
  <r>
    <x v="3"/>
    <n v="96951"/>
    <x v="8"/>
    <x v="0"/>
    <x v="21"/>
    <n v="1.34"/>
    <x v="66"/>
    <x v="2"/>
    <m/>
    <m/>
    <m/>
    <m/>
    <m/>
    <m/>
    <m/>
    <m/>
    <m/>
    <m/>
  </r>
  <r>
    <x v="3"/>
    <n v="44057"/>
    <x v="22"/>
    <x v="2"/>
    <x v="10"/>
    <n v="0.64"/>
    <x v="4"/>
    <x v="2"/>
    <m/>
    <m/>
    <m/>
    <m/>
    <m/>
    <m/>
    <m/>
    <m/>
    <m/>
    <m/>
  </r>
  <r>
    <x v="14"/>
    <n v="60185"/>
    <x v="0"/>
    <x v="2"/>
    <x v="87"/>
    <n v="0.6"/>
    <x v="80"/>
    <x v="0"/>
    <m/>
    <m/>
    <m/>
    <m/>
    <m/>
    <m/>
    <m/>
    <m/>
    <m/>
    <m/>
  </r>
  <r>
    <x v="12"/>
    <n v="63797"/>
    <x v="19"/>
    <x v="3"/>
    <x v="11"/>
    <n v="0.79"/>
    <x v="57"/>
    <x v="2"/>
    <m/>
    <m/>
    <m/>
    <m/>
    <m/>
    <m/>
    <m/>
    <m/>
    <m/>
    <m/>
  </r>
  <r>
    <x v="8"/>
    <n v="52792"/>
    <x v="8"/>
    <x v="2"/>
    <x v="59"/>
    <n v="0.91"/>
    <x v="65"/>
    <x v="2"/>
    <m/>
    <m/>
    <m/>
    <m/>
    <m/>
    <m/>
    <m/>
    <m/>
    <m/>
    <m/>
  </r>
  <r>
    <x v="5"/>
    <n v="136827"/>
    <x v="13"/>
    <x v="2"/>
    <x v="73"/>
    <n v="1.1499999999999999"/>
    <x v="34"/>
    <x v="1"/>
    <m/>
    <m/>
    <m/>
    <m/>
    <m/>
    <m/>
    <m/>
    <m/>
    <m/>
    <m/>
  </r>
  <r>
    <x v="18"/>
    <n v="34134"/>
    <x v="7"/>
    <x v="1"/>
    <x v="32"/>
    <n v="1.22"/>
    <x v="19"/>
    <x v="1"/>
    <m/>
    <m/>
    <m/>
    <m/>
    <m/>
    <m/>
    <m/>
    <m/>
    <m/>
    <m/>
  </r>
  <r>
    <x v="0"/>
    <n v="117463"/>
    <x v="11"/>
    <x v="2"/>
    <x v="54"/>
    <n v="0.9"/>
    <x v="9"/>
    <x v="0"/>
    <m/>
    <m/>
    <m/>
    <m/>
    <m/>
    <m/>
    <m/>
    <m/>
    <m/>
    <m/>
  </r>
  <r>
    <x v="5"/>
    <n v="74597"/>
    <x v="7"/>
    <x v="2"/>
    <x v="48"/>
    <n v="1.17"/>
    <x v="88"/>
    <x v="1"/>
    <m/>
    <m/>
    <m/>
    <m/>
    <m/>
    <m/>
    <m/>
    <m/>
    <m/>
    <m/>
  </r>
  <r>
    <x v="8"/>
    <n v="40603"/>
    <x v="19"/>
    <x v="2"/>
    <x v="28"/>
    <n v="0.94"/>
    <x v="71"/>
    <x v="2"/>
    <m/>
    <m/>
    <m/>
    <m/>
    <m/>
    <m/>
    <m/>
    <m/>
    <m/>
    <m/>
  </r>
  <r>
    <x v="7"/>
    <n v="106968"/>
    <x v="4"/>
    <x v="0"/>
    <x v="26"/>
    <n v="0.56000000000000005"/>
    <x v="29"/>
    <x v="1"/>
    <m/>
    <m/>
    <m/>
    <m/>
    <m/>
    <m/>
    <m/>
    <m/>
    <m/>
    <m/>
  </r>
  <r>
    <x v="13"/>
    <n v="149700"/>
    <x v="27"/>
    <x v="1"/>
    <x v="65"/>
    <n v="0.79"/>
    <x v="45"/>
    <x v="2"/>
    <m/>
    <m/>
    <m/>
    <m/>
    <m/>
    <m/>
    <m/>
    <m/>
    <m/>
    <m/>
  </r>
  <r>
    <x v="15"/>
    <n v="77890"/>
    <x v="27"/>
    <x v="2"/>
    <x v="32"/>
    <n v="1.48"/>
    <x v="70"/>
    <x v="1"/>
    <m/>
    <m/>
    <m/>
    <m/>
    <m/>
    <m/>
    <m/>
    <m/>
    <m/>
    <m/>
  </r>
  <r>
    <x v="1"/>
    <n v="141930"/>
    <x v="22"/>
    <x v="3"/>
    <x v="88"/>
    <n v="1.08"/>
    <x v="75"/>
    <x v="1"/>
    <m/>
    <m/>
    <m/>
    <m/>
    <m/>
    <m/>
    <m/>
    <m/>
    <m/>
    <m/>
  </r>
  <r>
    <x v="4"/>
    <n v="65976"/>
    <x v="2"/>
    <x v="3"/>
    <x v="59"/>
    <n v="1.03"/>
    <x v="3"/>
    <x v="2"/>
    <m/>
    <m/>
    <m/>
    <m/>
    <m/>
    <m/>
    <m/>
    <m/>
    <m/>
    <m/>
  </r>
  <r>
    <x v="19"/>
    <n v="81356"/>
    <x v="16"/>
    <x v="2"/>
    <x v="84"/>
    <n v="0.94"/>
    <x v="46"/>
    <x v="2"/>
    <m/>
    <m/>
    <m/>
    <m/>
    <m/>
    <m/>
    <m/>
    <m/>
    <m/>
    <m/>
  </r>
  <r>
    <x v="18"/>
    <n v="129928"/>
    <x v="24"/>
    <x v="3"/>
    <x v="72"/>
    <n v="0.8"/>
    <x v="88"/>
    <x v="1"/>
    <m/>
    <m/>
    <m/>
    <m/>
    <m/>
    <m/>
    <m/>
    <m/>
    <m/>
    <m/>
  </r>
  <r>
    <x v="16"/>
    <n v="51625"/>
    <x v="14"/>
    <x v="3"/>
    <x v="44"/>
    <n v="0.74"/>
    <x v="73"/>
    <x v="0"/>
    <m/>
    <m/>
    <m/>
    <m/>
    <m/>
    <m/>
    <m/>
    <m/>
    <m/>
    <m/>
  </r>
  <r>
    <x v="17"/>
    <n v="118760"/>
    <x v="1"/>
    <x v="2"/>
    <x v="81"/>
    <n v="0.9"/>
    <x v="10"/>
    <x v="2"/>
    <m/>
    <m/>
    <m/>
    <m/>
    <m/>
    <m/>
    <m/>
    <m/>
    <m/>
    <m/>
  </r>
  <r>
    <x v="3"/>
    <n v="111299"/>
    <x v="9"/>
    <x v="2"/>
    <x v="24"/>
    <n v="0.9"/>
    <x v="43"/>
    <x v="2"/>
    <m/>
    <m/>
    <m/>
    <m/>
    <m/>
    <m/>
    <m/>
    <m/>
    <m/>
    <m/>
  </r>
  <r>
    <x v="10"/>
    <n v="94535"/>
    <x v="14"/>
    <x v="2"/>
    <x v="26"/>
    <n v="0.71"/>
    <x v="6"/>
    <x v="2"/>
    <m/>
    <m/>
    <m/>
    <m/>
    <m/>
    <m/>
    <m/>
    <m/>
    <m/>
    <m/>
  </r>
  <r>
    <x v="16"/>
    <n v="116030"/>
    <x v="14"/>
    <x v="0"/>
    <x v="65"/>
    <n v="0.88"/>
    <x v="60"/>
    <x v="0"/>
    <m/>
    <m/>
    <m/>
    <m/>
    <m/>
    <m/>
    <m/>
    <m/>
    <m/>
    <m/>
  </r>
  <r>
    <x v="0"/>
    <n v="90127"/>
    <x v="19"/>
    <x v="1"/>
    <x v="21"/>
    <n v="1.1399999999999999"/>
    <x v="40"/>
    <x v="0"/>
    <m/>
    <m/>
    <m/>
    <m/>
    <m/>
    <m/>
    <m/>
    <m/>
    <m/>
    <m/>
  </r>
  <r>
    <x v="3"/>
    <n v="55577"/>
    <x v="16"/>
    <x v="2"/>
    <x v="91"/>
    <n v="1.1000000000000001"/>
    <x v="66"/>
    <x v="2"/>
    <m/>
    <m/>
    <m/>
    <m/>
    <m/>
    <m/>
    <m/>
    <m/>
    <m/>
    <m/>
  </r>
  <r>
    <x v="2"/>
    <n v="82573"/>
    <x v="19"/>
    <x v="2"/>
    <x v="98"/>
    <n v="0.74"/>
    <x v="81"/>
    <x v="0"/>
    <m/>
    <m/>
    <m/>
    <m/>
    <m/>
    <m/>
    <m/>
    <m/>
    <m/>
    <m/>
  </r>
  <r>
    <x v="15"/>
    <n v="44703"/>
    <x v="23"/>
    <x v="1"/>
    <x v="30"/>
    <n v="0.86"/>
    <x v="63"/>
    <x v="1"/>
    <m/>
    <m/>
    <m/>
    <m/>
    <m/>
    <m/>
    <m/>
    <m/>
    <m/>
    <m/>
  </r>
  <r>
    <x v="4"/>
    <n v="66003"/>
    <x v="2"/>
    <x v="2"/>
    <x v="34"/>
    <n v="1.1499999999999999"/>
    <x v="71"/>
    <x v="2"/>
    <m/>
    <m/>
    <m/>
    <m/>
    <m/>
    <m/>
    <m/>
    <m/>
    <m/>
    <m/>
  </r>
  <r>
    <x v="1"/>
    <n v="44756"/>
    <x v="5"/>
    <x v="2"/>
    <x v="7"/>
    <n v="0.86"/>
    <x v="21"/>
    <x v="1"/>
    <m/>
    <m/>
    <m/>
    <m/>
    <m/>
    <m/>
    <m/>
    <m/>
    <m/>
    <m/>
  </r>
  <r>
    <x v="13"/>
    <n v="45380"/>
    <x v="1"/>
    <x v="3"/>
    <x v="80"/>
    <n v="1"/>
    <x v="86"/>
    <x v="2"/>
    <m/>
    <m/>
    <m/>
    <m/>
    <m/>
    <m/>
    <m/>
    <m/>
    <m/>
    <m/>
  </r>
  <r>
    <x v="16"/>
    <n v="139044"/>
    <x v="8"/>
    <x v="2"/>
    <x v="32"/>
    <n v="1.23"/>
    <x v="35"/>
    <x v="0"/>
    <m/>
    <m/>
    <m/>
    <m/>
    <m/>
    <m/>
    <m/>
    <m/>
    <m/>
    <m/>
  </r>
  <r>
    <x v="12"/>
    <n v="114705"/>
    <x v="12"/>
    <x v="0"/>
    <x v="4"/>
    <n v="1.45"/>
    <x v="23"/>
    <x v="2"/>
    <m/>
    <m/>
    <m/>
    <m/>
    <m/>
    <m/>
    <m/>
    <m/>
    <m/>
    <m/>
  </r>
  <r>
    <x v="18"/>
    <n v="141375"/>
    <x v="28"/>
    <x v="1"/>
    <x v="94"/>
    <n v="1.41"/>
    <x v="63"/>
    <x v="1"/>
    <m/>
    <m/>
    <m/>
    <m/>
    <m/>
    <m/>
    <m/>
    <m/>
    <m/>
    <m/>
  </r>
  <r>
    <x v="2"/>
    <n v="135454"/>
    <x v="28"/>
    <x v="1"/>
    <x v="32"/>
    <n v="0.97"/>
    <x v="32"/>
    <x v="0"/>
    <m/>
    <m/>
    <m/>
    <m/>
    <m/>
    <m/>
    <m/>
    <m/>
    <m/>
    <m/>
  </r>
  <r>
    <x v="1"/>
    <n v="55903"/>
    <x v="6"/>
    <x v="0"/>
    <x v="12"/>
    <n v="0.68"/>
    <x v="63"/>
    <x v="1"/>
    <m/>
    <m/>
    <m/>
    <m/>
    <m/>
    <m/>
    <m/>
    <m/>
    <m/>
    <m/>
  </r>
  <r>
    <x v="14"/>
    <n v="55036"/>
    <x v="20"/>
    <x v="2"/>
    <x v="90"/>
    <n v="0.94"/>
    <x v="35"/>
    <x v="0"/>
    <m/>
    <m/>
    <m/>
    <m/>
    <m/>
    <m/>
    <m/>
    <m/>
    <m/>
    <m/>
  </r>
  <r>
    <x v="4"/>
    <n v="117309"/>
    <x v="18"/>
    <x v="1"/>
    <x v="34"/>
    <n v="1.24"/>
    <x v="30"/>
    <x v="2"/>
    <m/>
    <m/>
    <m/>
    <m/>
    <m/>
    <m/>
    <m/>
    <m/>
    <m/>
    <m/>
  </r>
  <r>
    <x v="3"/>
    <n v="100412"/>
    <x v="20"/>
    <x v="3"/>
    <x v="66"/>
    <n v="0.61"/>
    <x v="64"/>
    <x v="2"/>
    <m/>
    <m/>
    <m/>
    <m/>
    <m/>
    <m/>
    <m/>
    <m/>
    <m/>
    <m/>
  </r>
  <r>
    <x v="4"/>
    <n v="32414"/>
    <x v="28"/>
    <x v="3"/>
    <x v="36"/>
    <n v="1.04"/>
    <x v="3"/>
    <x v="2"/>
    <m/>
    <m/>
    <m/>
    <m/>
    <m/>
    <m/>
    <m/>
    <m/>
    <m/>
    <m/>
  </r>
  <r>
    <x v="6"/>
    <n v="140419"/>
    <x v="29"/>
    <x v="1"/>
    <x v="5"/>
    <n v="0.98"/>
    <x v="36"/>
    <x v="2"/>
    <m/>
    <m/>
    <m/>
    <m/>
    <m/>
    <m/>
    <m/>
    <m/>
    <m/>
    <m/>
  </r>
  <r>
    <x v="1"/>
    <n v="55976"/>
    <x v="25"/>
    <x v="0"/>
    <x v="46"/>
    <n v="1.01"/>
    <x v="82"/>
    <x v="1"/>
    <m/>
    <m/>
    <m/>
    <m/>
    <m/>
    <m/>
    <m/>
    <m/>
    <m/>
    <m/>
  </r>
  <r>
    <x v="15"/>
    <n v="78787"/>
    <x v="15"/>
    <x v="0"/>
    <x v="47"/>
    <n v="1.0900000000000001"/>
    <x v="61"/>
    <x v="1"/>
    <m/>
    <m/>
    <m/>
    <m/>
    <m/>
    <m/>
    <m/>
    <m/>
    <m/>
    <m/>
  </r>
  <r>
    <x v="0"/>
    <n v="104918"/>
    <x v="21"/>
    <x v="2"/>
    <x v="79"/>
    <n v="1.21"/>
    <x v="24"/>
    <x v="0"/>
    <m/>
    <m/>
    <m/>
    <m/>
    <m/>
    <m/>
    <m/>
    <m/>
    <m/>
    <m/>
  </r>
  <r>
    <x v="14"/>
    <n v="118121"/>
    <x v="15"/>
    <x v="0"/>
    <x v="76"/>
    <n v="1.18"/>
    <x v="35"/>
    <x v="0"/>
    <m/>
    <m/>
    <m/>
    <m/>
    <m/>
    <m/>
    <m/>
    <m/>
    <m/>
    <m/>
  </r>
  <r>
    <x v="16"/>
    <n v="34847"/>
    <x v="26"/>
    <x v="1"/>
    <x v="37"/>
    <n v="1.23"/>
    <x v="90"/>
    <x v="0"/>
    <m/>
    <m/>
    <m/>
    <m/>
    <m/>
    <m/>
    <m/>
    <m/>
    <m/>
    <m/>
  </r>
  <r>
    <x v="14"/>
    <n v="100182"/>
    <x v="7"/>
    <x v="1"/>
    <x v="70"/>
    <n v="1.04"/>
    <x v="39"/>
    <x v="0"/>
    <m/>
    <m/>
    <m/>
    <m/>
    <m/>
    <m/>
    <m/>
    <m/>
    <m/>
    <m/>
  </r>
  <r>
    <x v="3"/>
    <n v="128757"/>
    <x v="29"/>
    <x v="1"/>
    <x v="79"/>
    <n v="0.85"/>
    <x v="55"/>
    <x v="2"/>
    <m/>
    <m/>
    <m/>
    <m/>
    <m/>
    <m/>
    <m/>
    <m/>
    <m/>
    <m/>
  </r>
  <r>
    <x v="10"/>
    <n v="129584"/>
    <x v="16"/>
    <x v="3"/>
    <x v="34"/>
    <n v="1.2"/>
    <x v="46"/>
    <x v="2"/>
    <m/>
    <m/>
    <m/>
    <m/>
    <m/>
    <m/>
    <m/>
    <m/>
    <m/>
    <m/>
  </r>
  <r>
    <x v="2"/>
    <n v="59476"/>
    <x v="22"/>
    <x v="0"/>
    <x v="45"/>
    <n v="0.5"/>
    <x v="62"/>
    <x v="0"/>
    <m/>
    <m/>
    <m/>
    <m/>
    <m/>
    <m/>
    <m/>
    <m/>
    <m/>
    <m/>
  </r>
  <r>
    <x v="1"/>
    <n v="81880"/>
    <x v="23"/>
    <x v="0"/>
    <x v="4"/>
    <n v="1.08"/>
    <x v="52"/>
    <x v="1"/>
    <m/>
    <m/>
    <m/>
    <m/>
    <m/>
    <m/>
    <m/>
    <m/>
    <m/>
    <m/>
  </r>
  <r>
    <x v="5"/>
    <n v="148283"/>
    <x v="15"/>
    <x v="3"/>
    <x v="31"/>
    <n v="1.48"/>
    <x v="47"/>
    <x v="1"/>
    <m/>
    <m/>
    <m/>
    <m/>
    <m/>
    <m/>
    <m/>
    <m/>
    <m/>
    <m/>
  </r>
  <r>
    <x v="11"/>
    <n v="32393"/>
    <x v="19"/>
    <x v="1"/>
    <x v="55"/>
    <n v="1.22"/>
    <x v="23"/>
    <x v="2"/>
    <m/>
    <m/>
    <m/>
    <m/>
    <m/>
    <m/>
    <m/>
    <m/>
    <m/>
    <m/>
  </r>
  <r>
    <x v="14"/>
    <n v="35481"/>
    <x v="14"/>
    <x v="2"/>
    <x v="63"/>
    <n v="1.39"/>
    <x v="81"/>
    <x v="0"/>
    <m/>
    <m/>
    <m/>
    <m/>
    <m/>
    <m/>
    <m/>
    <m/>
    <m/>
    <m/>
  </r>
  <r>
    <x v="12"/>
    <n v="137033"/>
    <x v="0"/>
    <x v="3"/>
    <x v="82"/>
    <n v="1.24"/>
    <x v="8"/>
    <x v="2"/>
    <m/>
    <m/>
    <m/>
    <m/>
    <m/>
    <m/>
    <m/>
    <m/>
    <m/>
    <m/>
  </r>
  <r>
    <x v="5"/>
    <n v="49361"/>
    <x v="1"/>
    <x v="0"/>
    <x v="11"/>
    <n v="1.34"/>
    <x v="7"/>
    <x v="1"/>
    <m/>
    <m/>
    <m/>
    <m/>
    <m/>
    <m/>
    <m/>
    <m/>
    <m/>
    <m/>
  </r>
  <r>
    <x v="7"/>
    <n v="59146"/>
    <x v="10"/>
    <x v="3"/>
    <x v="80"/>
    <n v="1.43"/>
    <x v="5"/>
    <x v="1"/>
    <m/>
    <m/>
    <m/>
    <m/>
    <m/>
    <m/>
    <m/>
    <m/>
    <m/>
    <m/>
  </r>
  <r>
    <x v="4"/>
    <n v="113102"/>
    <x v="27"/>
    <x v="1"/>
    <x v="56"/>
    <n v="1.34"/>
    <x v="79"/>
    <x v="2"/>
    <m/>
    <m/>
    <m/>
    <m/>
    <m/>
    <m/>
    <m/>
    <m/>
    <m/>
    <m/>
  </r>
  <r>
    <x v="10"/>
    <n v="37769"/>
    <x v="4"/>
    <x v="1"/>
    <x v="79"/>
    <n v="0.96"/>
    <x v="20"/>
    <x v="2"/>
    <m/>
    <m/>
    <m/>
    <m/>
    <m/>
    <m/>
    <m/>
    <m/>
    <m/>
    <m/>
  </r>
  <r>
    <x v="9"/>
    <n v="126939"/>
    <x v="10"/>
    <x v="2"/>
    <x v="10"/>
    <n v="1.1100000000000001"/>
    <x v="90"/>
    <x v="0"/>
    <m/>
    <m/>
    <m/>
    <m/>
    <m/>
    <m/>
    <m/>
    <m/>
    <m/>
    <m/>
  </r>
  <r>
    <x v="14"/>
    <n v="68226"/>
    <x v="5"/>
    <x v="1"/>
    <x v="65"/>
    <n v="1.41"/>
    <x v="0"/>
    <x v="0"/>
    <m/>
    <m/>
    <m/>
    <m/>
    <m/>
    <m/>
    <m/>
    <m/>
    <m/>
    <m/>
  </r>
  <r>
    <x v="9"/>
    <n v="99516"/>
    <x v="20"/>
    <x v="1"/>
    <x v="76"/>
    <n v="1.44"/>
    <x v="28"/>
    <x v="0"/>
    <m/>
    <m/>
    <m/>
    <m/>
    <m/>
    <m/>
    <m/>
    <m/>
    <m/>
    <m/>
  </r>
  <r>
    <x v="0"/>
    <n v="143645"/>
    <x v="27"/>
    <x v="3"/>
    <x v="70"/>
    <n v="0.62"/>
    <x v="32"/>
    <x v="0"/>
    <m/>
    <m/>
    <m/>
    <m/>
    <m/>
    <m/>
    <m/>
    <m/>
    <m/>
    <m/>
  </r>
  <r>
    <x v="13"/>
    <n v="134230"/>
    <x v="20"/>
    <x v="0"/>
    <x v="46"/>
    <n v="1.05"/>
    <x v="46"/>
    <x v="2"/>
    <m/>
    <m/>
    <m/>
    <m/>
    <m/>
    <m/>
    <m/>
    <m/>
    <m/>
    <m/>
  </r>
  <r>
    <x v="11"/>
    <n v="53167"/>
    <x v="4"/>
    <x v="2"/>
    <x v="66"/>
    <n v="1.34"/>
    <x v="48"/>
    <x v="2"/>
    <m/>
    <m/>
    <m/>
    <m/>
    <m/>
    <m/>
    <m/>
    <m/>
    <m/>
    <m/>
  </r>
  <r>
    <x v="10"/>
    <n v="52772"/>
    <x v="12"/>
    <x v="1"/>
    <x v="9"/>
    <n v="1.03"/>
    <x v="65"/>
    <x v="2"/>
    <m/>
    <m/>
    <m/>
    <m/>
    <m/>
    <m/>
    <m/>
    <m/>
    <m/>
    <m/>
  </r>
  <r>
    <x v="7"/>
    <n v="55354"/>
    <x v="12"/>
    <x v="3"/>
    <x v="32"/>
    <n v="1.0900000000000001"/>
    <x v="19"/>
    <x v="1"/>
    <m/>
    <m/>
    <m/>
    <m/>
    <m/>
    <m/>
    <m/>
    <m/>
    <m/>
    <m/>
  </r>
  <r>
    <x v="11"/>
    <n v="51942"/>
    <x v="16"/>
    <x v="3"/>
    <x v="91"/>
    <n v="1.45"/>
    <x v="64"/>
    <x v="2"/>
    <m/>
    <m/>
    <m/>
    <m/>
    <m/>
    <m/>
    <m/>
    <m/>
    <m/>
    <m/>
  </r>
  <r>
    <x v="8"/>
    <n v="38152"/>
    <x v="8"/>
    <x v="2"/>
    <x v="46"/>
    <n v="0.71"/>
    <x v="49"/>
    <x v="2"/>
    <m/>
    <m/>
    <m/>
    <m/>
    <m/>
    <m/>
    <m/>
    <m/>
    <m/>
    <m/>
  </r>
  <r>
    <x v="13"/>
    <n v="134753"/>
    <x v="23"/>
    <x v="0"/>
    <x v="6"/>
    <n v="0.65"/>
    <x v="64"/>
    <x v="2"/>
    <m/>
    <m/>
    <m/>
    <m/>
    <m/>
    <m/>
    <m/>
    <m/>
    <m/>
    <m/>
  </r>
  <r>
    <x v="8"/>
    <n v="42061"/>
    <x v="22"/>
    <x v="2"/>
    <x v="62"/>
    <n v="1.03"/>
    <x v="4"/>
    <x v="2"/>
    <m/>
    <m/>
    <m/>
    <m/>
    <m/>
    <m/>
    <m/>
    <m/>
    <m/>
    <m/>
  </r>
  <r>
    <x v="8"/>
    <n v="76350"/>
    <x v="7"/>
    <x v="2"/>
    <x v="21"/>
    <n v="0.95"/>
    <x v="64"/>
    <x v="2"/>
    <m/>
    <m/>
    <m/>
    <m/>
    <m/>
    <m/>
    <m/>
    <m/>
    <m/>
    <m/>
  </r>
  <r>
    <x v="4"/>
    <n v="99828"/>
    <x v="9"/>
    <x v="3"/>
    <x v="52"/>
    <n v="1.43"/>
    <x v="68"/>
    <x v="2"/>
    <m/>
    <m/>
    <m/>
    <m/>
    <m/>
    <m/>
    <m/>
    <m/>
    <m/>
    <m/>
  </r>
  <r>
    <x v="13"/>
    <n v="37084"/>
    <x v="5"/>
    <x v="3"/>
    <x v="15"/>
    <n v="0.84"/>
    <x v="53"/>
    <x v="2"/>
    <m/>
    <m/>
    <m/>
    <m/>
    <m/>
    <m/>
    <m/>
    <m/>
    <m/>
    <m/>
  </r>
  <r>
    <x v="17"/>
    <n v="112617"/>
    <x v="27"/>
    <x v="2"/>
    <x v="36"/>
    <n v="1.25"/>
    <x v="31"/>
    <x v="2"/>
    <m/>
    <m/>
    <m/>
    <m/>
    <m/>
    <m/>
    <m/>
    <m/>
    <m/>
    <m/>
  </r>
  <r>
    <x v="0"/>
    <n v="36486"/>
    <x v="22"/>
    <x v="3"/>
    <x v="42"/>
    <n v="0.61"/>
    <x v="83"/>
    <x v="0"/>
    <m/>
    <m/>
    <m/>
    <m/>
    <m/>
    <m/>
    <m/>
    <m/>
    <m/>
    <m/>
  </r>
  <r>
    <x v="3"/>
    <n v="107925"/>
    <x v="11"/>
    <x v="1"/>
    <x v="34"/>
    <n v="1"/>
    <x v="69"/>
    <x v="2"/>
    <m/>
    <m/>
    <m/>
    <m/>
    <m/>
    <m/>
    <m/>
    <m/>
    <m/>
    <m/>
  </r>
  <r>
    <x v="6"/>
    <n v="52474"/>
    <x v="9"/>
    <x v="0"/>
    <x v="17"/>
    <n v="0.91"/>
    <x v="55"/>
    <x v="2"/>
    <m/>
    <m/>
    <m/>
    <m/>
    <m/>
    <m/>
    <m/>
    <m/>
    <m/>
    <m/>
  </r>
  <r>
    <x v="16"/>
    <n v="48274"/>
    <x v="5"/>
    <x v="3"/>
    <x v="6"/>
    <n v="1.3"/>
    <x v="76"/>
    <x v="0"/>
    <m/>
    <m/>
    <m/>
    <m/>
    <m/>
    <m/>
    <m/>
    <m/>
    <m/>
    <m/>
  </r>
  <r>
    <x v="19"/>
    <n v="79696"/>
    <x v="0"/>
    <x v="1"/>
    <x v="78"/>
    <n v="0.94"/>
    <x v="30"/>
    <x v="2"/>
    <m/>
    <m/>
    <m/>
    <m/>
    <m/>
    <m/>
    <m/>
    <m/>
    <m/>
    <m/>
  </r>
  <r>
    <x v="10"/>
    <n v="82736"/>
    <x v="20"/>
    <x v="1"/>
    <x v="9"/>
    <n v="0.72"/>
    <x v="14"/>
    <x v="2"/>
    <m/>
    <m/>
    <m/>
    <m/>
    <m/>
    <m/>
    <m/>
    <m/>
    <m/>
    <m/>
  </r>
  <r>
    <x v="15"/>
    <n v="65539"/>
    <x v="10"/>
    <x v="3"/>
    <x v="64"/>
    <n v="1.1599999999999999"/>
    <x v="27"/>
    <x v="1"/>
    <m/>
    <m/>
    <m/>
    <m/>
    <m/>
    <m/>
    <m/>
    <m/>
    <m/>
    <m/>
  </r>
  <r>
    <x v="19"/>
    <n v="71135"/>
    <x v="10"/>
    <x v="3"/>
    <x v="43"/>
    <n v="1.42"/>
    <x v="68"/>
    <x v="2"/>
    <m/>
    <m/>
    <m/>
    <m/>
    <m/>
    <m/>
    <m/>
    <m/>
    <m/>
    <m/>
  </r>
  <r>
    <x v="11"/>
    <n v="107487"/>
    <x v="23"/>
    <x v="3"/>
    <x v="81"/>
    <n v="0.57999999999999996"/>
    <x v="86"/>
    <x v="2"/>
    <m/>
    <m/>
    <m/>
    <m/>
    <m/>
    <m/>
    <m/>
    <m/>
    <m/>
    <m/>
  </r>
  <r>
    <x v="10"/>
    <n v="146298"/>
    <x v="8"/>
    <x v="3"/>
    <x v="73"/>
    <n v="1.04"/>
    <x v="22"/>
    <x v="2"/>
    <m/>
    <m/>
    <m/>
    <m/>
    <m/>
    <m/>
    <m/>
    <m/>
    <m/>
    <m/>
  </r>
  <r>
    <x v="17"/>
    <n v="144571"/>
    <x v="4"/>
    <x v="0"/>
    <x v="33"/>
    <n v="0.68"/>
    <x v="23"/>
    <x v="2"/>
    <m/>
    <m/>
    <m/>
    <m/>
    <m/>
    <m/>
    <m/>
    <m/>
    <m/>
    <m/>
  </r>
  <r>
    <x v="3"/>
    <n v="112753"/>
    <x v="14"/>
    <x v="0"/>
    <x v="33"/>
    <n v="0.67"/>
    <x v="4"/>
    <x v="2"/>
    <m/>
    <m/>
    <m/>
    <m/>
    <m/>
    <m/>
    <m/>
    <m/>
    <m/>
    <m/>
  </r>
  <r>
    <x v="3"/>
    <n v="81716"/>
    <x v="27"/>
    <x v="0"/>
    <x v="82"/>
    <n v="0.66"/>
    <x v="25"/>
    <x v="2"/>
    <m/>
    <m/>
    <m/>
    <m/>
    <m/>
    <m/>
    <m/>
    <m/>
    <m/>
    <m/>
  </r>
  <r>
    <x v="5"/>
    <n v="46250"/>
    <x v="11"/>
    <x v="1"/>
    <x v="94"/>
    <n v="1.1399999999999999"/>
    <x v="21"/>
    <x v="1"/>
    <m/>
    <m/>
    <m/>
    <m/>
    <m/>
    <m/>
    <m/>
    <m/>
    <m/>
    <m/>
  </r>
  <r>
    <x v="15"/>
    <n v="102006"/>
    <x v="25"/>
    <x v="3"/>
    <x v="84"/>
    <n v="0.84"/>
    <x v="88"/>
    <x v="1"/>
    <m/>
    <m/>
    <m/>
    <m/>
    <m/>
    <m/>
    <m/>
    <m/>
    <m/>
    <m/>
  </r>
  <r>
    <x v="15"/>
    <n v="60837"/>
    <x v="22"/>
    <x v="0"/>
    <x v="6"/>
    <n v="1.1100000000000001"/>
    <x v="70"/>
    <x v="1"/>
    <m/>
    <m/>
    <m/>
    <m/>
    <m/>
    <m/>
    <m/>
    <m/>
    <m/>
    <m/>
  </r>
  <r>
    <x v="12"/>
    <n v="66742"/>
    <x v="23"/>
    <x v="2"/>
    <x v="49"/>
    <n v="0.97"/>
    <x v="87"/>
    <x v="2"/>
    <m/>
    <m/>
    <m/>
    <m/>
    <m/>
    <m/>
    <m/>
    <m/>
    <m/>
    <m/>
  </r>
  <r>
    <x v="13"/>
    <n v="119131"/>
    <x v="26"/>
    <x v="1"/>
    <x v="30"/>
    <n v="0.75"/>
    <x v="57"/>
    <x v="2"/>
    <m/>
    <m/>
    <m/>
    <m/>
    <m/>
    <m/>
    <m/>
    <m/>
    <m/>
    <m/>
  </r>
  <r>
    <x v="6"/>
    <n v="107497"/>
    <x v="12"/>
    <x v="1"/>
    <x v="30"/>
    <n v="1.26"/>
    <x v="45"/>
    <x v="2"/>
    <m/>
    <m/>
    <m/>
    <m/>
    <m/>
    <m/>
    <m/>
    <m/>
    <m/>
    <m/>
  </r>
  <r>
    <x v="8"/>
    <n v="57788"/>
    <x v="29"/>
    <x v="1"/>
    <x v="11"/>
    <n v="0.82"/>
    <x v="53"/>
    <x v="2"/>
    <m/>
    <m/>
    <m/>
    <m/>
    <m/>
    <m/>
    <m/>
    <m/>
    <m/>
    <m/>
  </r>
  <r>
    <x v="6"/>
    <n v="64712"/>
    <x v="11"/>
    <x v="1"/>
    <x v="14"/>
    <n v="0.78"/>
    <x v="69"/>
    <x v="2"/>
    <m/>
    <m/>
    <m/>
    <m/>
    <m/>
    <m/>
    <m/>
    <m/>
    <m/>
    <m/>
  </r>
  <r>
    <x v="4"/>
    <n v="68319"/>
    <x v="8"/>
    <x v="0"/>
    <x v="41"/>
    <n v="0.84"/>
    <x v="22"/>
    <x v="2"/>
    <m/>
    <m/>
    <m/>
    <m/>
    <m/>
    <m/>
    <m/>
    <m/>
    <m/>
    <m/>
  </r>
  <r>
    <x v="14"/>
    <n v="67289"/>
    <x v="4"/>
    <x v="1"/>
    <x v="2"/>
    <n v="0.56000000000000005"/>
    <x v="73"/>
    <x v="0"/>
    <m/>
    <m/>
    <m/>
    <m/>
    <m/>
    <m/>
    <m/>
    <m/>
    <m/>
    <m/>
  </r>
  <r>
    <x v="10"/>
    <n v="75040"/>
    <x v="21"/>
    <x v="0"/>
    <x v="10"/>
    <n v="1.02"/>
    <x v="33"/>
    <x v="2"/>
    <m/>
    <m/>
    <m/>
    <m/>
    <m/>
    <m/>
    <m/>
    <m/>
    <m/>
    <m/>
  </r>
  <r>
    <x v="16"/>
    <n v="120886"/>
    <x v="14"/>
    <x v="3"/>
    <x v="86"/>
    <n v="1.39"/>
    <x v="67"/>
    <x v="0"/>
    <m/>
    <m/>
    <m/>
    <m/>
    <m/>
    <m/>
    <m/>
    <m/>
    <m/>
    <m/>
  </r>
  <r>
    <x v="4"/>
    <n v="64118"/>
    <x v="22"/>
    <x v="1"/>
    <x v="66"/>
    <n v="0.94"/>
    <x v="84"/>
    <x v="2"/>
    <m/>
    <m/>
    <m/>
    <m/>
    <m/>
    <m/>
    <m/>
    <m/>
    <m/>
    <m/>
  </r>
  <r>
    <x v="13"/>
    <n v="125381"/>
    <x v="3"/>
    <x v="2"/>
    <x v="23"/>
    <n v="1.32"/>
    <x v="53"/>
    <x v="2"/>
    <m/>
    <m/>
    <m/>
    <m/>
    <m/>
    <m/>
    <m/>
    <m/>
    <m/>
    <m/>
  </r>
  <r>
    <x v="9"/>
    <n v="62146"/>
    <x v="27"/>
    <x v="0"/>
    <x v="82"/>
    <n v="0.95"/>
    <x v="44"/>
    <x v="0"/>
    <m/>
    <m/>
    <m/>
    <m/>
    <m/>
    <m/>
    <m/>
    <m/>
    <m/>
    <m/>
  </r>
  <r>
    <x v="4"/>
    <n v="60410"/>
    <x v="18"/>
    <x v="1"/>
    <x v="70"/>
    <n v="1.25"/>
    <x v="10"/>
    <x v="2"/>
    <m/>
    <m/>
    <m/>
    <m/>
    <m/>
    <m/>
    <m/>
    <m/>
    <m/>
    <m/>
  </r>
  <r>
    <x v="16"/>
    <n v="110449"/>
    <x v="20"/>
    <x v="2"/>
    <x v="59"/>
    <n v="0.88"/>
    <x v="73"/>
    <x v="0"/>
    <m/>
    <m/>
    <m/>
    <m/>
    <m/>
    <m/>
    <m/>
    <m/>
    <m/>
    <m/>
  </r>
  <r>
    <x v="4"/>
    <n v="142691"/>
    <x v="17"/>
    <x v="0"/>
    <x v="78"/>
    <n v="0.84"/>
    <x v="50"/>
    <x v="2"/>
    <m/>
    <m/>
    <m/>
    <m/>
    <m/>
    <m/>
    <m/>
    <m/>
    <m/>
    <m/>
  </r>
  <r>
    <x v="0"/>
    <n v="33659"/>
    <x v="25"/>
    <x v="1"/>
    <x v="11"/>
    <n v="1.47"/>
    <x v="35"/>
    <x v="0"/>
    <m/>
    <m/>
    <m/>
    <m/>
    <m/>
    <m/>
    <m/>
    <m/>
    <m/>
    <m/>
  </r>
  <r>
    <x v="15"/>
    <n v="109911"/>
    <x v="10"/>
    <x v="1"/>
    <x v="16"/>
    <n v="1.21"/>
    <x v="54"/>
    <x v="1"/>
    <m/>
    <m/>
    <m/>
    <m/>
    <m/>
    <m/>
    <m/>
    <m/>
    <m/>
    <m/>
  </r>
  <r>
    <x v="6"/>
    <n v="117298"/>
    <x v="0"/>
    <x v="1"/>
    <x v="60"/>
    <n v="1.49"/>
    <x v="46"/>
    <x v="2"/>
    <m/>
    <m/>
    <m/>
    <m/>
    <m/>
    <m/>
    <m/>
    <m/>
    <m/>
    <m/>
  </r>
  <r>
    <x v="18"/>
    <n v="100114"/>
    <x v="29"/>
    <x v="1"/>
    <x v="35"/>
    <n v="1.17"/>
    <x v="41"/>
    <x v="1"/>
    <m/>
    <m/>
    <m/>
    <m/>
    <m/>
    <m/>
    <m/>
    <m/>
    <m/>
    <m/>
  </r>
  <r>
    <x v="18"/>
    <n v="149401"/>
    <x v="17"/>
    <x v="2"/>
    <x v="96"/>
    <n v="0.73"/>
    <x v="85"/>
    <x v="1"/>
    <m/>
    <m/>
    <m/>
    <m/>
    <m/>
    <m/>
    <m/>
    <m/>
    <m/>
    <m/>
  </r>
  <r>
    <x v="11"/>
    <n v="101160"/>
    <x v="23"/>
    <x v="2"/>
    <x v="83"/>
    <n v="0.74"/>
    <x v="86"/>
    <x v="2"/>
    <m/>
    <m/>
    <m/>
    <m/>
    <m/>
    <m/>
    <m/>
    <m/>
    <m/>
    <m/>
  </r>
  <r>
    <x v="17"/>
    <n v="66594"/>
    <x v="6"/>
    <x v="2"/>
    <x v="14"/>
    <n v="0.65"/>
    <x v="33"/>
    <x v="2"/>
    <m/>
    <m/>
    <m/>
    <m/>
    <m/>
    <m/>
    <m/>
    <m/>
    <m/>
    <m/>
  </r>
  <r>
    <x v="17"/>
    <n v="94043"/>
    <x v="22"/>
    <x v="1"/>
    <x v="86"/>
    <n v="1.06"/>
    <x v="79"/>
    <x v="2"/>
    <m/>
    <m/>
    <m/>
    <m/>
    <m/>
    <m/>
    <m/>
    <m/>
    <m/>
    <m/>
  </r>
  <r>
    <x v="18"/>
    <n v="110270"/>
    <x v="20"/>
    <x v="2"/>
    <x v="51"/>
    <n v="0.84"/>
    <x v="34"/>
    <x v="1"/>
    <m/>
    <m/>
    <m/>
    <m/>
    <m/>
    <m/>
    <m/>
    <m/>
    <m/>
    <m/>
  </r>
  <r>
    <x v="18"/>
    <n v="98393"/>
    <x v="12"/>
    <x v="2"/>
    <x v="58"/>
    <n v="0.87"/>
    <x v="29"/>
    <x v="1"/>
    <m/>
    <m/>
    <m/>
    <m/>
    <m/>
    <m/>
    <m/>
    <m/>
    <m/>
    <m/>
  </r>
  <r>
    <x v="18"/>
    <n v="104038"/>
    <x v="27"/>
    <x v="0"/>
    <x v="31"/>
    <n v="1.1599999999999999"/>
    <x v="41"/>
    <x v="1"/>
    <m/>
    <m/>
    <m/>
    <m/>
    <m/>
    <m/>
    <m/>
    <m/>
    <m/>
    <m/>
  </r>
  <r>
    <x v="11"/>
    <n v="104088"/>
    <x v="5"/>
    <x v="1"/>
    <x v="38"/>
    <n v="0.65"/>
    <x v="22"/>
    <x v="2"/>
    <m/>
    <m/>
    <m/>
    <m/>
    <m/>
    <m/>
    <m/>
    <m/>
    <m/>
    <m/>
  </r>
  <r>
    <x v="19"/>
    <n v="38290"/>
    <x v="9"/>
    <x v="1"/>
    <x v="74"/>
    <n v="0.99"/>
    <x v="14"/>
    <x v="2"/>
    <m/>
    <m/>
    <m/>
    <m/>
    <m/>
    <m/>
    <m/>
    <m/>
    <m/>
    <m/>
  </r>
  <r>
    <x v="1"/>
    <n v="86373"/>
    <x v="28"/>
    <x v="1"/>
    <x v="3"/>
    <n v="1.41"/>
    <x v="15"/>
    <x v="1"/>
    <m/>
    <m/>
    <m/>
    <m/>
    <m/>
    <m/>
    <m/>
    <m/>
    <m/>
    <m/>
  </r>
  <r>
    <x v="17"/>
    <n v="73532"/>
    <x v="19"/>
    <x v="0"/>
    <x v="85"/>
    <n v="0.73"/>
    <x v="38"/>
    <x v="2"/>
    <m/>
    <m/>
    <m/>
    <m/>
    <m/>
    <m/>
    <m/>
    <m/>
    <m/>
    <m/>
  </r>
  <r>
    <x v="18"/>
    <n v="132708"/>
    <x v="0"/>
    <x v="2"/>
    <x v="42"/>
    <n v="0.89"/>
    <x v="75"/>
    <x v="1"/>
    <m/>
    <m/>
    <m/>
    <m/>
    <m/>
    <m/>
    <m/>
    <m/>
    <m/>
    <m/>
  </r>
  <r>
    <x v="18"/>
    <n v="144846"/>
    <x v="20"/>
    <x v="1"/>
    <x v="89"/>
    <n v="1.03"/>
    <x v="42"/>
    <x v="1"/>
    <m/>
    <m/>
    <m/>
    <m/>
    <m/>
    <m/>
    <m/>
    <m/>
    <m/>
    <m/>
  </r>
  <r>
    <x v="18"/>
    <n v="90254"/>
    <x v="18"/>
    <x v="3"/>
    <x v="5"/>
    <n v="1.03"/>
    <x v="52"/>
    <x v="1"/>
    <m/>
    <m/>
    <m/>
    <m/>
    <m/>
    <m/>
    <m/>
    <m/>
    <m/>
    <m/>
  </r>
  <r>
    <x v="18"/>
    <n v="51219"/>
    <x v="29"/>
    <x v="3"/>
    <x v="36"/>
    <n v="0.79"/>
    <x v="75"/>
    <x v="1"/>
    <m/>
    <m/>
    <m/>
    <m/>
    <m/>
    <m/>
    <m/>
    <m/>
    <m/>
    <m/>
  </r>
  <r>
    <x v="13"/>
    <n v="114899"/>
    <x v="11"/>
    <x v="0"/>
    <x v="59"/>
    <n v="0.56999999999999995"/>
    <x v="11"/>
    <x v="2"/>
    <m/>
    <m/>
    <m/>
    <m/>
    <m/>
    <m/>
    <m/>
    <m/>
    <m/>
    <m/>
  </r>
  <r>
    <x v="14"/>
    <n v="63275"/>
    <x v="1"/>
    <x v="1"/>
    <x v="15"/>
    <n v="0.76"/>
    <x v="17"/>
    <x v="0"/>
    <m/>
    <m/>
    <m/>
    <m/>
    <m/>
    <m/>
    <m/>
    <m/>
    <m/>
    <m/>
  </r>
  <r>
    <x v="13"/>
    <n v="79662"/>
    <x v="17"/>
    <x v="2"/>
    <x v="59"/>
    <n v="0.63"/>
    <x v="25"/>
    <x v="2"/>
    <m/>
    <m/>
    <m/>
    <m/>
    <m/>
    <m/>
    <m/>
    <m/>
    <m/>
    <m/>
  </r>
  <r>
    <x v="15"/>
    <n v="62158"/>
    <x v="1"/>
    <x v="2"/>
    <x v="81"/>
    <n v="1.22"/>
    <x v="29"/>
    <x v="1"/>
    <m/>
    <m/>
    <m/>
    <m/>
    <m/>
    <m/>
    <m/>
    <m/>
    <m/>
    <m/>
  </r>
  <r>
    <x v="1"/>
    <n v="103484"/>
    <x v="24"/>
    <x v="0"/>
    <x v="11"/>
    <n v="0.52"/>
    <x v="15"/>
    <x v="1"/>
    <m/>
    <m/>
    <m/>
    <m/>
    <m/>
    <m/>
    <m/>
    <m/>
    <m/>
    <m/>
  </r>
  <r>
    <x v="15"/>
    <n v="116810"/>
    <x v="21"/>
    <x v="0"/>
    <x v="76"/>
    <n v="1.21"/>
    <x v="37"/>
    <x v="1"/>
    <m/>
    <m/>
    <m/>
    <m/>
    <m/>
    <m/>
    <m/>
    <m/>
    <m/>
    <m/>
  </r>
  <r>
    <x v="0"/>
    <n v="104035"/>
    <x v="11"/>
    <x v="3"/>
    <x v="34"/>
    <n v="0.89"/>
    <x v="51"/>
    <x v="0"/>
    <m/>
    <m/>
    <m/>
    <m/>
    <m/>
    <m/>
    <m/>
    <m/>
    <m/>
    <m/>
  </r>
  <r>
    <x v="4"/>
    <n v="83917"/>
    <x v="25"/>
    <x v="0"/>
    <x v="51"/>
    <n v="1.39"/>
    <x v="79"/>
    <x v="2"/>
    <m/>
    <m/>
    <m/>
    <m/>
    <m/>
    <m/>
    <m/>
    <m/>
    <m/>
    <m/>
  </r>
  <r>
    <x v="10"/>
    <n v="91752"/>
    <x v="12"/>
    <x v="1"/>
    <x v="81"/>
    <n v="1.26"/>
    <x v="36"/>
    <x v="2"/>
    <m/>
    <m/>
    <m/>
    <m/>
    <m/>
    <m/>
    <m/>
    <m/>
    <m/>
    <m/>
  </r>
  <r>
    <x v="14"/>
    <n v="120866"/>
    <x v="23"/>
    <x v="3"/>
    <x v="8"/>
    <n v="1.36"/>
    <x v="67"/>
    <x v="0"/>
    <m/>
    <m/>
    <m/>
    <m/>
    <m/>
    <m/>
    <m/>
    <m/>
    <m/>
    <m/>
  </r>
  <r>
    <x v="0"/>
    <n v="56974"/>
    <x v="8"/>
    <x v="2"/>
    <x v="84"/>
    <n v="0.54"/>
    <x v="58"/>
    <x v="2"/>
    <m/>
    <m/>
    <m/>
    <m/>
    <m/>
    <m/>
    <m/>
    <m/>
    <m/>
    <m/>
  </r>
  <r>
    <x v="4"/>
    <n v="130672"/>
    <x v="28"/>
    <x v="3"/>
    <x v="27"/>
    <n v="1.43"/>
    <x v="25"/>
    <x v="2"/>
    <m/>
    <m/>
    <m/>
    <m/>
    <m/>
    <m/>
    <m/>
    <m/>
    <m/>
    <m/>
  </r>
  <r>
    <x v="5"/>
    <n v="58327"/>
    <x v="3"/>
    <x v="0"/>
    <x v="22"/>
    <n v="0.63"/>
    <x v="82"/>
    <x v="1"/>
    <m/>
    <m/>
    <m/>
    <m/>
    <m/>
    <m/>
    <m/>
    <m/>
    <m/>
    <m/>
  </r>
  <r>
    <x v="15"/>
    <n v="63258"/>
    <x v="4"/>
    <x v="1"/>
    <x v="40"/>
    <n v="1.18"/>
    <x v="61"/>
    <x v="1"/>
    <m/>
    <m/>
    <m/>
    <m/>
    <m/>
    <m/>
    <m/>
    <m/>
    <m/>
    <m/>
  </r>
  <r>
    <x v="11"/>
    <n v="95777"/>
    <x v="9"/>
    <x v="1"/>
    <x v="71"/>
    <n v="1.44"/>
    <x v="46"/>
    <x v="2"/>
    <m/>
    <m/>
    <m/>
    <m/>
    <m/>
    <m/>
    <m/>
    <m/>
    <m/>
    <m/>
  </r>
  <r>
    <x v="10"/>
    <n v="105127"/>
    <x v="29"/>
    <x v="3"/>
    <x v="49"/>
    <n v="0.52"/>
    <x v="87"/>
    <x v="2"/>
    <m/>
    <m/>
    <m/>
    <m/>
    <m/>
    <m/>
    <m/>
    <m/>
    <m/>
    <m/>
  </r>
  <r>
    <x v="7"/>
    <n v="64846"/>
    <x v="25"/>
    <x v="3"/>
    <x v="71"/>
    <n v="1.44"/>
    <x v="37"/>
    <x v="1"/>
    <m/>
    <m/>
    <m/>
    <m/>
    <m/>
    <m/>
    <m/>
    <m/>
    <m/>
    <m/>
  </r>
  <r>
    <x v="11"/>
    <n v="89397"/>
    <x v="5"/>
    <x v="3"/>
    <x v="34"/>
    <n v="0.73"/>
    <x v="38"/>
    <x v="2"/>
    <m/>
    <m/>
    <m/>
    <m/>
    <m/>
    <m/>
    <m/>
    <m/>
    <m/>
    <m/>
  </r>
  <r>
    <x v="7"/>
    <n v="148915"/>
    <x v="20"/>
    <x v="3"/>
    <x v="35"/>
    <n v="1.08"/>
    <x v="75"/>
    <x v="1"/>
    <m/>
    <m/>
    <m/>
    <m/>
    <m/>
    <m/>
    <m/>
    <m/>
    <m/>
    <m/>
  </r>
  <r>
    <x v="1"/>
    <n v="140554"/>
    <x v="28"/>
    <x v="2"/>
    <x v="98"/>
    <n v="1.21"/>
    <x v="15"/>
    <x v="1"/>
    <m/>
    <m/>
    <m/>
    <m/>
    <m/>
    <m/>
    <m/>
    <m/>
    <m/>
    <m/>
  </r>
  <r>
    <x v="4"/>
    <n v="114153"/>
    <x v="0"/>
    <x v="1"/>
    <x v="54"/>
    <n v="1.31"/>
    <x v="79"/>
    <x v="2"/>
    <m/>
    <m/>
    <m/>
    <m/>
    <m/>
    <m/>
    <m/>
    <m/>
    <m/>
    <m/>
  </r>
  <r>
    <x v="13"/>
    <n v="137526"/>
    <x v="9"/>
    <x v="1"/>
    <x v="93"/>
    <n v="0.83"/>
    <x v="30"/>
    <x v="2"/>
    <m/>
    <m/>
    <m/>
    <m/>
    <m/>
    <m/>
    <m/>
    <m/>
    <m/>
    <m/>
  </r>
  <r>
    <x v="18"/>
    <n v="126482"/>
    <x v="29"/>
    <x v="1"/>
    <x v="14"/>
    <n v="0.56000000000000005"/>
    <x v="88"/>
    <x v="1"/>
    <m/>
    <m/>
    <m/>
    <m/>
    <m/>
    <m/>
    <m/>
    <m/>
    <m/>
    <m/>
  </r>
  <r>
    <x v="10"/>
    <n v="124274"/>
    <x v="27"/>
    <x v="2"/>
    <x v="28"/>
    <n v="0.63"/>
    <x v="79"/>
    <x v="2"/>
    <m/>
    <m/>
    <m/>
    <m/>
    <m/>
    <m/>
    <m/>
    <m/>
    <m/>
    <m/>
  </r>
  <r>
    <x v="8"/>
    <n v="48638"/>
    <x v="4"/>
    <x v="1"/>
    <x v="52"/>
    <n v="1.2"/>
    <x v="36"/>
    <x v="2"/>
    <m/>
    <m/>
    <m/>
    <m/>
    <m/>
    <m/>
    <m/>
    <m/>
    <m/>
    <m/>
  </r>
  <r>
    <x v="3"/>
    <n v="73162"/>
    <x v="8"/>
    <x v="2"/>
    <x v="22"/>
    <n v="1.17"/>
    <x v="23"/>
    <x v="2"/>
    <m/>
    <m/>
    <m/>
    <m/>
    <m/>
    <m/>
    <m/>
    <m/>
    <m/>
    <m/>
  </r>
  <r>
    <x v="7"/>
    <n v="66105"/>
    <x v="0"/>
    <x v="2"/>
    <x v="54"/>
    <n v="1.27"/>
    <x v="70"/>
    <x v="1"/>
    <m/>
    <m/>
    <m/>
    <m/>
    <m/>
    <m/>
    <m/>
    <m/>
    <m/>
    <m/>
  </r>
  <r>
    <x v="5"/>
    <n v="48246"/>
    <x v="26"/>
    <x v="2"/>
    <x v="92"/>
    <n v="0.99"/>
    <x v="1"/>
    <x v="1"/>
    <m/>
    <m/>
    <m/>
    <m/>
    <m/>
    <m/>
    <m/>
    <m/>
    <m/>
    <m/>
  </r>
  <r>
    <x v="0"/>
    <n v="86470"/>
    <x v="5"/>
    <x v="0"/>
    <x v="96"/>
    <n v="0.84"/>
    <x v="9"/>
    <x v="0"/>
    <m/>
    <m/>
    <m/>
    <m/>
    <m/>
    <m/>
    <m/>
    <m/>
    <m/>
    <m/>
  </r>
  <r>
    <x v="19"/>
    <n v="136054"/>
    <x v="7"/>
    <x v="3"/>
    <x v="20"/>
    <n v="1.19"/>
    <x v="43"/>
    <x v="2"/>
    <m/>
    <m/>
    <m/>
    <m/>
    <m/>
    <m/>
    <m/>
    <m/>
    <m/>
    <m/>
  </r>
  <r>
    <x v="14"/>
    <n v="109721"/>
    <x v="9"/>
    <x v="1"/>
    <x v="59"/>
    <n v="1.3"/>
    <x v="0"/>
    <x v="0"/>
    <m/>
    <m/>
    <m/>
    <m/>
    <m/>
    <m/>
    <m/>
    <m/>
    <m/>
    <m/>
  </r>
  <r>
    <x v="3"/>
    <n v="90475"/>
    <x v="2"/>
    <x v="0"/>
    <x v="69"/>
    <n v="1.04"/>
    <x v="31"/>
    <x v="2"/>
    <m/>
    <m/>
    <m/>
    <m/>
    <m/>
    <m/>
    <m/>
    <m/>
    <m/>
    <m/>
  </r>
  <r>
    <x v="16"/>
    <n v="48422"/>
    <x v="19"/>
    <x v="0"/>
    <x v="46"/>
    <n v="1.1399999999999999"/>
    <x v="67"/>
    <x v="0"/>
    <m/>
    <m/>
    <m/>
    <m/>
    <m/>
    <m/>
    <m/>
    <m/>
    <m/>
    <m/>
  </r>
  <r>
    <x v="12"/>
    <n v="74380"/>
    <x v="13"/>
    <x v="0"/>
    <x v="64"/>
    <n v="0.71"/>
    <x v="6"/>
    <x v="2"/>
    <m/>
    <m/>
    <m/>
    <m/>
    <m/>
    <m/>
    <m/>
    <m/>
    <m/>
    <m/>
  </r>
  <r>
    <x v="17"/>
    <n v="114999"/>
    <x v="26"/>
    <x v="3"/>
    <x v="95"/>
    <n v="1.1399999999999999"/>
    <x v="26"/>
    <x v="2"/>
    <m/>
    <m/>
    <m/>
    <m/>
    <m/>
    <m/>
    <m/>
    <m/>
    <m/>
    <m/>
  </r>
  <r>
    <x v="2"/>
    <n v="45224"/>
    <x v="8"/>
    <x v="2"/>
    <x v="95"/>
    <n v="1.27"/>
    <x v="24"/>
    <x v="0"/>
    <m/>
    <m/>
    <m/>
    <m/>
    <m/>
    <m/>
    <m/>
    <m/>
    <m/>
    <m/>
  </r>
  <r>
    <x v="2"/>
    <n v="73302"/>
    <x v="26"/>
    <x v="2"/>
    <x v="77"/>
    <n v="0.95"/>
    <x v="40"/>
    <x v="0"/>
    <m/>
    <m/>
    <m/>
    <m/>
    <m/>
    <m/>
    <m/>
    <m/>
    <m/>
    <m/>
  </r>
  <r>
    <x v="2"/>
    <n v="97743"/>
    <x v="16"/>
    <x v="3"/>
    <x v="6"/>
    <n v="1.1399999999999999"/>
    <x v="17"/>
    <x v="0"/>
    <m/>
    <m/>
    <m/>
    <m/>
    <m/>
    <m/>
    <m/>
    <m/>
    <m/>
    <m/>
  </r>
  <r>
    <x v="12"/>
    <n v="136974"/>
    <x v="27"/>
    <x v="0"/>
    <x v="85"/>
    <n v="0.53"/>
    <x v="26"/>
    <x v="2"/>
    <m/>
    <m/>
    <m/>
    <m/>
    <m/>
    <m/>
    <m/>
    <m/>
    <m/>
    <m/>
  </r>
  <r>
    <x v="13"/>
    <n v="31987"/>
    <x v="16"/>
    <x v="2"/>
    <x v="64"/>
    <n v="0.79"/>
    <x v="6"/>
    <x v="2"/>
    <m/>
    <m/>
    <m/>
    <m/>
    <m/>
    <m/>
    <m/>
    <m/>
    <m/>
    <m/>
  </r>
  <r>
    <x v="19"/>
    <n v="102587"/>
    <x v="25"/>
    <x v="3"/>
    <x v="31"/>
    <n v="0.7"/>
    <x v="6"/>
    <x v="2"/>
    <m/>
    <m/>
    <m/>
    <m/>
    <m/>
    <m/>
    <m/>
    <m/>
    <m/>
    <m/>
  </r>
  <r>
    <x v="15"/>
    <n v="56932"/>
    <x v="5"/>
    <x v="3"/>
    <x v="33"/>
    <n v="0.63"/>
    <x v="88"/>
    <x v="1"/>
    <m/>
    <m/>
    <m/>
    <m/>
    <m/>
    <m/>
    <m/>
    <m/>
    <m/>
    <m/>
  </r>
  <r>
    <x v="7"/>
    <n v="114371"/>
    <x v="23"/>
    <x v="1"/>
    <x v="45"/>
    <n v="1.0900000000000001"/>
    <x v="54"/>
    <x v="1"/>
    <m/>
    <m/>
    <m/>
    <m/>
    <m/>
    <m/>
    <m/>
    <m/>
    <m/>
    <m/>
  </r>
  <r>
    <x v="18"/>
    <n v="133027"/>
    <x v="2"/>
    <x v="0"/>
    <x v="69"/>
    <n v="1.08"/>
    <x v="16"/>
    <x v="1"/>
    <m/>
    <m/>
    <m/>
    <m/>
    <m/>
    <m/>
    <m/>
    <m/>
    <m/>
    <m/>
  </r>
  <r>
    <x v="1"/>
    <n v="45353"/>
    <x v="24"/>
    <x v="1"/>
    <x v="58"/>
    <n v="1.29"/>
    <x v="29"/>
    <x v="1"/>
    <m/>
    <m/>
    <m/>
    <m/>
    <m/>
    <m/>
    <m/>
    <m/>
    <m/>
    <m/>
  </r>
  <r>
    <x v="2"/>
    <n v="67970"/>
    <x v="11"/>
    <x v="1"/>
    <x v="35"/>
    <n v="0.68"/>
    <x v="90"/>
    <x v="0"/>
    <m/>
    <m/>
    <m/>
    <m/>
    <m/>
    <m/>
    <m/>
    <m/>
    <m/>
    <m/>
  </r>
  <r>
    <x v="12"/>
    <n v="57154"/>
    <x v="13"/>
    <x v="1"/>
    <x v="87"/>
    <n v="0.86"/>
    <x v="71"/>
    <x v="2"/>
    <m/>
    <m/>
    <m/>
    <m/>
    <m/>
    <m/>
    <m/>
    <m/>
    <m/>
    <m/>
  </r>
  <r>
    <x v="19"/>
    <n v="115793"/>
    <x v="15"/>
    <x v="3"/>
    <x v="28"/>
    <n v="1.26"/>
    <x v="50"/>
    <x v="2"/>
    <m/>
    <m/>
    <m/>
    <m/>
    <m/>
    <m/>
    <m/>
    <m/>
    <m/>
    <m/>
  </r>
  <r>
    <x v="16"/>
    <n v="43174"/>
    <x v="14"/>
    <x v="1"/>
    <x v="20"/>
    <n v="0.99"/>
    <x v="2"/>
    <x v="0"/>
    <m/>
    <m/>
    <m/>
    <m/>
    <m/>
    <m/>
    <m/>
    <m/>
    <m/>
    <m/>
  </r>
  <r>
    <x v="4"/>
    <n v="88323"/>
    <x v="11"/>
    <x v="2"/>
    <x v="1"/>
    <n v="1.23"/>
    <x v="86"/>
    <x v="2"/>
    <m/>
    <m/>
    <m/>
    <m/>
    <m/>
    <m/>
    <m/>
    <m/>
    <m/>
    <m/>
  </r>
  <r>
    <x v="12"/>
    <n v="123335"/>
    <x v="4"/>
    <x v="1"/>
    <x v="12"/>
    <n v="0.86"/>
    <x v="11"/>
    <x v="2"/>
    <m/>
    <m/>
    <m/>
    <m/>
    <m/>
    <m/>
    <m/>
    <m/>
    <m/>
    <m/>
  </r>
  <r>
    <x v="15"/>
    <n v="67877"/>
    <x v="4"/>
    <x v="1"/>
    <x v="87"/>
    <n v="1.01"/>
    <x v="7"/>
    <x v="1"/>
    <m/>
    <m/>
    <m/>
    <m/>
    <m/>
    <m/>
    <m/>
    <m/>
    <m/>
    <m/>
  </r>
  <r>
    <x v="18"/>
    <n v="86779"/>
    <x v="29"/>
    <x v="1"/>
    <x v="7"/>
    <n v="1.39"/>
    <x v="29"/>
    <x v="1"/>
    <m/>
    <m/>
    <m/>
    <m/>
    <m/>
    <m/>
    <m/>
    <m/>
    <m/>
    <m/>
  </r>
  <r>
    <x v="2"/>
    <n v="34650"/>
    <x v="23"/>
    <x v="1"/>
    <x v="45"/>
    <n v="0.54"/>
    <x v="2"/>
    <x v="0"/>
    <m/>
    <m/>
    <m/>
    <m/>
    <m/>
    <m/>
    <m/>
    <m/>
    <m/>
    <m/>
  </r>
  <r>
    <x v="11"/>
    <n v="93884"/>
    <x v="23"/>
    <x v="1"/>
    <x v="81"/>
    <n v="1.1599999999999999"/>
    <x v="30"/>
    <x v="2"/>
    <m/>
    <m/>
    <m/>
    <m/>
    <m/>
    <m/>
    <m/>
    <m/>
    <m/>
    <m/>
  </r>
  <r>
    <x v="11"/>
    <n v="37317"/>
    <x v="24"/>
    <x v="2"/>
    <x v="1"/>
    <n v="0.74"/>
    <x v="31"/>
    <x v="2"/>
    <m/>
    <m/>
    <m/>
    <m/>
    <m/>
    <m/>
    <m/>
    <m/>
    <m/>
    <m/>
  </r>
  <r>
    <x v="17"/>
    <n v="123947"/>
    <x v="7"/>
    <x v="0"/>
    <x v="6"/>
    <n v="1.1200000000000001"/>
    <x v="79"/>
    <x v="2"/>
    <m/>
    <m/>
    <m/>
    <m/>
    <m/>
    <m/>
    <m/>
    <m/>
    <m/>
    <m/>
  </r>
  <r>
    <x v="7"/>
    <n v="88524"/>
    <x v="10"/>
    <x v="2"/>
    <x v="12"/>
    <n v="1.31"/>
    <x v="82"/>
    <x v="1"/>
    <m/>
    <m/>
    <m/>
    <m/>
    <m/>
    <m/>
    <m/>
    <m/>
    <m/>
    <m/>
  </r>
  <r>
    <x v="18"/>
    <n v="44316"/>
    <x v="0"/>
    <x v="0"/>
    <x v="1"/>
    <n v="0.88"/>
    <x v="29"/>
    <x v="1"/>
    <m/>
    <m/>
    <m/>
    <m/>
    <m/>
    <m/>
    <m/>
    <m/>
    <m/>
    <m/>
  </r>
  <r>
    <x v="14"/>
    <n v="112142"/>
    <x v="16"/>
    <x v="1"/>
    <x v="50"/>
    <n v="0.85"/>
    <x v="39"/>
    <x v="0"/>
    <m/>
    <m/>
    <m/>
    <m/>
    <m/>
    <m/>
    <m/>
    <m/>
    <m/>
    <m/>
  </r>
  <r>
    <x v="9"/>
    <n v="124939"/>
    <x v="4"/>
    <x v="2"/>
    <x v="19"/>
    <n v="0.67"/>
    <x v="77"/>
    <x v="0"/>
    <m/>
    <m/>
    <m/>
    <m/>
    <m/>
    <m/>
    <m/>
    <m/>
    <m/>
    <m/>
  </r>
  <r>
    <x v="9"/>
    <n v="125756"/>
    <x v="28"/>
    <x v="2"/>
    <x v="67"/>
    <n v="0.77"/>
    <x v="32"/>
    <x v="0"/>
    <m/>
    <m/>
    <m/>
    <m/>
    <m/>
    <m/>
    <m/>
    <m/>
    <m/>
    <m/>
  </r>
  <r>
    <x v="14"/>
    <n v="53255"/>
    <x v="20"/>
    <x v="3"/>
    <x v="62"/>
    <n v="0.79"/>
    <x v="90"/>
    <x v="0"/>
    <m/>
    <m/>
    <m/>
    <m/>
    <m/>
    <m/>
    <m/>
    <m/>
    <m/>
    <m/>
  </r>
  <r>
    <x v="14"/>
    <n v="111808"/>
    <x v="21"/>
    <x v="2"/>
    <x v="1"/>
    <n v="1.08"/>
    <x v="73"/>
    <x v="0"/>
    <m/>
    <m/>
    <m/>
    <m/>
    <m/>
    <m/>
    <m/>
    <m/>
    <m/>
    <m/>
  </r>
  <r>
    <x v="4"/>
    <n v="142102"/>
    <x v="29"/>
    <x v="1"/>
    <x v="81"/>
    <n v="1.31"/>
    <x v="20"/>
    <x v="2"/>
    <m/>
    <m/>
    <m/>
    <m/>
    <m/>
    <m/>
    <m/>
    <m/>
    <m/>
    <m/>
  </r>
  <r>
    <x v="18"/>
    <n v="72690"/>
    <x v="22"/>
    <x v="2"/>
    <x v="41"/>
    <n v="1.27"/>
    <x v="88"/>
    <x v="1"/>
    <m/>
    <m/>
    <m/>
    <m/>
    <m/>
    <m/>
    <m/>
    <m/>
    <m/>
    <m/>
  </r>
  <r>
    <x v="9"/>
    <n v="39304"/>
    <x v="15"/>
    <x v="2"/>
    <x v="8"/>
    <n v="0.92"/>
    <x v="59"/>
    <x v="0"/>
    <m/>
    <m/>
    <m/>
    <m/>
    <m/>
    <m/>
    <m/>
    <m/>
    <m/>
    <m/>
  </r>
  <r>
    <x v="8"/>
    <n v="129581"/>
    <x v="23"/>
    <x v="1"/>
    <x v="29"/>
    <n v="1.2"/>
    <x v="20"/>
    <x v="2"/>
    <m/>
    <m/>
    <m/>
    <m/>
    <m/>
    <m/>
    <m/>
    <m/>
    <m/>
    <m/>
  </r>
  <r>
    <x v="3"/>
    <n v="69819"/>
    <x v="21"/>
    <x v="0"/>
    <x v="52"/>
    <n v="0.63"/>
    <x v="65"/>
    <x v="2"/>
    <m/>
    <m/>
    <m/>
    <m/>
    <m/>
    <m/>
    <m/>
    <m/>
    <m/>
    <m/>
  </r>
  <r>
    <x v="16"/>
    <n v="141925"/>
    <x v="6"/>
    <x v="3"/>
    <x v="79"/>
    <n v="1.38"/>
    <x v="2"/>
    <x v="0"/>
    <m/>
    <m/>
    <m/>
    <m/>
    <m/>
    <m/>
    <m/>
    <m/>
    <m/>
    <m/>
  </r>
  <r>
    <x v="1"/>
    <n v="75805"/>
    <x v="11"/>
    <x v="3"/>
    <x v="70"/>
    <n v="0.57999999999999996"/>
    <x v="63"/>
    <x v="1"/>
    <m/>
    <m/>
    <m/>
    <m/>
    <m/>
    <m/>
    <m/>
    <m/>
    <m/>
    <m/>
  </r>
  <r>
    <x v="2"/>
    <n v="67326"/>
    <x v="13"/>
    <x v="2"/>
    <x v="96"/>
    <n v="1.2"/>
    <x v="32"/>
    <x v="0"/>
    <m/>
    <m/>
    <m/>
    <m/>
    <m/>
    <m/>
    <m/>
    <m/>
    <m/>
    <m/>
  </r>
  <r>
    <x v="8"/>
    <n v="69224"/>
    <x v="17"/>
    <x v="3"/>
    <x v="17"/>
    <n v="1.25"/>
    <x v="22"/>
    <x v="2"/>
    <m/>
    <m/>
    <m/>
    <m/>
    <m/>
    <m/>
    <m/>
    <m/>
    <m/>
    <m/>
  </r>
  <r>
    <x v="12"/>
    <n v="132567"/>
    <x v="21"/>
    <x v="3"/>
    <x v="83"/>
    <n v="1.2"/>
    <x v="43"/>
    <x v="2"/>
    <m/>
    <m/>
    <m/>
    <m/>
    <m/>
    <m/>
    <m/>
    <m/>
    <m/>
    <m/>
  </r>
  <r>
    <x v="7"/>
    <n v="129417"/>
    <x v="6"/>
    <x v="0"/>
    <x v="64"/>
    <n v="0.71"/>
    <x v="16"/>
    <x v="1"/>
    <m/>
    <m/>
    <m/>
    <m/>
    <m/>
    <m/>
    <m/>
    <m/>
    <m/>
    <m/>
  </r>
  <r>
    <x v="6"/>
    <n v="129652"/>
    <x v="0"/>
    <x v="2"/>
    <x v="89"/>
    <n v="1.38"/>
    <x v="57"/>
    <x v="2"/>
    <m/>
    <m/>
    <m/>
    <m/>
    <m/>
    <m/>
    <m/>
    <m/>
    <m/>
    <m/>
  </r>
  <r>
    <x v="3"/>
    <n v="58498"/>
    <x v="26"/>
    <x v="3"/>
    <x v="2"/>
    <n v="1.23"/>
    <x v="84"/>
    <x v="2"/>
    <m/>
    <m/>
    <m/>
    <m/>
    <m/>
    <m/>
    <m/>
    <m/>
    <m/>
    <m/>
  </r>
  <r>
    <x v="16"/>
    <n v="37816"/>
    <x v="25"/>
    <x v="0"/>
    <x v="86"/>
    <n v="1.25"/>
    <x v="17"/>
    <x v="0"/>
    <m/>
    <m/>
    <m/>
    <m/>
    <m/>
    <m/>
    <m/>
    <m/>
    <m/>
    <m/>
  </r>
  <r>
    <x v="11"/>
    <n v="65074"/>
    <x v="4"/>
    <x v="3"/>
    <x v="60"/>
    <n v="1.23"/>
    <x v="71"/>
    <x v="2"/>
    <m/>
    <m/>
    <m/>
    <m/>
    <m/>
    <m/>
    <m/>
    <m/>
    <m/>
    <m/>
  </r>
  <r>
    <x v="6"/>
    <n v="46775"/>
    <x v="12"/>
    <x v="1"/>
    <x v="46"/>
    <n v="0.99"/>
    <x v="8"/>
    <x v="2"/>
    <m/>
    <m/>
    <m/>
    <m/>
    <m/>
    <m/>
    <m/>
    <m/>
    <m/>
    <m/>
  </r>
  <r>
    <x v="3"/>
    <n v="127095"/>
    <x v="29"/>
    <x v="2"/>
    <x v="34"/>
    <n v="1.4"/>
    <x v="22"/>
    <x v="2"/>
    <m/>
    <m/>
    <m/>
    <m/>
    <m/>
    <m/>
    <m/>
    <m/>
    <m/>
    <m/>
  </r>
  <r>
    <x v="5"/>
    <n v="85124"/>
    <x v="17"/>
    <x v="0"/>
    <x v="31"/>
    <n v="1.05"/>
    <x v="61"/>
    <x v="1"/>
    <m/>
    <m/>
    <m/>
    <m/>
    <m/>
    <m/>
    <m/>
    <m/>
    <m/>
    <m/>
  </r>
  <r>
    <x v="18"/>
    <n v="48224"/>
    <x v="4"/>
    <x v="3"/>
    <x v="1"/>
    <n v="0.53"/>
    <x v="74"/>
    <x v="1"/>
    <m/>
    <m/>
    <m/>
    <m/>
    <m/>
    <m/>
    <m/>
    <m/>
    <m/>
    <m/>
  </r>
  <r>
    <x v="17"/>
    <n v="80421"/>
    <x v="10"/>
    <x v="2"/>
    <x v="29"/>
    <n v="1.28"/>
    <x v="38"/>
    <x v="2"/>
    <m/>
    <m/>
    <m/>
    <m/>
    <m/>
    <m/>
    <m/>
    <m/>
    <m/>
    <m/>
  </r>
  <r>
    <x v="19"/>
    <n v="149028"/>
    <x v="11"/>
    <x v="1"/>
    <x v="14"/>
    <n v="1.06"/>
    <x v="11"/>
    <x v="2"/>
    <m/>
    <m/>
    <m/>
    <m/>
    <m/>
    <m/>
    <m/>
    <m/>
    <m/>
    <m/>
  </r>
  <r>
    <x v="16"/>
    <n v="137919"/>
    <x v="12"/>
    <x v="2"/>
    <x v="86"/>
    <n v="1.33"/>
    <x v="9"/>
    <x v="0"/>
    <m/>
    <m/>
    <m/>
    <m/>
    <m/>
    <m/>
    <m/>
    <m/>
    <m/>
    <m/>
  </r>
  <r>
    <x v="13"/>
    <n v="129391"/>
    <x v="3"/>
    <x v="0"/>
    <x v="10"/>
    <n v="0.6"/>
    <x v="10"/>
    <x v="2"/>
    <m/>
    <m/>
    <m/>
    <m/>
    <m/>
    <m/>
    <m/>
    <m/>
    <m/>
    <m/>
  </r>
  <r>
    <x v="19"/>
    <n v="105125"/>
    <x v="12"/>
    <x v="0"/>
    <x v="54"/>
    <n v="1.01"/>
    <x v="20"/>
    <x v="2"/>
    <m/>
    <m/>
    <m/>
    <m/>
    <m/>
    <m/>
    <m/>
    <m/>
    <m/>
    <m/>
  </r>
  <r>
    <x v="10"/>
    <n v="127071"/>
    <x v="1"/>
    <x v="0"/>
    <x v="58"/>
    <n v="0.81"/>
    <x v="6"/>
    <x v="2"/>
    <m/>
    <m/>
    <m/>
    <m/>
    <m/>
    <m/>
    <m/>
    <m/>
    <m/>
    <m/>
  </r>
  <r>
    <x v="5"/>
    <n v="109036"/>
    <x v="14"/>
    <x v="0"/>
    <x v="11"/>
    <n v="1.45"/>
    <x v="54"/>
    <x v="1"/>
    <m/>
    <m/>
    <m/>
    <m/>
    <m/>
    <m/>
    <m/>
    <m/>
    <m/>
    <m/>
  </r>
  <r>
    <x v="0"/>
    <n v="59000"/>
    <x v="22"/>
    <x v="3"/>
    <x v="86"/>
    <n v="0.8"/>
    <x v="9"/>
    <x v="0"/>
    <m/>
    <m/>
    <m/>
    <m/>
    <m/>
    <m/>
    <m/>
    <m/>
    <m/>
    <m/>
  </r>
  <r>
    <x v="16"/>
    <n v="45529"/>
    <x v="4"/>
    <x v="2"/>
    <x v="10"/>
    <n v="0.51"/>
    <x v="0"/>
    <x v="0"/>
    <m/>
    <m/>
    <m/>
    <m/>
    <m/>
    <m/>
    <m/>
    <m/>
    <m/>
    <m/>
  </r>
  <r>
    <x v="0"/>
    <n v="124845"/>
    <x v="13"/>
    <x v="1"/>
    <x v="64"/>
    <n v="1.02"/>
    <x v="89"/>
    <x v="0"/>
    <m/>
    <m/>
    <m/>
    <m/>
    <m/>
    <m/>
    <m/>
    <m/>
    <m/>
    <m/>
  </r>
  <r>
    <x v="0"/>
    <n v="135312"/>
    <x v="0"/>
    <x v="2"/>
    <x v="41"/>
    <n v="0.53"/>
    <x v="67"/>
    <x v="0"/>
    <m/>
    <m/>
    <m/>
    <m/>
    <m/>
    <m/>
    <m/>
    <m/>
    <m/>
    <m/>
  </r>
  <r>
    <x v="18"/>
    <n v="95478"/>
    <x v="4"/>
    <x v="2"/>
    <x v="49"/>
    <n v="1.5"/>
    <x v="47"/>
    <x v="1"/>
    <m/>
    <m/>
    <m/>
    <m/>
    <m/>
    <m/>
    <m/>
    <m/>
    <m/>
    <m/>
  </r>
  <r>
    <x v="13"/>
    <n v="71702"/>
    <x v="18"/>
    <x v="3"/>
    <x v="89"/>
    <n v="0.91"/>
    <x v="53"/>
    <x v="2"/>
    <m/>
    <m/>
    <m/>
    <m/>
    <m/>
    <m/>
    <m/>
    <m/>
    <m/>
    <m/>
  </r>
  <r>
    <x v="14"/>
    <n v="123068"/>
    <x v="15"/>
    <x v="0"/>
    <x v="9"/>
    <n v="0.81"/>
    <x v="28"/>
    <x v="0"/>
    <m/>
    <m/>
    <m/>
    <m/>
    <m/>
    <m/>
    <m/>
    <m/>
    <m/>
    <m/>
  </r>
  <r>
    <x v="2"/>
    <n v="33911"/>
    <x v="3"/>
    <x v="3"/>
    <x v="49"/>
    <n v="1.38"/>
    <x v="28"/>
    <x v="0"/>
    <m/>
    <m/>
    <m/>
    <m/>
    <m/>
    <m/>
    <m/>
    <m/>
    <m/>
    <m/>
  </r>
  <r>
    <x v="11"/>
    <n v="121964"/>
    <x v="29"/>
    <x v="1"/>
    <x v="73"/>
    <n v="1.45"/>
    <x v="78"/>
    <x v="2"/>
    <m/>
    <m/>
    <m/>
    <m/>
    <m/>
    <m/>
    <m/>
    <m/>
    <m/>
    <m/>
  </r>
  <r>
    <x v="12"/>
    <n v="78229"/>
    <x v="28"/>
    <x v="0"/>
    <x v="69"/>
    <n v="1.42"/>
    <x v="64"/>
    <x v="2"/>
    <m/>
    <m/>
    <m/>
    <m/>
    <m/>
    <m/>
    <m/>
    <m/>
    <m/>
    <m/>
  </r>
  <r>
    <x v="2"/>
    <n v="66704"/>
    <x v="17"/>
    <x v="1"/>
    <x v="35"/>
    <n v="0.56999999999999995"/>
    <x v="35"/>
    <x v="0"/>
    <m/>
    <m/>
    <m/>
    <m/>
    <m/>
    <m/>
    <m/>
    <m/>
    <m/>
    <m/>
  </r>
  <r>
    <x v="14"/>
    <n v="91295"/>
    <x v="1"/>
    <x v="3"/>
    <x v="96"/>
    <n v="1.1200000000000001"/>
    <x v="51"/>
    <x v="0"/>
    <m/>
    <m/>
    <m/>
    <m/>
    <m/>
    <m/>
    <m/>
    <m/>
    <m/>
    <m/>
  </r>
  <r>
    <x v="9"/>
    <n v="114532"/>
    <x v="24"/>
    <x v="3"/>
    <x v="9"/>
    <n v="0.56000000000000005"/>
    <x v="83"/>
    <x v="0"/>
    <m/>
    <m/>
    <m/>
    <m/>
    <m/>
    <m/>
    <m/>
    <m/>
    <m/>
    <m/>
  </r>
  <r>
    <x v="1"/>
    <n v="129211"/>
    <x v="9"/>
    <x v="0"/>
    <x v="84"/>
    <n v="0.9"/>
    <x v="19"/>
    <x v="1"/>
    <m/>
    <m/>
    <m/>
    <m/>
    <m/>
    <m/>
    <m/>
    <m/>
    <m/>
    <m/>
  </r>
  <r>
    <x v="18"/>
    <n v="36826"/>
    <x v="7"/>
    <x v="1"/>
    <x v="57"/>
    <n v="1.1200000000000001"/>
    <x v="74"/>
    <x v="1"/>
    <m/>
    <m/>
    <m/>
    <m/>
    <m/>
    <m/>
    <m/>
    <m/>
    <m/>
    <m/>
  </r>
  <r>
    <x v="18"/>
    <n v="113899"/>
    <x v="0"/>
    <x v="0"/>
    <x v="25"/>
    <n v="1.03"/>
    <x v="27"/>
    <x v="1"/>
    <m/>
    <m/>
    <m/>
    <m/>
    <m/>
    <m/>
    <m/>
    <m/>
    <m/>
    <m/>
  </r>
  <r>
    <x v="17"/>
    <n v="59407"/>
    <x v="24"/>
    <x v="3"/>
    <x v="70"/>
    <n v="0.53"/>
    <x v="45"/>
    <x v="2"/>
    <m/>
    <m/>
    <m/>
    <m/>
    <m/>
    <m/>
    <m/>
    <m/>
    <m/>
    <m/>
  </r>
  <r>
    <x v="15"/>
    <n v="120389"/>
    <x v="0"/>
    <x v="0"/>
    <x v="34"/>
    <n v="0.59"/>
    <x v="54"/>
    <x v="1"/>
    <m/>
    <m/>
    <m/>
    <m/>
    <m/>
    <m/>
    <m/>
    <m/>
    <m/>
    <m/>
  </r>
  <r>
    <x v="7"/>
    <n v="145796"/>
    <x v="6"/>
    <x v="1"/>
    <x v="35"/>
    <n v="1.19"/>
    <x v="42"/>
    <x v="1"/>
    <m/>
    <m/>
    <m/>
    <m/>
    <m/>
    <m/>
    <m/>
    <m/>
    <m/>
    <m/>
  </r>
  <r>
    <x v="4"/>
    <n v="44433"/>
    <x v="24"/>
    <x v="2"/>
    <x v="10"/>
    <n v="1.01"/>
    <x v="30"/>
    <x v="2"/>
    <m/>
    <m/>
    <m/>
    <m/>
    <m/>
    <m/>
    <m/>
    <m/>
    <m/>
    <m/>
  </r>
  <r>
    <x v="2"/>
    <n v="120913"/>
    <x v="27"/>
    <x v="2"/>
    <x v="15"/>
    <n v="1.17"/>
    <x v="17"/>
    <x v="0"/>
    <m/>
    <m/>
    <m/>
    <m/>
    <m/>
    <m/>
    <m/>
    <m/>
    <m/>
    <m/>
  </r>
  <r>
    <x v="10"/>
    <n v="128747"/>
    <x v="20"/>
    <x v="3"/>
    <x v="73"/>
    <n v="0.79"/>
    <x v="10"/>
    <x v="2"/>
    <m/>
    <m/>
    <m/>
    <m/>
    <m/>
    <m/>
    <m/>
    <m/>
    <m/>
    <m/>
  </r>
  <r>
    <x v="6"/>
    <n v="102593"/>
    <x v="4"/>
    <x v="0"/>
    <x v="61"/>
    <n v="0.84"/>
    <x v="86"/>
    <x v="2"/>
    <m/>
    <m/>
    <m/>
    <m/>
    <m/>
    <m/>
    <m/>
    <m/>
    <m/>
    <m/>
  </r>
  <r>
    <x v="7"/>
    <n v="57706"/>
    <x v="7"/>
    <x v="0"/>
    <x v="12"/>
    <n v="0.74"/>
    <x v="27"/>
    <x v="1"/>
    <m/>
    <m/>
    <m/>
    <m/>
    <m/>
    <m/>
    <m/>
    <m/>
    <m/>
    <m/>
  </r>
  <r>
    <x v="0"/>
    <n v="53665"/>
    <x v="20"/>
    <x v="2"/>
    <x v="41"/>
    <n v="0.84"/>
    <x v="73"/>
    <x v="0"/>
    <m/>
    <m/>
    <m/>
    <m/>
    <m/>
    <m/>
    <m/>
    <m/>
    <m/>
    <m/>
  </r>
  <r>
    <x v="8"/>
    <n v="109133"/>
    <x v="19"/>
    <x v="1"/>
    <x v="48"/>
    <n v="1.02"/>
    <x v="57"/>
    <x v="2"/>
    <m/>
    <m/>
    <m/>
    <m/>
    <m/>
    <m/>
    <m/>
    <m/>
    <m/>
    <m/>
  </r>
  <r>
    <x v="12"/>
    <n v="74329"/>
    <x v="22"/>
    <x v="0"/>
    <x v="71"/>
    <n v="1.03"/>
    <x v="25"/>
    <x v="2"/>
    <m/>
    <m/>
    <m/>
    <m/>
    <m/>
    <m/>
    <m/>
    <m/>
    <m/>
    <m/>
  </r>
  <r>
    <x v="19"/>
    <n v="37279"/>
    <x v="10"/>
    <x v="2"/>
    <x v="4"/>
    <n v="0.54"/>
    <x v="65"/>
    <x v="2"/>
    <m/>
    <m/>
    <m/>
    <m/>
    <m/>
    <m/>
    <m/>
    <m/>
    <m/>
    <m/>
  </r>
  <r>
    <x v="17"/>
    <n v="69323"/>
    <x v="10"/>
    <x v="2"/>
    <x v="62"/>
    <n v="1.19"/>
    <x v="12"/>
    <x v="2"/>
    <m/>
    <m/>
    <m/>
    <m/>
    <m/>
    <m/>
    <m/>
    <m/>
    <m/>
    <m/>
  </r>
  <r>
    <x v="13"/>
    <n v="81454"/>
    <x v="17"/>
    <x v="2"/>
    <x v="47"/>
    <n v="0.91"/>
    <x v="65"/>
    <x v="2"/>
    <m/>
    <m/>
    <m/>
    <m/>
    <m/>
    <m/>
    <m/>
    <m/>
    <m/>
    <m/>
  </r>
  <r>
    <x v="2"/>
    <n v="80366"/>
    <x v="13"/>
    <x v="0"/>
    <x v="100"/>
    <n v="1.25"/>
    <x v="80"/>
    <x v="0"/>
    <m/>
    <m/>
    <m/>
    <m/>
    <m/>
    <m/>
    <m/>
    <m/>
    <m/>
    <m/>
  </r>
  <r>
    <x v="3"/>
    <n v="71476"/>
    <x v="24"/>
    <x v="1"/>
    <x v="60"/>
    <n v="1.21"/>
    <x v="85"/>
    <x v="1"/>
    <m/>
    <m/>
    <m/>
    <m/>
    <m/>
    <m/>
    <m/>
    <m/>
    <m/>
    <m/>
  </r>
  <r>
    <x v="6"/>
    <n v="122850"/>
    <x v="5"/>
    <x v="2"/>
    <x v="31"/>
    <n v="0.87"/>
    <x v="3"/>
    <x v="2"/>
    <m/>
    <m/>
    <m/>
    <m/>
    <m/>
    <m/>
    <m/>
    <m/>
    <m/>
    <m/>
  </r>
  <r>
    <x v="3"/>
    <n v="80608"/>
    <x v="25"/>
    <x v="2"/>
    <x v="54"/>
    <n v="0.56000000000000005"/>
    <x v="84"/>
    <x v="2"/>
    <m/>
    <m/>
    <m/>
    <m/>
    <m/>
    <m/>
    <m/>
    <m/>
    <m/>
    <m/>
  </r>
  <r>
    <x v="5"/>
    <n v="92188"/>
    <x v="19"/>
    <x v="0"/>
    <x v="85"/>
    <n v="1.08"/>
    <x v="29"/>
    <x v="1"/>
    <m/>
    <m/>
    <m/>
    <m/>
    <m/>
    <m/>
    <m/>
    <m/>
    <m/>
    <m/>
  </r>
  <r>
    <x v="19"/>
    <n v="43606"/>
    <x v="12"/>
    <x v="2"/>
    <x v="27"/>
    <n v="0.89"/>
    <x v="86"/>
    <x v="2"/>
    <m/>
    <m/>
    <m/>
    <m/>
    <m/>
    <m/>
    <m/>
    <m/>
    <m/>
    <m/>
  </r>
  <r>
    <x v="7"/>
    <n v="83568"/>
    <x v="12"/>
    <x v="1"/>
    <x v="73"/>
    <n v="0.53"/>
    <x v="29"/>
    <x v="1"/>
    <m/>
    <m/>
    <m/>
    <m/>
    <m/>
    <m/>
    <m/>
    <m/>
    <m/>
    <m/>
  </r>
  <r>
    <x v="10"/>
    <n v="81638"/>
    <x v="20"/>
    <x v="2"/>
    <x v="52"/>
    <n v="0.64"/>
    <x v="30"/>
    <x v="2"/>
    <m/>
    <m/>
    <m/>
    <m/>
    <m/>
    <m/>
    <m/>
    <m/>
    <m/>
    <m/>
  </r>
  <r>
    <x v="14"/>
    <n v="123309"/>
    <x v="15"/>
    <x v="2"/>
    <x v="42"/>
    <n v="0.78"/>
    <x v="76"/>
    <x v="0"/>
    <m/>
    <m/>
    <m/>
    <m/>
    <m/>
    <m/>
    <m/>
    <m/>
    <m/>
    <m/>
  </r>
  <r>
    <x v="17"/>
    <n v="64873"/>
    <x v="19"/>
    <x v="0"/>
    <x v="63"/>
    <n v="1.41"/>
    <x v="68"/>
    <x v="2"/>
    <m/>
    <m/>
    <m/>
    <m/>
    <m/>
    <m/>
    <m/>
    <m/>
    <m/>
    <m/>
  </r>
  <r>
    <x v="7"/>
    <n v="78179"/>
    <x v="17"/>
    <x v="0"/>
    <x v="27"/>
    <n v="0.7"/>
    <x v="1"/>
    <x v="1"/>
    <m/>
    <m/>
    <m/>
    <m/>
    <m/>
    <m/>
    <m/>
    <m/>
    <m/>
    <m/>
  </r>
  <r>
    <x v="1"/>
    <n v="78139"/>
    <x v="5"/>
    <x v="3"/>
    <x v="62"/>
    <n v="0.5"/>
    <x v="34"/>
    <x v="1"/>
    <m/>
    <m/>
    <m/>
    <m/>
    <m/>
    <m/>
    <m/>
    <m/>
    <m/>
    <m/>
  </r>
  <r>
    <x v="7"/>
    <n v="43445"/>
    <x v="5"/>
    <x v="3"/>
    <x v="41"/>
    <n v="1.31"/>
    <x v="16"/>
    <x v="1"/>
    <m/>
    <m/>
    <m/>
    <m/>
    <m/>
    <m/>
    <m/>
    <m/>
    <m/>
    <m/>
  </r>
  <r>
    <x v="17"/>
    <n v="31299"/>
    <x v="8"/>
    <x v="1"/>
    <x v="29"/>
    <n v="1.35"/>
    <x v="23"/>
    <x v="2"/>
    <m/>
    <m/>
    <m/>
    <m/>
    <m/>
    <m/>
    <m/>
    <m/>
    <m/>
    <m/>
  </r>
  <r>
    <x v="12"/>
    <n v="104263"/>
    <x v="21"/>
    <x v="2"/>
    <x v="88"/>
    <n v="0.97"/>
    <x v="45"/>
    <x v="2"/>
    <m/>
    <m/>
    <m/>
    <m/>
    <m/>
    <m/>
    <m/>
    <m/>
    <m/>
    <m/>
  </r>
  <r>
    <x v="7"/>
    <n v="33250"/>
    <x v="2"/>
    <x v="0"/>
    <x v="82"/>
    <n v="0.59"/>
    <x v="16"/>
    <x v="1"/>
    <m/>
    <m/>
    <m/>
    <m/>
    <m/>
    <m/>
    <m/>
    <m/>
    <m/>
    <m/>
  </r>
  <r>
    <x v="1"/>
    <n v="135050"/>
    <x v="20"/>
    <x v="0"/>
    <x v="47"/>
    <n v="1.01"/>
    <x v="18"/>
    <x v="1"/>
    <m/>
    <m/>
    <m/>
    <m/>
    <m/>
    <m/>
    <m/>
    <m/>
    <m/>
    <m/>
  </r>
  <r>
    <x v="8"/>
    <n v="80029"/>
    <x v="6"/>
    <x v="3"/>
    <x v="6"/>
    <n v="1.27"/>
    <x v="66"/>
    <x v="2"/>
    <m/>
    <m/>
    <m/>
    <m/>
    <m/>
    <m/>
    <m/>
    <m/>
    <m/>
    <m/>
  </r>
  <r>
    <x v="0"/>
    <n v="34965"/>
    <x v="18"/>
    <x v="3"/>
    <x v="64"/>
    <n v="0.92"/>
    <x v="90"/>
    <x v="0"/>
    <m/>
    <m/>
    <m/>
    <m/>
    <m/>
    <m/>
    <m/>
    <m/>
    <m/>
    <m/>
  </r>
  <r>
    <x v="15"/>
    <n v="148225"/>
    <x v="5"/>
    <x v="2"/>
    <x v="53"/>
    <n v="1.1399999999999999"/>
    <x v="16"/>
    <x v="1"/>
    <m/>
    <m/>
    <m/>
    <m/>
    <m/>
    <m/>
    <m/>
    <m/>
    <m/>
    <m/>
  </r>
  <r>
    <x v="10"/>
    <n v="118458"/>
    <x v="9"/>
    <x v="3"/>
    <x v="5"/>
    <n v="0.6"/>
    <x v="30"/>
    <x v="2"/>
    <m/>
    <m/>
    <m/>
    <m/>
    <m/>
    <m/>
    <m/>
    <m/>
    <m/>
    <m/>
  </r>
  <r>
    <x v="0"/>
    <n v="105763"/>
    <x v="8"/>
    <x v="1"/>
    <x v="18"/>
    <n v="1.49"/>
    <x v="40"/>
    <x v="0"/>
    <m/>
    <m/>
    <m/>
    <m/>
    <m/>
    <m/>
    <m/>
    <m/>
    <m/>
    <m/>
  </r>
  <r>
    <x v="0"/>
    <n v="99458"/>
    <x v="28"/>
    <x v="3"/>
    <x v="67"/>
    <n v="0.91"/>
    <x v="89"/>
    <x v="0"/>
    <m/>
    <m/>
    <m/>
    <m/>
    <m/>
    <m/>
    <m/>
    <m/>
    <m/>
    <m/>
  </r>
  <r>
    <x v="18"/>
    <n v="34516"/>
    <x v="5"/>
    <x v="3"/>
    <x v="25"/>
    <n v="0.56999999999999995"/>
    <x v="52"/>
    <x v="1"/>
    <m/>
    <m/>
    <m/>
    <m/>
    <m/>
    <m/>
    <m/>
    <m/>
    <m/>
    <m/>
  </r>
  <r>
    <x v="7"/>
    <n v="123606"/>
    <x v="10"/>
    <x v="0"/>
    <x v="94"/>
    <n v="1.02"/>
    <x v="82"/>
    <x v="1"/>
    <m/>
    <m/>
    <m/>
    <m/>
    <m/>
    <m/>
    <m/>
    <m/>
    <m/>
    <m/>
  </r>
  <r>
    <x v="12"/>
    <n v="149359"/>
    <x v="24"/>
    <x v="1"/>
    <x v="59"/>
    <n v="0.68"/>
    <x v="68"/>
    <x v="2"/>
    <m/>
    <m/>
    <m/>
    <m/>
    <m/>
    <m/>
    <m/>
    <m/>
    <m/>
    <m/>
  </r>
  <r>
    <x v="4"/>
    <n v="37509"/>
    <x v="0"/>
    <x v="3"/>
    <x v="78"/>
    <n v="1.45"/>
    <x v="33"/>
    <x v="2"/>
    <m/>
    <m/>
    <m/>
    <m/>
    <m/>
    <m/>
    <m/>
    <m/>
    <m/>
    <m/>
  </r>
  <r>
    <x v="12"/>
    <n v="117178"/>
    <x v="21"/>
    <x v="1"/>
    <x v="37"/>
    <n v="0.89"/>
    <x v="4"/>
    <x v="2"/>
    <m/>
    <m/>
    <m/>
    <m/>
    <m/>
    <m/>
    <m/>
    <m/>
    <m/>
    <m/>
  </r>
  <r>
    <x v="19"/>
    <n v="49060"/>
    <x v="24"/>
    <x v="3"/>
    <x v="40"/>
    <n v="1.45"/>
    <x v="87"/>
    <x v="2"/>
    <m/>
    <m/>
    <m/>
    <m/>
    <m/>
    <m/>
    <m/>
    <m/>
    <m/>
    <m/>
  </r>
  <r>
    <x v="7"/>
    <n v="59235"/>
    <x v="5"/>
    <x v="2"/>
    <x v="90"/>
    <n v="1.4"/>
    <x v="41"/>
    <x v="1"/>
    <m/>
    <m/>
    <m/>
    <m/>
    <m/>
    <m/>
    <m/>
    <m/>
    <m/>
    <m/>
  </r>
  <r>
    <x v="7"/>
    <n v="79216"/>
    <x v="20"/>
    <x v="3"/>
    <x v="26"/>
    <n v="0.89"/>
    <x v="13"/>
    <x v="1"/>
    <m/>
    <m/>
    <m/>
    <m/>
    <m/>
    <m/>
    <m/>
    <m/>
    <m/>
    <m/>
  </r>
  <r>
    <x v="7"/>
    <n v="49789"/>
    <x v="1"/>
    <x v="0"/>
    <x v="17"/>
    <n v="1.23"/>
    <x v="37"/>
    <x v="1"/>
    <m/>
    <m/>
    <m/>
    <m/>
    <m/>
    <m/>
    <m/>
    <m/>
    <m/>
    <m/>
  </r>
  <r>
    <x v="14"/>
    <n v="107171"/>
    <x v="20"/>
    <x v="2"/>
    <x v="88"/>
    <n v="0.92"/>
    <x v="59"/>
    <x v="0"/>
    <m/>
    <m/>
    <m/>
    <m/>
    <m/>
    <m/>
    <m/>
    <m/>
    <m/>
    <m/>
  </r>
  <r>
    <x v="7"/>
    <n v="30443"/>
    <x v="20"/>
    <x v="1"/>
    <x v="2"/>
    <n v="0.83"/>
    <x v="70"/>
    <x v="1"/>
    <m/>
    <m/>
    <m/>
    <m/>
    <m/>
    <m/>
    <m/>
    <m/>
    <m/>
    <m/>
  </r>
  <r>
    <x v="6"/>
    <n v="105494"/>
    <x v="16"/>
    <x v="3"/>
    <x v="19"/>
    <n v="0.61"/>
    <x v="72"/>
    <x v="2"/>
    <m/>
    <m/>
    <m/>
    <m/>
    <m/>
    <m/>
    <m/>
    <m/>
    <m/>
    <m/>
  </r>
  <r>
    <x v="10"/>
    <n v="45231"/>
    <x v="24"/>
    <x v="2"/>
    <x v="9"/>
    <n v="1.07"/>
    <x v="33"/>
    <x v="2"/>
    <m/>
    <m/>
    <m/>
    <m/>
    <m/>
    <m/>
    <m/>
    <m/>
    <m/>
    <m/>
  </r>
  <r>
    <x v="16"/>
    <n v="116065"/>
    <x v="10"/>
    <x v="1"/>
    <x v="36"/>
    <n v="0.57999999999999996"/>
    <x v="44"/>
    <x v="0"/>
    <m/>
    <m/>
    <m/>
    <m/>
    <m/>
    <m/>
    <m/>
    <m/>
    <m/>
    <m/>
  </r>
  <r>
    <x v="11"/>
    <n v="102436"/>
    <x v="11"/>
    <x v="1"/>
    <x v="21"/>
    <n v="1.29"/>
    <x v="72"/>
    <x v="2"/>
    <m/>
    <m/>
    <m/>
    <m/>
    <m/>
    <m/>
    <m/>
    <m/>
    <m/>
    <m/>
  </r>
  <r>
    <x v="8"/>
    <n v="62256"/>
    <x v="15"/>
    <x v="1"/>
    <x v="99"/>
    <n v="1.25"/>
    <x v="10"/>
    <x v="2"/>
    <m/>
    <m/>
    <m/>
    <m/>
    <m/>
    <m/>
    <m/>
    <m/>
    <m/>
    <m/>
  </r>
  <r>
    <x v="10"/>
    <n v="61917"/>
    <x v="26"/>
    <x v="0"/>
    <x v="93"/>
    <n v="0.78"/>
    <x v="6"/>
    <x v="2"/>
    <m/>
    <m/>
    <m/>
    <m/>
    <m/>
    <m/>
    <m/>
    <m/>
    <m/>
    <m/>
  </r>
  <r>
    <x v="11"/>
    <n v="62948"/>
    <x v="8"/>
    <x v="1"/>
    <x v="6"/>
    <n v="1.34"/>
    <x v="65"/>
    <x v="2"/>
    <m/>
    <m/>
    <m/>
    <m/>
    <m/>
    <m/>
    <m/>
    <m/>
    <m/>
    <m/>
  </r>
  <r>
    <x v="11"/>
    <n v="138602"/>
    <x v="6"/>
    <x v="0"/>
    <x v="55"/>
    <n v="0.6"/>
    <x v="78"/>
    <x v="2"/>
    <m/>
    <m/>
    <m/>
    <m/>
    <m/>
    <m/>
    <m/>
    <m/>
    <m/>
    <m/>
  </r>
  <r>
    <x v="2"/>
    <n v="43322"/>
    <x v="23"/>
    <x v="1"/>
    <x v="65"/>
    <n v="0.76"/>
    <x v="40"/>
    <x v="0"/>
    <m/>
    <m/>
    <m/>
    <m/>
    <m/>
    <m/>
    <m/>
    <m/>
    <m/>
    <m/>
  </r>
  <r>
    <x v="14"/>
    <n v="143044"/>
    <x v="29"/>
    <x v="2"/>
    <x v="4"/>
    <n v="0.64"/>
    <x v="2"/>
    <x v="0"/>
    <m/>
    <m/>
    <m/>
    <m/>
    <m/>
    <m/>
    <m/>
    <m/>
    <m/>
    <m/>
  </r>
  <r>
    <x v="2"/>
    <n v="128875"/>
    <x v="16"/>
    <x v="3"/>
    <x v="50"/>
    <n v="0.96"/>
    <x v="80"/>
    <x v="0"/>
    <m/>
    <m/>
    <m/>
    <m/>
    <m/>
    <m/>
    <m/>
    <m/>
    <m/>
    <m/>
  </r>
  <r>
    <x v="5"/>
    <n v="130901"/>
    <x v="9"/>
    <x v="0"/>
    <x v="38"/>
    <n v="0.69"/>
    <x v="13"/>
    <x v="1"/>
    <m/>
    <m/>
    <m/>
    <m/>
    <m/>
    <m/>
    <m/>
    <m/>
    <m/>
    <m/>
  </r>
  <r>
    <x v="7"/>
    <n v="138298"/>
    <x v="2"/>
    <x v="0"/>
    <x v="17"/>
    <n v="0.83"/>
    <x v="34"/>
    <x v="1"/>
    <m/>
    <m/>
    <m/>
    <m/>
    <m/>
    <m/>
    <m/>
    <m/>
    <m/>
    <m/>
  </r>
  <r>
    <x v="2"/>
    <n v="86987"/>
    <x v="10"/>
    <x v="2"/>
    <x v="7"/>
    <n v="1.1399999999999999"/>
    <x v="28"/>
    <x v="0"/>
    <m/>
    <m/>
    <m/>
    <m/>
    <m/>
    <m/>
    <m/>
    <m/>
    <m/>
    <m/>
  </r>
  <r>
    <x v="2"/>
    <n v="48445"/>
    <x v="27"/>
    <x v="2"/>
    <x v="23"/>
    <n v="1.32"/>
    <x v="80"/>
    <x v="0"/>
    <m/>
    <m/>
    <m/>
    <m/>
    <m/>
    <m/>
    <m/>
    <m/>
    <m/>
    <m/>
  </r>
  <r>
    <x v="14"/>
    <n v="44407"/>
    <x v="24"/>
    <x v="1"/>
    <x v="91"/>
    <n v="0.9"/>
    <x v="81"/>
    <x v="0"/>
    <m/>
    <m/>
    <m/>
    <m/>
    <m/>
    <m/>
    <m/>
    <m/>
    <m/>
    <m/>
  </r>
  <r>
    <x v="2"/>
    <n v="36934"/>
    <x v="23"/>
    <x v="1"/>
    <x v="6"/>
    <n v="1.1100000000000001"/>
    <x v="51"/>
    <x v="0"/>
    <m/>
    <m/>
    <m/>
    <m/>
    <m/>
    <m/>
    <m/>
    <m/>
    <m/>
    <m/>
  </r>
  <r>
    <x v="3"/>
    <n v="131053"/>
    <x v="24"/>
    <x v="0"/>
    <x v="60"/>
    <n v="1.17"/>
    <x v="33"/>
    <x v="2"/>
    <m/>
    <m/>
    <m/>
    <m/>
    <m/>
    <m/>
    <m/>
    <m/>
    <m/>
    <m/>
  </r>
  <r>
    <x v="13"/>
    <n v="48082"/>
    <x v="11"/>
    <x v="0"/>
    <x v="100"/>
    <n v="1.24"/>
    <x v="69"/>
    <x v="2"/>
    <m/>
    <m/>
    <m/>
    <m/>
    <m/>
    <m/>
    <m/>
    <m/>
    <m/>
    <m/>
  </r>
  <r>
    <x v="5"/>
    <n v="66738"/>
    <x v="17"/>
    <x v="2"/>
    <x v="97"/>
    <n v="0.78"/>
    <x v="54"/>
    <x v="1"/>
    <m/>
    <m/>
    <m/>
    <m/>
    <m/>
    <m/>
    <m/>
    <m/>
    <m/>
    <m/>
  </r>
  <r>
    <x v="7"/>
    <n v="125946"/>
    <x v="18"/>
    <x v="2"/>
    <x v="17"/>
    <n v="0.94"/>
    <x v="21"/>
    <x v="1"/>
    <m/>
    <m/>
    <m/>
    <m/>
    <m/>
    <m/>
    <m/>
    <m/>
    <m/>
    <m/>
  </r>
  <r>
    <x v="3"/>
    <n v="40037"/>
    <x v="15"/>
    <x v="0"/>
    <x v="92"/>
    <n v="0.53"/>
    <x v="55"/>
    <x v="2"/>
    <m/>
    <m/>
    <m/>
    <m/>
    <m/>
    <m/>
    <m/>
    <m/>
    <m/>
    <m/>
  </r>
  <r>
    <x v="16"/>
    <n v="77287"/>
    <x v="6"/>
    <x v="2"/>
    <x v="23"/>
    <n v="0.5"/>
    <x v="58"/>
    <x v="2"/>
    <m/>
    <m/>
    <m/>
    <m/>
    <m/>
    <m/>
    <m/>
    <m/>
    <m/>
    <m/>
  </r>
  <r>
    <x v="2"/>
    <n v="33063"/>
    <x v="14"/>
    <x v="0"/>
    <x v="14"/>
    <n v="1.1399999999999999"/>
    <x v="28"/>
    <x v="0"/>
    <m/>
    <m/>
    <m/>
    <m/>
    <m/>
    <m/>
    <m/>
    <m/>
    <m/>
    <m/>
  </r>
  <r>
    <x v="11"/>
    <n v="140263"/>
    <x v="7"/>
    <x v="2"/>
    <x v="80"/>
    <n v="0.99"/>
    <x v="10"/>
    <x v="2"/>
    <m/>
    <m/>
    <m/>
    <m/>
    <m/>
    <m/>
    <m/>
    <m/>
    <m/>
    <m/>
  </r>
  <r>
    <x v="19"/>
    <n v="67932"/>
    <x v="10"/>
    <x v="0"/>
    <x v="20"/>
    <n v="1.2"/>
    <x v="10"/>
    <x v="2"/>
    <m/>
    <m/>
    <m/>
    <m/>
    <m/>
    <m/>
    <m/>
    <m/>
    <m/>
    <m/>
  </r>
  <r>
    <x v="10"/>
    <n v="53519"/>
    <x v="19"/>
    <x v="3"/>
    <x v="85"/>
    <n v="1.2"/>
    <x v="79"/>
    <x v="2"/>
    <m/>
    <m/>
    <m/>
    <m/>
    <m/>
    <m/>
    <m/>
    <m/>
    <m/>
    <m/>
  </r>
  <r>
    <x v="12"/>
    <n v="100363"/>
    <x v="5"/>
    <x v="3"/>
    <x v="17"/>
    <n v="0.56999999999999995"/>
    <x v="48"/>
    <x v="2"/>
    <m/>
    <m/>
    <m/>
    <m/>
    <m/>
    <m/>
    <m/>
    <m/>
    <m/>
    <m/>
  </r>
  <r>
    <x v="18"/>
    <n v="58911"/>
    <x v="18"/>
    <x v="2"/>
    <x v="86"/>
    <n v="0.63"/>
    <x v="61"/>
    <x v="1"/>
    <m/>
    <m/>
    <m/>
    <m/>
    <m/>
    <m/>
    <m/>
    <m/>
    <m/>
    <m/>
  </r>
  <r>
    <x v="8"/>
    <n v="105253"/>
    <x v="11"/>
    <x v="2"/>
    <x v="65"/>
    <n v="0.95"/>
    <x v="64"/>
    <x v="2"/>
    <m/>
    <m/>
    <m/>
    <m/>
    <m/>
    <m/>
    <m/>
    <m/>
    <m/>
    <m/>
  </r>
  <r>
    <x v="12"/>
    <n v="105650"/>
    <x v="22"/>
    <x v="0"/>
    <x v="95"/>
    <n v="1.03"/>
    <x v="45"/>
    <x v="2"/>
    <m/>
    <m/>
    <m/>
    <m/>
    <m/>
    <m/>
    <m/>
    <m/>
    <m/>
    <m/>
  </r>
  <r>
    <x v="18"/>
    <n v="99037"/>
    <x v="15"/>
    <x v="3"/>
    <x v="25"/>
    <n v="1.19"/>
    <x v="63"/>
    <x v="1"/>
    <m/>
    <m/>
    <m/>
    <m/>
    <m/>
    <m/>
    <m/>
    <m/>
    <m/>
    <m/>
  </r>
  <r>
    <x v="2"/>
    <n v="38715"/>
    <x v="27"/>
    <x v="0"/>
    <x v="40"/>
    <n v="1"/>
    <x v="73"/>
    <x v="0"/>
    <m/>
    <m/>
    <m/>
    <m/>
    <m/>
    <m/>
    <m/>
    <m/>
    <m/>
    <m/>
  </r>
  <r>
    <x v="5"/>
    <n v="44466"/>
    <x v="10"/>
    <x v="1"/>
    <x v="20"/>
    <n v="1.31"/>
    <x v="75"/>
    <x v="1"/>
    <m/>
    <m/>
    <m/>
    <m/>
    <m/>
    <m/>
    <m/>
    <m/>
    <m/>
    <m/>
  </r>
  <r>
    <x v="9"/>
    <n v="85432"/>
    <x v="24"/>
    <x v="3"/>
    <x v="91"/>
    <n v="0.72"/>
    <x v="90"/>
    <x v="0"/>
    <m/>
    <m/>
    <m/>
    <m/>
    <m/>
    <m/>
    <m/>
    <m/>
    <m/>
    <m/>
  </r>
  <r>
    <x v="18"/>
    <n v="127557"/>
    <x v="3"/>
    <x v="0"/>
    <x v="13"/>
    <n v="1.32"/>
    <x v="27"/>
    <x v="1"/>
    <m/>
    <m/>
    <m/>
    <m/>
    <m/>
    <m/>
    <m/>
    <m/>
    <m/>
    <m/>
  </r>
  <r>
    <x v="13"/>
    <n v="104227"/>
    <x v="26"/>
    <x v="2"/>
    <x v="21"/>
    <n v="1.2"/>
    <x v="38"/>
    <x v="2"/>
    <m/>
    <m/>
    <m/>
    <m/>
    <m/>
    <m/>
    <m/>
    <m/>
    <m/>
    <m/>
  </r>
  <r>
    <x v="14"/>
    <n v="64585"/>
    <x v="20"/>
    <x v="3"/>
    <x v="50"/>
    <n v="1.31"/>
    <x v="62"/>
    <x v="0"/>
    <m/>
    <m/>
    <m/>
    <m/>
    <m/>
    <m/>
    <m/>
    <m/>
    <m/>
    <m/>
  </r>
  <r>
    <x v="10"/>
    <n v="140397"/>
    <x v="17"/>
    <x v="1"/>
    <x v="93"/>
    <n v="0.6"/>
    <x v="33"/>
    <x v="2"/>
    <m/>
    <m/>
    <m/>
    <m/>
    <m/>
    <m/>
    <m/>
    <m/>
    <m/>
    <m/>
  </r>
  <r>
    <x v="16"/>
    <n v="102620"/>
    <x v="18"/>
    <x v="0"/>
    <x v="51"/>
    <n v="0.57999999999999996"/>
    <x v="83"/>
    <x v="0"/>
    <m/>
    <m/>
    <m/>
    <m/>
    <m/>
    <m/>
    <m/>
    <m/>
    <m/>
    <m/>
  </r>
  <r>
    <x v="15"/>
    <n v="123332"/>
    <x v="18"/>
    <x v="2"/>
    <x v="44"/>
    <n v="1.2"/>
    <x v="16"/>
    <x v="1"/>
    <m/>
    <m/>
    <m/>
    <m/>
    <m/>
    <m/>
    <m/>
    <m/>
    <m/>
    <m/>
  </r>
  <r>
    <x v="17"/>
    <n v="120833"/>
    <x v="28"/>
    <x v="2"/>
    <x v="29"/>
    <n v="0.68"/>
    <x v="31"/>
    <x v="2"/>
    <m/>
    <m/>
    <m/>
    <m/>
    <m/>
    <m/>
    <m/>
    <m/>
    <m/>
    <m/>
  </r>
  <r>
    <x v="4"/>
    <n v="77131"/>
    <x v="3"/>
    <x v="2"/>
    <x v="54"/>
    <n v="0.68"/>
    <x v="87"/>
    <x v="2"/>
    <m/>
    <m/>
    <m/>
    <m/>
    <m/>
    <m/>
    <m/>
    <m/>
    <m/>
    <m/>
  </r>
  <r>
    <x v="2"/>
    <n v="131298"/>
    <x v="15"/>
    <x v="2"/>
    <x v="18"/>
    <n v="0.93"/>
    <x v="67"/>
    <x v="0"/>
    <m/>
    <m/>
    <m/>
    <m/>
    <m/>
    <m/>
    <m/>
    <m/>
    <m/>
    <m/>
  </r>
  <r>
    <x v="11"/>
    <n v="58653"/>
    <x v="8"/>
    <x v="1"/>
    <x v="71"/>
    <n v="1.45"/>
    <x v="84"/>
    <x v="2"/>
    <m/>
    <m/>
    <m/>
    <m/>
    <m/>
    <m/>
    <m/>
    <m/>
    <m/>
    <m/>
  </r>
  <r>
    <x v="11"/>
    <n v="83020"/>
    <x v="24"/>
    <x v="1"/>
    <x v="34"/>
    <n v="1.19"/>
    <x v="69"/>
    <x v="2"/>
    <m/>
    <m/>
    <m/>
    <m/>
    <m/>
    <m/>
    <m/>
    <m/>
    <m/>
    <m/>
  </r>
  <r>
    <x v="11"/>
    <n v="141257"/>
    <x v="12"/>
    <x v="3"/>
    <x v="88"/>
    <n v="1.06"/>
    <x v="30"/>
    <x v="2"/>
    <m/>
    <m/>
    <m/>
    <m/>
    <m/>
    <m/>
    <m/>
    <m/>
    <m/>
    <m/>
  </r>
  <r>
    <x v="12"/>
    <n v="33303"/>
    <x v="12"/>
    <x v="0"/>
    <x v="56"/>
    <n v="1.03"/>
    <x v="50"/>
    <x v="2"/>
    <m/>
    <m/>
    <m/>
    <m/>
    <m/>
    <m/>
    <m/>
    <m/>
    <m/>
    <m/>
  </r>
  <r>
    <x v="2"/>
    <n v="104519"/>
    <x v="9"/>
    <x v="2"/>
    <x v="39"/>
    <n v="0.56000000000000005"/>
    <x v="24"/>
    <x v="0"/>
    <m/>
    <m/>
    <m/>
    <m/>
    <m/>
    <m/>
    <m/>
    <m/>
    <m/>
    <m/>
  </r>
  <r>
    <x v="5"/>
    <n v="121751"/>
    <x v="7"/>
    <x v="0"/>
    <x v="53"/>
    <n v="0.87"/>
    <x v="18"/>
    <x v="1"/>
    <m/>
    <m/>
    <m/>
    <m/>
    <m/>
    <m/>
    <m/>
    <m/>
    <m/>
    <m/>
  </r>
  <r>
    <x v="8"/>
    <n v="91557"/>
    <x v="3"/>
    <x v="3"/>
    <x v="98"/>
    <n v="0.82"/>
    <x v="30"/>
    <x v="2"/>
    <m/>
    <m/>
    <m/>
    <m/>
    <m/>
    <m/>
    <m/>
    <m/>
    <m/>
    <m/>
  </r>
  <r>
    <x v="12"/>
    <n v="101452"/>
    <x v="2"/>
    <x v="2"/>
    <x v="60"/>
    <n v="1.07"/>
    <x v="66"/>
    <x v="2"/>
    <m/>
    <m/>
    <m/>
    <m/>
    <m/>
    <m/>
    <m/>
    <m/>
    <m/>
    <m/>
  </r>
  <r>
    <x v="4"/>
    <n v="70508"/>
    <x v="26"/>
    <x v="0"/>
    <x v="25"/>
    <n v="0.73"/>
    <x v="68"/>
    <x v="2"/>
    <m/>
    <m/>
    <m/>
    <m/>
    <m/>
    <m/>
    <m/>
    <m/>
    <m/>
    <m/>
  </r>
  <r>
    <x v="1"/>
    <n v="81238"/>
    <x v="17"/>
    <x v="0"/>
    <x v="80"/>
    <n v="0.79"/>
    <x v="88"/>
    <x v="1"/>
    <m/>
    <m/>
    <m/>
    <m/>
    <m/>
    <m/>
    <m/>
    <m/>
    <m/>
    <m/>
  </r>
  <r>
    <x v="8"/>
    <n v="146084"/>
    <x v="4"/>
    <x v="2"/>
    <x v="58"/>
    <n v="1.07"/>
    <x v="87"/>
    <x v="2"/>
    <m/>
    <m/>
    <m/>
    <m/>
    <m/>
    <m/>
    <m/>
    <m/>
    <m/>
    <m/>
  </r>
  <r>
    <x v="1"/>
    <n v="99619"/>
    <x v="9"/>
    <x v="2"/>
    <x v="62"/>
    <n v="1.05"/>
    <x v="52"/>
    <x v="1"/>
    <m/>
    <m/>
    <m/>
    <m/>
    <m/>
    <m/>
    <m/>
    <m/>
    <m/>
    <m/>
  </r>
  <r>
    <x v="14"/>
    <n v="49830"/>
    <x v="12"/>
    <x v="1"/>
    <x v="57"/>
    <n v="0.94"/>
    <x v="35"/>
    <x v="0"/>
    <m/>
    <m/>
    <m/>
    <m/>
    <m/>
    <m/>
    <m/>
    <m/>
    <m/>
    <m/>
  </r>
  <r>
    <x v="6"/>
    <n v="70882"/>
    <x v="8"/>
    <x v="0"/>
    <x v="56"/>
    <n v="1.1399999999999999"/>
    <x v="25"/>
    <x v="2"/>
    <m/>
    <m/>
    <m/>
    <m/>
    <m/>
    <m/>
    <m/>
    <m/>
    <m/>
    <m/>
  </r>
  <r>
    <x v="0"/>
    <n v="124204"/>
    <x v="27"/>
    <x v="2"/>
    <x v="14"/>
    <n v="1.47"/>
    <x v="32"/>
    <x v="0"/>
    <m/>
    <m/>
    <m/>
    <m/>
    <m/>
    <m/>
    <m/>
    <m/>
    <m/>
    <m/>
  </r>
  <r>
    <x v="2"/>
    <n v="84255"/>
    <x v="14"/>
    <x v="2"/>
    <x v="44"/>
    <n v="0.95"/>
    <x v="0"/>
    <x v="0"/>
    <m/>
    <m/>
    <m/>
    <m/>
    <m/>
    <m/>
    <m/>
    <m/>
    <m/>
    <m/>
  </r>
  <r>
    <x v="4"/>
    <n v="51566"/>
    <x v="29"/>
    <x v="1"/>
    <x v="9"/>
    <n v="1.22"/>
    <x v="43"/>
    <x v="2"/>
    <m/>
    <m/>
    <m/>
    <m/>
    <m/>
    <m/>
    <m/>
    <m/>
    <m/>
    <m/>
  </r>
  <r>
    <x v="13"/>
    <n v="130461"/>
    <x v="21"/>
    <x v="2"/>
    <x v="78"/>
    <n v="0.6"/>
    <x v="72"/>
    <x v="2"/>
    <m/>
    <m/>
    <m/>
    <m/>
    <m/>
    <m/>
    <m/>
    <m/>
    <m/>
    <m/>
  </r>
  <r>
    <x v="17"/>
    <n v="80891"/>
    <x v="17"/>
    <x v="3"/>
    <x v="26"/>
    <n v="1.2"/>
    <x v="79"/>
    <x v="2"/>
    <m/>
    <m/>
    <m/>
    <m/>
    <m/>
    <m/>
    <m/>
    <m/>
    <m/>
    <m/>
  </r>
  <r>
    <x v="2"/>
    <n v="127871"/>
    <x v="22"/>
    <x v="1"/>
    <x v="42"/>
    <n v="0.68"/>
    <x v="17"/>
    <x v="0"/>
    <m/>
    <m/>
    <m/>
    <m/>
    <m/>
    <m/>
    <m/>
    <m/>
    <m/>
    <m/>
  </r>
  <r>
    <x v="13"/>
    <n v="112418"/>
    <x v="10"/>
    <x v="2"/>
    <x v="55"/>
    <n v="1.46"/>
    <x v="55"/>
    <x v="2"/>
    <m/>
    <m/>
    <m/>
    <m/>
    <m/>
    <m/>
    <m/>
    <m/>
    <m/>
    <m/>
  </r>
  <r>
    <x v="15"/>
    <n v="54002"/>
    <x v="26"/>
    <x v="1"/>
    <x v="75"/>
    <n v="1.19"/>
    <x v="7"/>
    <x v="1"/>
    <m/>
    <m/>
    <m/>
    <m/>
    <m/>
    <m/>
    <m/>
    <m/>
    <m/>
    <m/>
  </r>
  <r>
    <x v="0"/>
    <n v="108391"/>
    <x v="10"/>
    <x v="3"/>
    <x v="37"/>
    <n v="0.64"/>
    <x v="81"/>
    <x v="0"/>
    <m/>
    <m/>
    <m/>
    <m/>
    <m/>
    <m/>
    <m/>
    <m/>
    <m/>
    <m/>
  </r>
  <r>
    <x v="18"/>
    <n v="53474"/>
    <x v="5"/>
    <x v="1"/>
    <x v="59"/>
    <n v="1.1499999999999999"/>
    <x v="82"/>
    <x v="1"/>
    <m/>
    <m/>
    <m/>
    <m/>
    <m/>
    <m/>
    <m/>
    <m/>
    <m/>
    <m/>
  </r>
  <r>
    <x v="15"/>
    <n v="106286"/>
    <x v="14"/>
    <x v="0"/>
    <x v="94"/>
    <n v="0.73"/>
    <x v="13"/>
    <x v="1"/>
    <m/>
    <m/>
    <m/>
    <m/>
    <m/>
    <m/>
    <m/>
    <m/>
    <m/>
    <m/>
  </r>
  <r>
    <x v="3"/>
    <n v="92520"/>
    <x v="16"/>
    <x v="1"/>
    <x v="76"/>
    <n v="0.65"/>
    <x v="8"/>
    <x v="2"/>
    <m/>
    <m/>
    <m/>
    <m/>
    <m/>
    <m/>
    <m/>
    <m/>
    <m/>
    <m/>
  </r>
  <r>
    <x v="0"/>
    <n v="60210"/>
    <x v="12"/>
    <x v="0"/>
    <x v="44"/>
    <n v="0.86"/>
    <x v="67"/>
    <x v="0"/>
    <m/>
    <m/>
    <m/>
    <m/>
    <m/>
    <m/>
    <m/>
    <m/>
    <m/>
    <m/>
  </r>
  <r>
    <x v="1"/>
    <n v="109558"/>
    <x v="3"/>
    <x v="3"/>
    <x v="29"/>
    <n v="1.31"/>
    <x v="5"/>
    <x v="1"/>
    <m/>
    <m/>
    <m/>
    <m/>
    <m/>
    <m/>
    <m/>
    <m/>
    <m/>
    <m/>
  </r>
  <r>
    <x v="10"/>
    <n v="54559"/>
    <x v="1"/>
    <x v="0"/>
    <x v="57"/>
    <n v="1.05"/>
    <x v="30"/>
    <x v="2"/>
    <m/>
    <m/>
    <m/>
    <m/>
    <m/>
    <m/>
    <m/>
    <m/>
    <m/>
    <m/>
  </r>
  <r>
    <x v="8"/>
    <n v="85099"/>
    <x v="10"/>
    <x v="3"/>
    <x v="62"/>
    <n v="0.82"/>
    <x v="87"/>
    <x v="2"/>
    <m/>
    <m/>
    <m/>
    <m/>
    <m/>
    <m/>
    <m/>
    <m/>
    <m/>
    <m/>
  </r>
  <r>
    <x v="3"/>
    <n v="68433"/>
    <x v="12"/>
    <x v="0"/>
    <x v="35"/>
    <n v="1.45"/>
    <x v="4"/>
    <x v="2"/>
    <m/>
    <m/>
    <m/>
    <m/>
    <m/>
    <m/>
    <m/>
    <m/>
    <m/>
    <m/>
  </r>
  <r>
    <x v="15"/>
    <n v="109791"/>
    <x v="2"/>
    <x v="1"/>
    <x v="35"/>
    <n v="0.65"/>
    <x v="16"/>
    <x v="1"/>
    <m/>
    <m/>
    <m/>
    <m/>
    <m/>
    <m/>
    <m/>
    <m/>
    <m/>
    <m/>
  </r>
  <r>
    <x v="13"/>
    <n v="149321"/>
    <x v="29"/>
    <x v="1"/>
    <x v="76"/>
    <n v="1.45"/>
    <x v="72"/>
    <x v="2"/>
    <m/>
    <m/>
    <m/>
    <m/>
    <m/>
    <m/>
    <m/>
    <m/>
    <m/>
    <m/>
  </r>
  <r>
    <x v="15"/>
    <n v="72048"/>
    <x v="9"/>
    <x v="3"/>
    <x v="93"/>
    <n v="0.71"/>
    <x v="18"/>
    <x v="1"/>
    <m/>
    <m/>
    <m/>
    <m/>
    <m/>
    <m/>
    <m/>
    <m/>
    <m/>
    <m/>
  </r>
  <r>
    <x v="12"/>
    <n v="132076"/>
    <x v="27"/>
    <x v="2"/>
    <x v="6"/>
    <n v="1.1399999999999999"/>
    <x v="46"/>
    <x v="2"/>
    <m/>
    <m/>
    <m/>
    <m/>
    <m/>
    <m/>
    <m/>
    <m/>
    <m/>
    <m/>
  </r>
  <r>
    <x v="14"/>
    <n v="105605"/>
    <x v="19"/>
    <x v="0"/>
    <x v="93"/>
    <n v="0.68"/>
    <x v="77"/>
    <x v="0"/>
    <m/>
    <m/>
    <m/>
    <m/>
    <m/>
    <m/>
    <m/>
    <m/>
    <m/>
    <m/>
  </r>
  <r>
    <x v="14"/>
    <n v="120811"/>
    <x v="15"/>
    <x v="0"/>
    <x v="81"/>
    <n v="0.81"/>
    <x v="59"/>
    <x v="0"/>
    <m/>
    <m/>
    <m/>
    <m/>
    <m/>
    <m/>
    <m/>
    <m/>
    <m/>
    <m/>
  </r>
  <r>
    <x v="16"/>
    <n v="115520"/>
    <x v="10"/>
    <x v="0"/>
    <x v="65"/>
    <n v="0.53"/>
    <x v="2"/>
    <x v="0"/>
    <m/>
    <m/>
    <m/>
    <m/>
    <m/>
    <m/>
    <m/>
    <m/>
    <m/>
    <m/>
  </r>
  <r>
    <x v="12"/>
    <n v="135341"/>
    <x v="29"/>
    <x v="2"/>
    <x v="13"/>
    <n v="0.85"/>
    <x v="64"/>
    <x v="2"/>
    <m/>
    <m/>
    <m/>
    <m/>
    <m/>
    <m/>
    <m/>
    <m/>
    <m/>
    <m/>
  </r>
  <r>
    <x v="9"/>
    <n v="116402"/>
    <x v="22"/>
    <x v="1"/>
    <x v="15"/>
    <n v="1.34"/>
    <x v="35"/>
    <x v="0"/>
    <m/>
    <m/>
    <m/>
    <m/>
    <m/>
    <m/>
    <m/>
    <m/>
    <m/>
    <m/>
  </r>
  <r>
    <x v="8"/>
    <n v="71503"/>
    <x v="26"/>
    <x v="2"/>
    <x v="3"/>
    <n v="0.98"/>
    <x v="8"/>
    <x v="2"/>
    <m/>
    <m/>
    <m/>
    <m/>
    <m/>
    <m/>
    <m/>
    <m/>
    <m/>
    <m/>
  </r>
  <r>
    <x v="16"/>
    <n v="107366"/>
    <x v="12"/>
    <x v="0"/>
    <x v="12"/>
    <n v="1.44"/>
    <x v="58"/>
    <x v="2"/>
    <m/>
    <m/>
    <m/>
    <m/>
    <m/>
    <m/>
    <m/>
    <m/>
    <m/>
    <m/>
  </r>
  <r>
    <x v="7"/>
    <n v="132187"/>
    <x v="25"/>
    <x v="3"/>
    <x v="2"/>
    <n v="1.03"/>
    <x v="61"/>
    <x v="1"/>
    <m/>
    <m/>
    <m/>
    <m/>
    <m/>
    <m/>
    <m/>
    <m/>
    <m/>
    <m/>
  </r>
  <r>
    <x v="9"/>
    <n v="71164"/>
    <x v="15"/>
    <x v="1"/>
    <x v="25"/>
    <n v="1.23"/>
    <x v="83"/>
    <x v="0"/>
    <m/>
    <m/>
    <m/>
    <m/>
    <m/>
    <m/>
    <m/>
    <m/>
    <m/>
    <m/>
  </r>
  <r>
    <x v="7"/>
    <n v="67624"/>
    <x v="25"/>
    <x v="2"/>
    <x v="61"/>
    <n v="0.53"/>
    <x v="52"/>
    <x v="1"/>
    <m/>
    <m/>
    <m/>
    <m/>
    <m/>
    <m/>
    <m/>
    <m/>
    <m/>
    <m/>
  </r>
  <r>
    <x v="14"/>
    <n v="144499"/>
    <x v="14"/>
    <x v="0"/>
    <x v="38"/>
    <n v="0.77"/>
    <x v="32"/>
    <x v="0"/>
    <m/>
    <m/>
    <m/>
    <m/>
    <m/>
    <m/>
    <m/>
    <m/>
    <m/>
    <m/>
  </r>
  <r>
    <x v="7"/>
    <n v="146585"/>
    <x v="12"/>
    <x v="2"/>
    <x v="6"/>
    <n v="0.51"/>
    <x v="75"/>
    <x v="1"/>
    <m/>
    <m/>
    <m/>
    <m/>
    <m/>
    <m/>
    <m/>
    <m/>
    <m/>
    <m/>
  </r>
  <r>
    <x v="15"/>
    <n v="115780"/>
    <x v="19"/>
    <x v="1"/>
    <x v="54"/>
    <n v="1.1000000000000001"/>
    <x v="15"/>
    <x v="1"/>
    <m/>
    <m/>
    <m/>
    <m/>
    <m/>
    <m/>
    <m/>
    <m/>
    <m/>
    <m/>
  </r>
  <r>
    <x v="7"/>
    <n v="140168"/>
    <x v="21"/>
    <x v="2"/>
    <x v="18"/>
    <n v="1"/>
    <x v="61"/>
    <x v="1"/>
    <m/>
    <m/>
    <m/>
    <m/>
    <m/>
    <m/>
    <m/>
    <m/>
    <m/>
    <m/>
  </r>
  <r>
    <x v="9"/>
    <n v="113764"/>
    <x v="1"/>
    <x v="0"/>
    <x v="79"/>
    <n v="1.01"/>
    <x v="28"/>
    <x v="0"/>
    <m/>
    <m/>
    <m/>
    <m/>
    <m/>
    <m/>
    <m/>
    <m/>
    <m/>
    <m/>
  </r>
  <r>
    <x v="13"/>
    <n v="114367"/>
    <x v="21"/>
    <x v="3"/>
    <x v="42"/>
    <n v="1.24"/>
    <x v="43"/>
    <x v="2"/>
    <m/>
    <m/>
    <m/>
    <m/>
    <m/>
    <m/>
    <m/>
    <m/>
    <m/>
    <m/>
  </r>
  <r>
    <x v="18"/>
    <n v="54195"/>
    <x v="15"/>
    <x v="0"/>
    <x v="0"/>
    <n v="0.52"/>
    <x v="63"/>
    <x v="1"/>
    <m/>
    <m/>
    <m/>
    <m/>
    <m/>
    <m/>
    <m/>
    <m/>
    <m/>
    <m/>
  </r>
  <r>
    <x v="15"/>
    <n v="98397"/>
    <x v="29"/>
    <x v="0"/>
    <x v="60"/>
    <n v="1.1599999999999999"/>
    <x v="52"/>
    <x v="1"/>
    <m/>
    <m/>
    <m/>
    <m/>
    <m/>
    <m/>
    <m/>
    <m/>
    <m/>
    <m/>
  </r>
  <r>
    <x v="7"/>
    <n v="114692"/>
    <x v="13"/>
    <x v="1"/>
    <x v="17"/>
    <n v="1.38"/>
    <x v="29"/>
    <x v="1"/>
    <m/>
    <m/>
    <m/>
    <m/>
    <m/>
    <m/>
    <m/>
    <m/>
    <m/>
    <m/>
  </r>
  <r>
    <x v="11"/>
    <n v="75814"/>
    <x v="22"/>
    <x v="0"/>
    <x v="88"/>
    <n v="1.29"/>
    <x v="85"/>
    <x v="1"/>
    <m/>
    <m/>
    <m/>
    <m/>
    <m/>
    <m/>
    <m/>
    <m/>
    <m/>
    <m/>
  </r>
  <r>
    <x v="5"/>
    <n v="122079"/>
    <x v="7"/>
    <x v="3"/>
    <x v="81"/>
    <n v="0.56000000000000005"/>
    <x v="88"/>
    <x v="1"/>
    <m/>
    <m/>
    <m/>
    <m/>
    <m/>
    <m/>
    <m/>
    <m/>
    <m/>
    <m/>
  </r>
  <r>
    <x v="17"/>
    <n v="138165"/>
    <x v="27"/>
    <x v="1"/>
    <x v="4"/>
    <n v="0.67"/>
    <x v="69"/>
    <x v="2"/>
    <m/>
    <m/>
    <m/>
    <m/>
    <m/>
    <m/>
    <m/>
    <m/>
    <m/>
    <m/>
  </r>
  <r>
    <x v="12"/>
    <n v="130296"/>
    <x v="27"/>
    <x v="1"/>
    <x v="82"/>
    <n v="1.45"/>
    <x v="68"/>
    <x v="2"/>
    <m/>
    <m/>
    <m/>
    <m/>
    <m/>
    <m/>
    <m/>
    <m/>
    <m/>
    <m/>
  </r>
  <r>
    <x v="7"/>
    <n v="144547"/>
    <x v="0"/>
    <x v="2"/>
    <x v="35"/>
    <n v="1.05"/>
    <x v="16"/>
    <x v="1"/>
    <m/>
    <m/>
    <m/>
    <m/>
    <m/>
    <m/>
    <m/>
    <m/>
    <m/>
    <m/>
  </r>
  <r>
    <x v="7"/>
    <n v="85133"/>
    <x v="17"/>
    <x v="0"/>
    <x v="62"/>
    <n v="0.91"/>
    <x v="15"/>
    <x v="1"/>
    <m/>
    <m/>
    <m/>
    <m/>
    <m/>
    <m/>
    <m/>
    <m/>
    <m/>
    <m/>
  </r>
  <r>
    <x v="14"/>
    <n v="127347"/>
    <x v="8"/>
    <x v="2"/>
    <x v="29"/>
    <n v="1.27"/>
    <x v="51"/>
    <x v="0"/>
    <m/>
    <m/>
    <m/>
    <m/>
    <m/>
    <m/>
    <m/>
    <m/>
    <m/>
    <m/>
  </r>
  <r>
    <x v="5"/>
    <n v="82990"/>
    <x v="9"/>
    <x v="2"/>
    <x v="23"/>
    <n v="0.88"/>
    <x v="85"/>
    <x v="1"/>
    <m/>
    <m/>
    <m/>
    <m/>
    <m/>
    <m/>
    <m/>
    <m/>
    <m/>
    <m/>
  </r>
  <r>
    <x v="3"/>
    <n v="69379"/>
    <x v="27"/>
    <x v="3"/>
    <x v="46"/>
    <n v="0.64"/>
    <x v="38"/>
    <x v="2"/>
    <m/>
    <m/>
    <m/>
    <m/>
    <m/>
    <m/>
    <m/>
    <m/>
    <m/>
    <m/>
  </r>
  <r>
    <x v="17"/>
    <n v="128235"/>
    <x v="29"/>
    <x v="3"/>
    <x v="84"/>
    <n v="1.26"/>
    <x v="46"/>
    <x v="2"/>
    <m/>
    <m/>
    <m/>
    <m/>
    <m/>
    <m/>
    <m/>
    <m/>
    <m/>
    <m/>
  </r>
  <r>
    <x v="6"/>
    <n v="102181"/>
    <x v="25"/>
    <x v="3"/>
    <x v="50"/>
    <n v="1.17"/>
    <x v="30"/>
    <x v="2"/>
    <m/>
    <m/>
    <m/>
    <m/>
    <m/>
    <m/>
    <m/>
    <m/>
    <m/>
    <m/>
  </r>
  <r>
    <x v="10"/>
    <n v="111839"/>
    <x v="12"/>
    <x v="2"/>
    <x v="44"/>
    <n v="1.41"/>
    <x v="30"/>
    <x v="2"/>
    <m/>
    <m/>
    <m/>
    <m/>
    <m/>
    <m/>
    <m/>
    <m/>
    <m/>
    <m/>
  </r>
  <r>
    <x v="16"/>
    <n v="83242"/>
    <x v="11"/>
    <x v="2"/>
    <x v="71"/>
    <n v="0.83"/>
    <x v="76"/>
    <x v="0"/>
    <m/>
    <m/>
    <m/>
    <m/>
    <m/>
    <m/>
    <m/>
    <m/>
    <m/>
    <m/>
  </r>
  <r>
    <x v="15"/>
    <n v="93611"/>
    <x v="3"/>
    <x v="3"/>
    <x v="86"/>
    <n v="0.52"/>
    <x v="16"/>
    <x v="1"/>
    <m/>
    <m/>
    <m/>
    <m/>
    <m/>
    <m/>
    <m/>
    <m/>
    <m/>
    <m/>
  </r>
  <r>
    <x v="3"/>
    <n v="38871"/>
    <x v="8"/>
    <x v="2"/>
    <x v="93"/>
    <n v="1.1299999999999999"/>
    <x v="79"/>
    <x v="2"/>
    <m/>
    <m/>
    <m/>
    <m/>
    <m/>
    <m/>
    <m/>
    <m/>
    <m/>
    <m/>
  </r>
  <r>
    <x v="5"/>
    <n v="78743"/>
    <x v="26"/>
    <x v="0"/>
    <x v="55"/>
    <n v="0.5"/>
    <x v="54"/>
    <x v="1"/>
    <m/>
    <m/>
    <m/>
    <m/>
    <m/>
    <m/>
    <m/>
    <m/>
    <m/>
    <m/>
  </r>
  <r>
    <x v="8"/>
    <n v="107418"/>
    <x v="26"/>
    <x v="3"/>
    <x v="10"/>
    <n v="0.95"/>
    <x v="45"/>
    <x v="2"/>
    <m/>
    <m/>
    <m/>
    <m/>
    <m/>
    <m/>
    <m/>
    <m/>
    <m/>
    <m/>
  </r>
  <r>
    <x v="0"/>
    <n v="116472"/>
    <x v="3"/>
    <x v="0"/>
    <x v="74"/>
    <n v="0.99"/>
    <x v="17"/>
    <x v="0"/>
    <m/>
    <m/>
    <m/>
    <m/>
    <m/>
    <m/>
    <m/>
    <m/>
    <m/>
    <m/>
  </r>
  <r>
    <x v="17"/>
    <n v="56025"/>
    <x v="0"/>
    <x v="2"/>
    <x v="88"/>
    <n v="0.74"/>
    <x v="69"/>
    <x v="2"/>
    <m/>
    <m/>
    <m/>
    <m/>
    <m/>
    <m/>
    <m/>
    <m/>
    <m/>
    <m/>
  </r>
  <r>
    <x v="13"/>
    <n v="51747"/>
    <x v="11"/>
    <x v="3"/>
    <x v="6"/>
    <n v="0.99"/>
    <x v="64"/>
    <x v="2"/>
    <m/>
    <m/>
    <m/>
    <m/>
    <m/>
    <m/>
    <m/>
    <m/>
    <m/>
    <m/>
  </r>
  <r>
    <x v="12"/>
    <n v="117090"/>
    <x v="9"/>
    <x v="2"/>
    <x v="96"/>
    <n v="1.0900000000000001"/>
    <x v="45"/>
    <x v="2"/>
    <m/>
    <m/>
    <m/>
    <m/>
    <m/>
    <m/>
    <m/>
    <m/>
    <m/>
    <m/>
  </r>
  <r>
    <x v="15"/>
    <n v="65486"/>
    <x v="22"/>
    <x v="3"/>
    <x v="30"/>
    <n v="1.21"/>
    <x v="52"/>
    <x v="1"/>
    <m/>
    <m/>
    <m/>
    <m/>
    <m/>
    <m/>
    <m/>
    <m/>
    <m/>
    <m/>
  </r>
  <r>
    <x v="18"/>
    <n v="148871"/>
    <x v="25"/>
    <x v="2"/>
    <x v="1"/>
    <n v="1.47"/>
    <x v="47"/>
    <x v="1"/>
    <m/>
    <m/>
    <m/>
    <m/>
    <m/>
    <m/>
    <m/>
    <m/>
    <m/>
    <m/>
  </r>
  <r>
    <x v="1"/>
    <n v="72925"/>
    <x v="13"/>
    <x v="1"/>
    <x v="86"/>
    <n v="1.3"/>
    <x v="16"/>
    <x v="1"/>
    <m/>
    <m/>
    <m/>
    <m/>
    <m/>
    <m/>
    <m/>
    <m/>
    <m/>
    <m/>
  </r>
  <r>
    <x v="8"/>
    <n v="50647"/>
    <x v="1"/>
    <x v="2"/>
    <x v="88"/>
    <n v="0.81"/>
    <x v="53"/>
    <x v="2"/>
    <m/>
    <m/>
    <m/>
    <m/>
    <m/>
    <m/>
    <m/>
    <m/>
    <m/>
    <m/>
  </r>
  <r>
    <x v="18"/>
    <n v="134839"/>
    <x v="19"/>
    <x v="0"/>
    <x v="77"/>
    <n v="0.89"/>
    <x v="34"/>
    <x v="1"/>
    <m/>
    <m/>
    <m/>
    <m/>
    <m/>
    <m/>
    <m/>
    <m/>
    <m/>
    <m/>
  </r>
  <r>
    <x v="10"/>
    <n v="94310"/>
    <x v="7"/>
    <x v="3"/>
    <x v="25"/>
    <n v="0.62"/>
    <x v="49"/>
    <x v="2"/>
    <m/>
    <m/>
    <m/>
    <m/>
    <m/>
    <m/>
    <m/>
    <m/>
    <m/>
    <m/>
  </r>
  <r>
    <x v="2"/>
    <n v="67788"/>
    <x v="16"/>
    <x v="1"/>
    <x v="22"/>
    <n v="1.27"/>
    <x v="60"/>
    <x v="0"/>
    <m/>
    <m/>
    <m/>
    <m/>
    <m/>
    <m/>
    <m/>
    <m/>
    <m/>
    <m/>
  </r>
  <r>
    <x v="4"/>
    <n v="87676"/>
    <x v="20"/>
    <x v="1"/>
    <x v="94"/>
    <n v="1.3"/>
    <x v="55"/>
    <x v="2"/>
    <m/>
    <m/>
    <m/>
    <m/>
    <m/>
    <m/>
    <m/>
    <m/>
    <m/>
    <m/>
  </r>
  <r>
    <x v="6"/>
    <n v="73677"/>
    <x v="15"/>
    <x v="2"/>
    <x v="82"/>
    <n v="1.37"/>
    <x v="36"/>
    <x v="2"/>
    <m/>
    <m/>
    <m/>
    <m/>
    <m/>
    <m/>
    <m/>
    <m/>
    <m/>
    <m/>
  </r>
  <r>
    <x v="9"/>
    <n v="84012"/>
    <x v="18"/>
    <x v="1"/>
    <x v="31"/>
    <n v="1.0900000000000001"/>
    <x v="59"/>
    <x v="0"/>
    <m/>
    <m/>
    <m/>
    <m/>
    <m/>
    <m/>
    <m/>
    <m/>
    <m/>
    <m/>
  </r>
  <r>
    <x v="3"/>
    <n v="67470"/>
    <x v="26"/>
    <x v="2"/>
    <x v="19"/>
    <n v="0.66"/>
    <x v="22"/>
    <x v="2"/>
    <m/>
    <m/>
    <m/>
    <m/>
    <m/>
    <m/>
    <m/>
    <m/>
    <m/>
    <m/>
  </r>
  <r>
    <x v="11"/>
    <n v="139055"/>
    <x v="4"/>
    <x v="0"/>
    <x v="84"/>
    <n v="0.86"/>
    <x v="20"/>
    <x v="2"/>
    <m/>
    <m/>
    <m/>
    <m/>
    <m/>
    <m/>
    <m/>
    <m/>
    <m/>
    <m/>
  </r>
  <r>
    <x v="1"/>
    <n v="31757"/>
    <x v="20"/>
    <x v="3"/>
    <x v="3"/>
    <n v="0.95"/>
    <x v="88"/>
    <x v="1"/>
    <m/>
    <m/>
    <m/>
    <m/>
    <m/>
    <m/>
    <m/>
    <m/>
    <m/>
    <m/>
  </r>
  <r>
    <x v="7"/>
    <n v="62964"/>
    <x v="17"/>
    <x v="2"/>
    <x v="96"/>
    <n v="1.1599999999999999"/>
    <x v="18"/>
    <x v="1"/>
    <m/>
    <m/>
    <m/>
    <m/>
    <m/>
    <m/>
    <m/>
    <m/>
    <m/>
    <m/>
  </r>
  <r>
    <x v="17"/>
    <n v="139276"/>
    <x v="13"/>
    <x v="1"/>
    <x v="27"/>
    <n v="1.1599999999999999"/>
    <x v="71"/>
    <x v="2"/>
    <m/>
    <m/>
    <m/>
    <m/>
    <m/>
    <m/>
    <m/>
    <m/>
    <m/>
    <m/>
  </r>
  <r>
    <x v="10"/>
    <n v="124364"/>
    <x v="19"/>
    <x v="2"/>
    <x v="78"/>
    <n v="1.34"/>
    <x v="64"/>
    <x v="2"/>
    <m/>
    <m/>
    <m/>
    <m/>
    <m/>
    <m/>
    <m/>
    <m/>
    <m/>
    <m/>
  </r>
  <r>
    <x v="5"/>
    <n v="30030"/>
    <x v="24"/>
    <x v="0"/>
    <x v="90"/>
    <n v="1.45"/>
    <x v="27"/>
    <x v="1"/>
    <m/>
    <m/>
    <m/>
    <m/>
    <m/>
    <m/>
    <m/>
    <m/>
    <m/>
    <m/>
  </r>
  <r>
    <x v="14"/>
    <n v="54524"/>
    <x v="11"/>
    <x v="3"/>
    <x v="18"/>
    <n v="0.83"/>
    <x v="28"/>
    <x v="0"/>
    <m/>
    <m/>
    <m/>
    <m/>
    <m/>
    <m/>
    <m/>
    <m/>
    <m/>
    <m/>
  </r>
  <r>
    <x v="4"/>
    <n v="43733"/>
    <x v="16"/>
    <x v="0"/>
    <x v="12"/>
    <n v="0.56000000000000005"/>
    <x v="64"/>
    <x v="2"/>
    <m/>
    <m/>
    <m/>
    <m/>
    <m/>
    <m/>
    <m/>
    <m/>
    <m/>
    <m/>
  </r>
  <r>
    <x v="5"/>
    <n v="92086"/>
    <x v="20"/>
    <x v="0"/>
    <x v="84"/>
    <n v="0.52"/>
    <x v="15"/>
    <x v="1"/>
    <m/>
    <m/>
    <m/>
    <m/>
    <m/>
    <m/>
    <m/>
    <m/>
    <m/>
    <m/>
  </r>
  <r>
    <x v="10"/>
    <n v="134643"/>
    <x v="2"/>
    <x v="3"/>
    <x v="51"/>
    <n v="1.26"/>
    <x v="64"/>
    <x v="2"/>
    <m/>
    <m/>
    <m/>
    <m/>
    <m/>
    <m/>
    <m/>
    <m/>
    <m/>
    <m/>
  </r>
  <r>
    <x v="3"/>
    <n v="136565"/>
    <x v="4"/>
    <x v="3"/>
    <x v="88"/>
    <n v="0.62"/>
    <x v="46"/>
    <x v="2"/>
    <m/>
    <m/>
    <m/>
    <m/>
    <m/>
    <m/>
    <m/>
    <m/>
    <m/>
    <m/>
  </r>
  <r>
    <x v="9"/>
    <n v="53784"/>
    <x v="0"/>
    <x v="1"/>
    <x v="27"/>
    <n v="0.56999999999999995"/>
    <x v="80"/>
    <x v="0"/>
    <m/>
    <m/>
    <m/>
    <m/>
    <m/>
    <m/>
    <m/>
    <m/>
    <m/>
    <m/>
  </r>
  <r>
    <x v="16"/>
    <n v="129892"/>
    <x v="10"/>
    <x v="2"/>
    <x v="16"/>
    <n v="1.4"/>
    <x v="60"/>
    <x v="0"/>
    <m/>
    <m/>
    <m/>
    <m/>
    <m/>
    <m/>
    <m/>
    <m/>
    <m/>
    <m/>
  </r>
  <r>
    <x v="17"/>
    <n v="123497"/>
    <x v="1"/>
    <x v="0"/>
    <x v="48"/>
    <n v="0.98"/>
    <x v="33"/>
    <x v="2"/>
    <m/>
    <m/>
    <m/>
    <m/>
    <m/>
    <m/>
    <m/>
    <m/>
    <m/>
    <m/>
  </r>
  <r>
    <x v="9"/>
    <n v="71147"/>
    <x v="28"/>
    <x v="1"/>
    <x v="74"/>
    <n v="0.92"/>
    <x v="35"/>
    <x v="0"/>
    <m/>
    <m/>
    <m/>
    <m/>
    <m/>
    <m/>
    <m/>
    <m/>
    <m/>
    <m/>
  </r>
  <r>
    <x v="19"/>
    <n v="138131"/>
    <x v="1"/>
    <x v="0"/>
    <x v="98"/>
    <n v="1.44"/>
    <x v="69"/>
    <x v="2"/>
    <m/>
    <m/>
    <m/>
    <m/>
    <m/>
    <m/>
    <m/>
    <m/>
    <m/>
    <m/>
  </r>
  <r>
    <x v="4"/>
    <n v="38168"/>
    <x v="14"/>
    <x v="3"/>
    <x v="8"/>
    <n v="1.25"/>
    <x v="20"/>
    <x v="2"/>
    <m/>
    <m/>
    <m/>
    <m/>
    <m/>
    <m/>
    <m/>
    <m/>
    <m/>
    <m/>
  </r>
  <r>
    <x v="8"/>
    <n v="126017"/>
    <x v="1"/>
    <x v="3"/>
    <x v="9"/>
    <n v="1.03"/>
    <x v="26"/>
    <x v="2"/>
    <m/>
    <m/>
    <m/>
    <m/>
    <m/>
    <m/>
    <m/>
    <m/>
    <m/>
    <m/>
  </r>
  <r>
    <x v="11"/>
    <n v="106548"/>
    <x v="29"/>
    <x v="0"/>
    <x v="79"/>
    <n v="0.83"/>
    <x v="48"/>
    <x v="2"/>
    <m/>
    <m/>
    <m/>
    <m/>
    <m/>
    <m/>
    <m/>
    <m/>
    <m/>
    <m/>
  </r>
  <r>
    <x v="19"/>
    <n v="64574"/>
    <x v="8"/>
    <x v="0"/>
    <x v="34"/>
    <n v="1.1200000000000001"/>
    <x v="84"/>
    <x v="2"/>
    <m/>
    <m/>
    <m/>
    <m/>
    <m/>
    <m/>
    <m/>
    <m/>
    <m/>
    <m/>
  </r>
  <r>
    <x v="16"/>
    <n v="106334"/>
    <x v="13"/>
    <x v="2"/>
    <x v="86"/>
    <n v="1.1200000000000001"/>
    <x v="24"/>
    <x v="0"/>
    <m/>
    <m/>
    <m/>
    <m/>
    <m/>
    <m/>
    <m/>
    <m/>
    <m/>
    <m/>
  </r>
  <r>
    <x v="9"/>
    <n v="50709"/>
    <x v="18"/>
    <x v="0"/>
    <x v="23"/>
    <n v="0.6"/>
    <x v="62"/>
    <x v="0"/>
    <m/>
    <m/>
    <m/>
    <m/>
    <m/>
    <m/>
    <m/>
    <m/>
    <m/>
    <m/>
  </r>
  <r>
    <x v="13"/>
    <n v="72434"/>
    <x v="26"/>
    <x v="2"/>
    <x v="92"/>
    <n v="1.04"/>
    <x v="12"/>
    <x v="2"/>
    <m/>
    <m/>
    <m/>
    <m/>
    <m/>
    <m/>
    <m/>
    <m/>
    <m/>
    <m/>
  </r>
  <r>
    <x v="19"/>
    <n v="122192"/>
    <x v="0"/>
    <x v="3"/>
    <x v="16"/>
    <n v="1.38"/>
    <x v="72"/>
    <x v="2"/>
    <m/>
    <m/>
    <m/>
    <m/>
    <m/>
    <m/>
    <m/>
    <m/>
    <m/>
    <m/>
  </r>
  <r>
    <x v="15"/>
    <n v="102399"/>
    <x v="0"/>
    <x v="3"/>
    <x v="76"/>
    <n v="1.45"/>
    <x v="47"/>
    <x v="1"/>
    <m/>
    <m/>
    <m/>
    <m/>
    <m/>
    <m/>
    <m/>
    <m/>
    <m/>
    <m/>
  </r>
  <r>
    <x v="2"/>
    <n v="52489"/>
    <x v="0"/>
    <x v="1"/>
    <x v="76"/>
    <n v="0.52"/>
    <x v="0"/>
    <x v="0"/>
    <m/>
    <m/>
    <m/>
    <m/>
    <m/>
    <m/>
    <m/>
    <m/>
    <m/>
    <m/>
  </r>
  <r>
    <x v="16"/>
    <n v="123995"/>
    <x v="8"/>
    <x v="3"/>
    <x v="17"/>
    <n v="0.65"/>
    <x v="81"/>
    <x v="0"/>
    <m/>
    <m/>
    <m/>
    <m/>
    <m/>
    <m/>
    <m/>
    <m/>
    <m/>
    <m/>
  </r>
  <r>
    <x v="18"/>
    <n v="116090"/>
    <x v="20"/>
    <x v="1"/>
    <x v="67"/>
    <n v="0.51"/>
    <x v="34"/>
    <x v="1"/>
    <m/>
    <m/>
    <m/>
    <m/>
    <m/>
    <m/>
    <m/>
    <m/>
    <m/>
    <m/>
  </r>
  <r>
    <x v="8"/>
    <n v="126190"/>
    <x v="20"/>
    <x v="2"/>
    <x v="62"/>
    <n v="1.3"/>
    <x v="66"/>
    <x v="2"/>
    <m/>
    <m/>
    <m/>
    <m/>
    <m/>
    <m/>
    <m/>
    <m/>
    <m/>
    <m/>
  </r>
  <r>
    <x v="6"/>
    <n v="132535"/>
    <x v="1"/>
    <x v="2"/>
    <x v="98"/>
    <n v="1.46"/>
    <x v="25"/>
    <x v="2"/>
    <m/>
    <m/>
    <m/>
    <m/>
    <m/>
    <m/>
    <m/>
    <m/>
    <m/>
    <m/>
  </r>
  <r>
    <x v="10"/>
    <n v="84026"/>
    <x v="11"/>
    <x v="0"/>
    <x v="72"/>
    <n v="0.82"/>
    <x v="84"/>
    <x v="2"/>
    <m/>
    <m/>
    <m/>
    <m/>
    <m/>
    <m/>
    <m/>
    <m/>
    <m/>
    <m/>
  </r>
  <r>
    <x v="15"/>
    <n v="61171"/>
    <x v="3"/>
    <x v="3"/>
    <x v="69"/>
    <n v="0.83"/>
    <x v="7"/>
    <x v="1"/>
    <m/>
    <m/>
    <m/>
    <m/>
    <m/>
    <m/>
    <m/>
    <m/>
    <m/>
    <m/>
  </r>
  <r>
    <x v="5"/>
    <n v="140549"/>
    <x v="14"/>
    <x v="3"/>
    <x v="39"/>
    <n v="1.03"/>
    <x v="7"/>
    <x v="1"/>
    <m/>
    <m/>
    <m/>
    <m/>
    <m/>
    <m/>
    <m/>
    <m/>
    <m/>
    <m/>
  </r>
  <r>
    <x v="9"/>
    <n v="120061"/>
    <x v="28"/>
    <x v="0"/>
    <x v="29"/>
    <n v="0.71"/>
    <x v="17"/>
    <x v="0"/>
    <m/>
    <m/>
    <m/>
    <m/>
    <m/>
    <m/>
    <m/>
    <m/>
    <m/>
    <m/>
  </r>
  <r>
    <x v="16"/>
    <n v="143357"/>
    <x v="4"/>
    <x v="0"/>
    <x v="58"/>
    <n v="0.51"/>
    <x v="67"/>
    <x v="0"/>
    <m/>
    <m/>
    <m/>
    <m/>
    <m/>
    <m/>
    <m/>
    <m/>
    <m/>
    <m/>
  </r>
  <r>
    <x v="3"/>
    <n v="74099"/>
    <x v="8"/>
    <x v="2"/>
    <x v="63"/>
    <n v="1.1399999999999999"/>
    <x v="69"/>
    <x v="2"/>
    <m/>
    <m/>
    <m/>
    <m/>
    <m/>
    <m/>
    <m/>
    <m/>
    <m/>
    <m/>
  </r>
  <r>
    <x v="8"/>
    <n v="101543"/>
    <x v="2"/>
    <x v="0"/>
    <x v="54"/>
    <n v="0.61"/>
    <x v="45"/>
    <x v="2"/>
    <m/>
    <m/>
    <m/>
    <m/>
    <m/>
    <m/>
    <m/>
    <m/>
    <m/>
    <m/>
  </r>
  <r>
    <x v="18"/>
    <n v="129691"/>
    <x v="17"/>
    <x v="2"/>
    <x v="64"/>
    <n v="0.71"/>
    <x v="85"/>
    <x v="1"/>
    <m/>
    <m/>
    <m/>
    <m/>
    <m/>
    <m/>
    <m/>
    <m/>
    <m/>
    <m/>
  </r>
  <r>
    <x v="7"/>
    <n v="111793"/>
    <x v="29"/>
    <x v="2"/>
    <x v="75"/>
    <n v="1.3"/>
    <x v="27"/>
    <x v="1"/>
    <m/>
    <m/>
    <m/>
    <m/>
    <m/>
    <m/>
    <m/>
    <m/>
    <m/>
    <m/>
  </r>
  <r>
    <x v="19"/>
    <n v="33814"/>
    <x v="0"/>
    <x v="2"/>
    <x v="62"/>
    <n v="0.63"/>
    <x v="78"/>
    <x v="2"/>
    <m/>
    <m/>
    <m/>
    <m/>
    <m/>
    <m/>
    <m/>
    <m/>
    <m/>
    <m/>
  </r>
  <r>
    <x v="17"/>
    <n v="113395"/>
    <x v="12"/>
    <x v="3"/>
    <x v="100"/>
    <n v="1.27"/>
    <x v="25"/>
    <x v="2"/>
    <m/>
    <m/>
    <m/>
    <m/>
    <m/>
    <m/>
    <m/>
    <m/>
    <m/>
    <m/>
  </r>
  <r>
    <x v="3"/>
    <n v="104892"/>
    <x v="0"/>
    <x v="0"/>
    <x v="70"/>
    <n v="0.76"/>
    <x v="6"/>
    <x v="2"/>
    <m/>
    <m/>
    <m/>
    <m/>
    <m/>
    <m/>
    <m/>
    <m/>
    <m/>
    <m/>
  </r>
  <r>
    <x v="19"/>
    <n v="134560"/>
    <x v="21"/>
    <x v="1"/>
    <x v="68"/>
    <n v="1.18"/>
    <x v="33"/>
    <x v="2"/>
    <m/>
    <m/>
    <m/>
    <m/>
    <m/>
    <m/>
    <m/>
    <m/>
    <m/>
    <m/>
  </r>
  <r>
    <x v="8"/>
    <n v="46585"/>
    <x v="13"/>
    <x v="3"/>
    <x v="13"/>
    <n v="1.32"/>
    <x v="10"/>
    <x v="2"/>
    <m/>
    <m/>
    <m/>
    <m/>
    <m/>
    <m/>
    <m/>
    <m/>
    <m/>
    <m/>
  </r>
  <r>
    <x v="13"/>
    <n v="65878"/>
    <x v="9"/>
    <x v="2"/>
    <x v="58"/>
    <n v="0.89"/>
    <x v="64"/>
    <x v="2"/>
    <m/>
    <m/>
    <m/>
    <m/>
    <m/>
    <m/>
    <m/>
    <m/>
    <m/>
    <m/>
  </r>
  <r>
    <x v="14"/>
    <n v="144742"/>
    <x v="3"/>
    <x v="1"/>
    <x v="70"/>
    <n v="0.66"/>
    <x v="9"/>
    <x v="0"/>
    <m/>
    <m/>
    <m/>
    <m/>
    <m/>
    <m/>
    <m/>
    <m/>
    <m/>
    <m/>
  </r>
  <r>
    <x v="17"/>
    <n v="108074"/>
    <x v="17"/>
    <x v="3"/>
    <x v="92"/>
    <n v="1.23"/>
    <x v="86"/>
    <x v="2"/>
    <m/>
    <m/>
    <m/>
    <m/>
    <m/>
    <m/>
    <m/>
    <m/>
    <m/>
    <m/>
  </r>
  <r>
    <x v="17"/>
    <n v="135178"/>
    <x v="9"/>
    <x v="2"/>
    <x v="48"/>
    <n v="1.25"/>
    <x v="64"/>
    <x v="2"/>
    <m/>
    <m/>
    <m/>
    <m/>
    <m/>
    <m/>
    <m/>
    <m/>
    <m/>
    <m/>
  </r>
  <r>
    <x v="1"/>
    <n v="38794"/>
    <x v="8"/>
    <x v="1"/>
    <x v="81"/>
    <n v="0.98"/>
    <x v="16"/>
    <x v="1"/>
    <m/>
    <m/>
    <m/>
    <m/>
    <m/>
    <m/>
    <m/>
    <m/>
    <m/>
    <m/>
  </r>
  <r>
    <x v="1"/>
    <n v="87364"/>
    <x v="17"/>
    <x v="3"/>
    <x v="29"/>
    <n v="1.48"/>
    <x v="29"/>
    <x v="1"/>
    <m/>
    <m/>
    <m/>
    <m/>
    <m/>
    <m/>
    <m/>
    <m/>
    <m/>
    <m/>
  </r>
  <r>
    <x v="16"/>
    <n v="41853"/>
    <x v="25"/>
    <x v="3"/>
    <x v="64"/>
    <n v="1.37"/>
    <x v="2"/>
    <x v="0"/>
    <m/>
    <m/>
    <m/>
    <m/>
    <m/>
    <m/>
    <m/>
    <m/>
    <m/>
    <m/>
  </r>
  <r>
    <x v="10"/>
    <n v="73280"/>
    <x v="0"/>
    <x v="0"/>
    <x v="88"/>
    <n v="1.17"/>
    <x v="22"/>
    <x v="2"/>
    <m/>
    <m/>
    <m/>
    <m/>
    <m/>
    <m/>
    <m/>
    <m/>
    <m/>
    <m/>
  </r>
  <r>
    <x v="6"/>
    <n v="130854"/>
    <x v="26"/>
    <x v="0"/>
    <x v="37"/>
    <n v="0.91"/>
    <x v="48"/>
    <x v="2"/>
    <m/>
    <m/>
    <m/>
    <m/>
    <m/>
    <m/>
    <m/>
    <m/>
    <m/>
    <m/>
  </r>
  <r>
    <x v="6"/>
    <n v="100286"/>
    <x v="0"/>
    <x v="2"/>
    <x v="77"/>
    <n v="0.81"/>
    <x v="68"/>
    <x v="2"/>
    <m/>
    <m/>
    <m/>
    <m/>
    <m/>
    <m/>
    <m/>
    <m/>
    <m/>
    <m/>
  </r>
  <r>
    <x v="2"/>
    <n v="129646"/>
    <x v="1"/>
    <x v="3"/>
    <x v="60"/>
    <n v="0.81"/>
    <x v="89"/>
    <x v="0"/>
    <m/>
    <m/>
    <m/>
    <m/>
    <m/>
    <m/>
    <m/>
    <m/>
    <m/>
    <m/>
  </r>
  <r>
    <x v="3"/>
    <n v="82445"/>
    <x v="15"/>
    <x v="3"/>
    <x v="32"/>
    <n v="0.56999999999999995"/>
    <x v="23"/>
    <x v="2"/>
    <m/>
    <m/>
    <m/>
    <m/>
    <m/>
    <m/>
    <m/>
    <m/>
    <m/>
    <m/>
  </r>
  <r>
    <x v="10"/>
    <n v="86152"/>
    <x v="5"/>
    <x v="0"/>
    <x v="37"/>
    <n v="1.17"/>
    <x v="45"/>
    <x v="2"/>
    <m/>
    <m/>
    <m/>
    <m/>
    <m/>
    <m/>
    <m/>
    <m/>
    <m/>
    <m/>
  </r>
  <r>
    <x v="16"/>
    <n v="45485"/>
    <x v="21"/>
    <x v="1"/>
    <x v="17"/>
    <n v="0.74"/>
    <x v="81"/>
    <x v="0"/>
    <m/>
    <m/>
    <m/>
    <m/>
    <m/>
    <m/>
    <m/>
    <m/>
    <m/>
    <m/>
  </r>
  <r>
    <x v="0"/>
    <n v="53953"/>
    <x v="12"/>
    <x v="0"/>
    <x v="51"/>
    <n v="0.8"/>
    <x v="56"/>
    <x v="0"/>
    <m/>
    <m/>
    <m/>
    <m/>
    <m/>
    <m/>
    <m/>
    <m/>
    <m/>
    <m/>
  </r>
  <r>
    <x v="17"/>
    <n v="48027"/>
    <x v="23"/>
    <x v="3"/>
    <x v="97"/>
    <n v="1.1299999999999999"/>
    <x v="10"/>
    <x v="2"/>
    <m/>
    <m/>
    <m/>
    <m/>
    <m/>
    <m/>
    <m/>
    <m/>
    <m/>
    <m/>
  </r>
  <r>
    <x v="15"/>
    <n v="45265"/>
    <x v="13"/>
    <x v="1"/>
    <x v="2"/>
    <n v="1.24"/>
    <x v="1"/>
    <x v="1"/>
    <m/>
    <m/>
    <m/>
    <m/>
    <m/>
    <m/>
    <m/>
    <m/>
    <m/>
    <m/>
  </r>
  <r>
    <x v="0"/>
    <n v="39160"/>
    <x v="27"/>
    <x v="1"/>
    <x v="23"/>
    <n v="0.66"/>
    <x v="24"/>
    <x v="0"/>
    <m/>
    <m/>
    <m/>
    <m/>
    <m/>
    <m/>
    <m/>
    <m/>
    <m/>
    <m/>
  </r>
  <r>
    <x v="0"/>
    <n v="100717"/>
    <x v="28"/>
    <x v="2"/>
    <x v="24"/>
    <n v="0.56999999999999995"/>
    <x v="40"/>
    <x v="0"/>
    <m/>
    <m/>
    <m/>
    <m/>
    <m/>
    <m/>
    <m/>
    <m/>
    <m/>
    <m/>
  </r>
  <r>
    <x v="8"/>
    <n v="117275"/>
    <x v="9"/>
    <x v="2"/>
    <x v="54"/>
    <n v="1.01"/>
    <x v="55"/>
    <x v="2"/>
    <m/>
    <m/>
    <m/>
    <m/>
    <m/>
    <m/>
    <m/>
    <m/>
    <m/>
    <m/>
  </r>
  <r>
    <x v="0"/>
    <n v="73496"/>
    <x v="15"/>
    <x v="1"/>
    <x v="78"/>
    <n v="1.49"/>
    <x v="73"/>
    <x v="0"/>
    <m/>
    <m/>
    <m/>
    <m/>
    <m/>
    <m/>
    <m/>
    <m/>
    <m/>
    <m/>
  </r>
  <r>
    <x v="11"/>
    <n v="95635"/>
    <x v="14"/>
    <x v="1"/>
    <x v="74"/>
    <n v="0.91"/>
    <x v="31"/>
    <x v="2"/>
    <m/>
    <m/>
    <m/>
    <m/>
    <m/>
    <m/>
    <m/>
    <m/>
    <m/>
    <m/>
  </r>
  <r>
    <x v="3"/>
    <n v="57762"/>
    <x v="16"/>
    <x v="3"/>
    <x v="13"/>
    <n v="0.51"/>
    <x v="45"/>
    <x v="2"/>
    <m/>
    <m/>
    <m/>
    <m/>
    <m/>
    <m/>
    <m/>
    <m/>
    <m/>
    <m/>
  </r>
  <r>
    <x v="7"/>
    <n v="95888"/>
    <x v="13"/>
    <x v="2"/>
    <x v="11"/>
    <n v="0.82"/>
    <x v="41"/>
    <x v="1"/>
    <m/>
    <m/>
    <m/>
    <m/>
    <m/>
    <m/>
    <m/>
    <m/>
    <m/>
    <m/>
  </r>
  <r>
    <x v="14"/>
    <n v="84150"/>
    <x v="6"/>
    <x v="3"/>
    <x v="15"/>
    <n v="1.05"/>
    <x v="80"/>
    <x v="0"/>
    <m/>
    <m/>
    <m/>
    <m/>
    <m/>
    <m/>
    <m/>
    <m/>
    <m/>
    <m/>
  </r>
  <r>
    <x v="6"/>
    <n v="87026"/>
    <x v="21"/>
    <x v="0"/>
    <x v="82"/>
    <n v="1.29"/>
    <x v="57"/>
    <x v="2"/>
    <m/>
    <m/>
    <m/>
    <m/>
    <m/>
    <m/>
    <m/>
    <m/>
    <m/>
    <m/>
  </r>
  <r>
    <x v="7"/>
    <n v="133992"/>
    <x v="14"/>
    <x v="2"/>
    <x v="13"/>
    <n v="0.65"/>
    <x v="29"/>
    <x v="1"/>
    <m/>
    <m/>
    <m/>
    <m/>
    <m/>
    <m/>
    <m/>
    <m/>
    <m/>
    <m/>
  </r>
  <r>
    <x v="3"/>
    <n v="115847"/>
    <x v="17"/>
    <x v="3"/>
    <x v="34"/>
    <n v="1.25"/>
    <x v="23"/>
    <x v="2"/>
    <m/>
    <m/>
    <m/>
    <m/>
    <m/>
    <m/>
    <m/>
    <m/>
    <m/>
    <m/>
  </r>
  <r>
    <x v="12"/>
    <n v="30645"/>
    <x v="21"/>
    <x v="2"/>
    <x v="86"/>
    <n v="0.79"/>
    <x v="10"/>
    <x v="2"/>
    <m/>
    <m/>
    <m/>
    <m/>
    <m/>
    <m/>
    <m/>
    <m/>
    <m/>
    <m/>
  </r>
  <r>
    <x v="7"/>
    <n v="40704"/>
    <x v="6"/>
    <x v="1"/>
    <x v="3"/>
    <n v="1.06"/>
    <x v="54"/>
    <x v="1"/>
    <m/>
    <m/>
    <m/>
    <m/>
    <m/>
    <m/>
    <m/>
    <m/>
    <m/>
    <m/>
  </r>
  <r>
    <x v="11"/>
    <n v="62256"/>
    <x v="16"/>
    <x v="3"/>
    <x v="91"/>
    <n v="0.73"/>
    <x v="30"/>
    <x v="2"/>
    <m/>
    <m/>
    <m/>
    <m/>
    <m/>
    <m/>
    <m/>
    <m/>
    <m/>
    <m/>
  </r>
  <r>
    <x v="3"/>
    <n v="64224"/>
    <x v="5"/>
    <x v="2"/>
    <x v="57"/>
    <n v="1.23"/>
    <x v="66"/>
    <x v="2"/>
    <m/>
    <m/>
    <m/>
    <m/>
    <m/>
    <m/>
    <m/>
    <m/>
    <m/>
    <m/>
  </r>
  <r>
    <x v="17"/>
    <n v="43167"/>
    <x v="5"/>
    <x v="0"/>
    <x v="82"/>
    <n v="1.43"/>
    <x v="3"/>
    <x v="2"/>
    <m/>
    <m/>
    <m/>
    <m/>
    <m/>
    <m/>
    <m/>
    <m/>
    <m/>
    <m/>
  </r>
  <r>
    <x v="17"/>
    <n v="99459"/>
    <x v="8"/>
    <x v="2"/>
    <x v="85"/>
    <n v="1.4"/>
    <x v="55"/>
    <x v="2"/>
    <m/>
    <m/>
    <m/>
    <m/>
    <m/>
    <m/>
    <m/>
    <m/>
    <m/>
    <m/>
  </r>
  <r>
    <x v="14"/>
    <n v="90628"/>
    <x v="19"/>
    <x v="0"/>
    <x v="87"/>
    <n v="1.1299999999999999"/>
    <x v="17"/>
    <x v="0"/>
    <m/>
    <m/>
    <m/>
    <m/>
    <m/>
    <m/>
    <m/>
    <m/>
    <m/>
    <m/>
  </r>
  <r>
    <x v="10"/>
    <n v="95162"/>
    <x v="15"/>
    <x v="1"/>
    <x v="41"/>
    <n v="1.05"/>
    <x v="30"/>
    <x v="2"/>
    <m/>
    <m/>
    <m/>
    <m/>
    <m/>
    <m/>
    <m/>
    <m/>
    <m/>
    <m/>
  </r>
  <r>
    <x v="18"/>
    <n v="144009"/>
    <x v="2"/>
    <x v="0"/>
    <x v="18"/>
    <n v="0.69"/>
    <x v="41"/>
    <x v="1"/>
    <m/>
    <m/>
    <m/>
    <m/>
    <m/>
    <m/>
    <m/>
    <m/>
    <m/>
    <m/>
  </r>
  <r>
    <x v="18"/>
    <n v="53978"/>
    <x v="5"/>
    <x v="1"/>
    <x v="68"/>
    <n v="1.44"/>
    <x v="85"/>
    <x v="1"/>
    <m/>
    <m/>
    <m/>
    <m/>
    <m/>
    <m/>
    <m/>
    <m/>
    <m/>
    <m/>
  </r>
  <r>
    <x v="8"/>
    <n v="85419"/>
    <x v="20"/>
    <x v="2"/>
    <x v="15"/>
    <n v="1.21"/>
    <x v="78"/>
    <x v="2"/>
    <m/>
    <m/>
    <m/>
    <m/>
    <m/>
    <m/>
    <m/>
    <m/>
    <m/>
    <m/>
  </r>
  <r>
    <x v="12"/>
    <n v="123004"/>
    <x v="28"/>
    <x v="3"/>
    <x v="65"/>
    <n v="1.1200000000000001"/>
    <x v="20"/>
    <x v="2"/>
    <m/>
    <m/>
    <m/>
    <m/>
    <m/>
    <m/>
    <m/>
    <m/>
    <m/>
    <m/>
  </r>
  <r>
    <x v="3"/>
    <n v="47874"/>
    <x v="15"/>
    <x v="3"/>
    <x v="27"/>
    <n v="1.48"/>
    <x v="8"/>
    <x v="2"/>
    <m/>
    <m/>
    <m/>
    <m/>
    <m/>
    <m/>
    <m/>
    <m/>
    <m/>
    <m/>
  </r>
  <r>
    <x v="3"/>
    <n v="149318"/>
    <x v="25"/>
    <x v="2"/>
    <x v="74"/>
    <n v="1.45"/>
    <x v="45"/>
    <x v="2"/>
    <m/>
    <m/>
    <m/>
    <m/>
    <m/>
    <m/>
    <m/>
    <m/>
    <m/>
    <m/>
  </r>
  <r>
    <x v="6"/>
    <n v="39413"/>
    <x v="14"/>
    <x v="0"/>
    <x v="99"/>
    <n v="1.2"/>
    <x v="45"/>
    <x v="2"/>
    <m/>
    <m/>
    <m/>
    <m/>
    <m/>
    <m/>
    <m/>
    <m/>
    <m/>
    <m/>
  </r>
  <r>
    <x v="1"/>
    <n v="137541"/>
    <x v="14"/>
    <x v="0"/>
    <x v="35"/>
    <n v="0.85"/>
    <x v="47"/>
    <x v="1"/>
    <m/>
    <m/>
    <m/>
    <m/>
    <m/>
    <m/>
    <m/>
    <m/>
    <m/>
    <m/>
  </r>
  <r>
    <x v="12"/>
    <n v="45890"/>
    <x v="11"/>
    <x v="1"/>
    <x v="55"/>
    <n v="0.6"/>
    <x v="87"/>
    <x v="2"/>
    <m/>
    <m/>
    <m/>
    <m/>
    <m/>
    <m/>
    <m/>
    <m/>
    <m/>
    <m/>
  </r>
  <r>
    <x v="19"/>
    <n v="137747"/>
    <x v="18"/>
    <x v="2"/>
    <x v="92"/>
    <n v="1.21"/>
    <x v="22"/>
    <x v="2"/>
    <m/>
    <m/>
    <m/>
    <m/>
    <m/>
    <m/>
    <m/>
    <m/>
    <m/>
    <m/>
  </r>
  <r>
    <x v="1"/>
    <n v="72582"/>
    <x v="4"/>
    <x v="0"/>
    <x v="11"/>
    <n v="0.72"/>
    <x v="41"/>
    <x v="1"/>
    <m/>
    <m/>
    <m/>
    <m/>
    <m/>
    <m/>
    <m/>
    <m/>
    <m/>
    <m/>
  </r>
  <r>
    <x v="13"/>
    <n v="124964"/>
    <x v="2"/>
    <x v="1"/>
    <x v="42"/>
    <n v="1.1399999999999999"/>
    <x v="45"/>
    <x v="2"/>
    <m/>
    <m/>
    <m/>
    <m/>
    <m/>
    <m/>
    <m/>
    <m/>
    <m/>
    <m/>
  </r>
  <r>
    <x v="15"/>
    <n v="64091"/>
    <x v="18"/>
    <x v="0"/>
    <x v="12"/>
    <n v="0.84"/>
    <x v="63"/>
    <x v="1"/>
    <m/>
    <m/>
    <m/>
    <m/>
    <m/>
    <m/>
    <m/>
    <m/>
    <m/>
    <m/>
  </r>
  <r>
    <x v="16"/>
    <n v="95707"/>
    <x v="12"/>
    <x v="3"/>
    <x v="84"/>
    <n v="1.44"/>
    <x v="77"/>
    <x v="0"/>
    <m/>
    <m/>
    <m/>
    <m/>
    <m/>
    <m/>
    <m/>
    <m/>
    <m/>
    <m/>
  </r>
  <r>
    <x v="15"/>
    <n v="82892"/>
    <x v="14"/>
    <x v="0"/>
    <x v="96"/>
    <n v="1.31"/>
    <x v="29"/>
    <x v="1"/>
    <m/>
    <m/>
    <m/>
    <m/>
    <m/>
    <m/>
    <m/>
    <m/>
    <m/>
    <m/>
  </r>
  <r>
    <x v="12"/>
    <n v="51946"/>
    <x v="3"/>
    <x v="2"/>
    <x v="22"/>
    <n v="0.61"/>
    <x v="38"/>
    <x v="2"/>
    <m/>
    <m/>
    <m/>
    <m/>
    <m/>
    <m/>
    <m/>
    <m/>
    <m/>
    <m/>
  </r>
  <r>
    <x v="9"/>
    <n v="92294"/>
    <x v="5"/>
    <x v="0"/>
    <x v="22"/>
    <n v="0.67"/>
    <x v="83"/>
    <x v="0"/>
    <m/>
    <m/>
    <m/>
    <m/>
    <m/>
    <m/>
    <m/>
    <m/>
    <m/>
    <m/>
  </r>
  <r>
    <x v="7"/>
    <n v="101022"/>
    <x v="25"/>
    <x v="1"/>
    <x v="14"/>
    <n v="0.57999999999999996"/>
    <x v="19"/>
    <x v="1"/>
    <m/>
    <m/>
    <m/>
    <m/>
    <m/>
    <m/>
    <m/>
    <m/>
    <m/>
    <m/>
  </r>
  <r>
    <x v="17"/>
    <n v="116377"/>
    <x v="29"/>
    <x v="1"/>
    <x v="80"/>
    <n v="1.26"/>
    <x v="69"/>
    <x v="2"/>
    <m/>
    <m/>
    <m/>
    <m/>
    <m/>
    <m/>
    <m/>
    <m/>
    <m/>
    <m/>
  </r>
  <r>
    <x v="6"/>
    <n v="125614"/>
    <x v="18"/>
    <x v="2"/>
    <x v="69"/>
    <n v="1.25"/>
    <x v="48"/>
    <x v="2"/>
    <m/>
    <m/>
    <m/>
    <m/>
    <m/>
    <m/>
    <m/>
    <m/>
    <m/>
    <m/>
  </r>
  <r>
    <x v="10"/>
    <n v="70577"/>
    <x v="4"/>
    <x v="0"/>
    <x v="79"/>
    <n v="1.38"/>
    <x v="25"/>
    <x v="2"/>
    <m/>
    <m/>
    <m/>
    <m/>
    <m/>
    <m/>
    <m/>
    <m/>
    <m/>
    <m/>
  </r>
  <r>
    <x v="11"/>
    <n v="70214"/>
    <x v="20"/>
    <x v="0"/>
    <x v="38"/>
    <n v="1.24"/>
    <x v="64"/>
    <x v="2"/>
    <m/>
    <m/>
    <m/>
    <m/>
    <m/>
    <m/>
    <m/>
    <m/>
    <m/>
    <m/>
  </r>
  <r>
    <x v="19"/>
    <n v="115416"/>
    <x v="12"/>
    <x v="3"/>
    <x v="10"/>
    <n v="1.39"/>
    <x v="4"/>
    <x v="2"/>
    <m/>
    <m/>
    <m/>
    <m/>
    <m/>
    <m/>
    <m/>
    <m/>
    <m/>
    <m/>
  </r>
  <r>
    <x v="8"/>
    <n v="138176"/>
    <x v="16"/>
    <x v="0"/>
    <x v="30"/>
    <n v="0.56000000000000005"/>
    <x v="68"/>
    <x v="2"/>
    <m/>
    <m/>
    <m/>
    <m/>
    <m/>
    <m/>
    <m/>
    <m/>
    <m/>
    <m/>
  </r>
  <r>
    <x v="16"/>
    <n v="88744"/>
    <x v="13"/>
    <x v="2"/>
    <x v="46"/>
    <n v="1.33"/>
    <x v="81"/>
    <x v="0"/>
    <m/>
    <m/>
    <m/>
    <m/>
    <m/>
    <m/>
    <m/>
    <m/>
    <m/>
    <m/>
  </r>
  <r>
    <x v="17"/>
    <n v="55759"/>
    <x v="19"/>
    <x v="0"/>
    <x v="97"/>
    <n v="0.8"/>
    <x v="12"/>
    <x v="2"/>
    <m/>
    <m/>
    <m/>
    <m/>
    <m/>
    <m/>
    <m/>
    <m/>
    <m/>
    <m/>
  </r>
  <r>
    <x v="0"/>
    <n v="37589"/>
    <x v="17"/>
    <x v="3"/>
    <x v="10"/>
    <n v="0.95"/>
    <x v="40"/>
    <x v="0"/>
    <m/>
    <m/>
    <m/>
    <m/>
    <m/>
    <m/>
    <m/>
    <m/>
    <m/>
    <m/>
  </r>
  <r>
    <x v="16"/>
    <n v="119485"/>
    <x v="20"/>
    <x v="2"/>
    <x v="85"/>
    <n v="0.67"/>
    <x v="90"/>
    <x v="0"/>
    <m/>
    <m/>
    <m/>
    <m/>
    <m/>
    <m/>
    <m/>
    <m/>
    <m/>
    <m/>
  </r>
  <r>
    <x v="0"/>
    <n v="55090"/>
    <x v="18"/>
    <x v="3"/>
    <x v="11"/>
    <n v="0.89"/>
    <x v="67"/>
    <x v="0"/>
    <m/>
    <m/>
    <m/>
    <m/>
    <m/>
    <m/>
    <m/>
    <m/>
    <m/>
    <m/>
  </r>
  <r>
    <x v="17"/>
    <n v="102889"/>
    <x v="11"/>
    <x v="2"/>
    <x v="50"/>
    <n v="1.21"/>
    <x v="36"/>
    <x v="2"/>
    <m/>
    <m/>
    <m/>
    <m/>
    <m/>
    <m/>
    <m/>
    <m/>
    <m/>
    <m/>
  </r>
  <r>
    <x v="17"/>
    <n v="93282"/>
    <x v="12"/>
    <x v="0"/>
    <x v="6"/>
    <n v="1"/>
    <x v="12"/>
    <x v="2"/>
    <m/>
    <m/>
    <m/>
    <m/>
    <m/>
    <m/>
    <m/>
    <m/>
    <m/>
    <m/>
  </r>
  <r>
    <x v="7"/>
    <n v="40892"/>
    <x v="11"/>
    <x v="1"/>
    <x v="10"/>
    <n v="0.83"/>
    <x v="41"/>
    <x v="1"/>
    <m/>
    <m/>
    <m/>
    <m/>
    <m/>
    <m/>
    <m/>
    <m/>
    <m/>
    <m/>
  </r>
  <r>
    <x v="12"/>
    <n v="132524"/>
    <x v="18"/>
    <x v="2"/>
    <x v="70"/>
    <n v="1.41"/>
    <x v="23"/>
    <x v="2"/>
    <m/>
    <m/>
    <m/>
    <m/>
    <m/>
    <m/>
    <m/>
    <m/>
    <m/>
    <m/>
  </r>
  <r>
    <x v="7"/>
    <n v="56006"/>
    <x v="3"/>
    <x v="0"/>
    <x v="59"/>
    <n v="0.52"/>
    <x v="88"/>
    <x v="1"/>
    <m/>
    <m/>
    <m/>
    <m/>
    <m/>
    <m/>
    <m/>
    <m/>
    <m/>
    <m/>
  </r>
  <r>
    <x v="16"/>
    <n v="60805"/>
    <x v="1"/>
    <x v="3"/>
    <x v="78"/>
    <n v="0.66"/>
    <x v="77"/>
    <x v="0"/>
    <m/>
    <m/>
    <m/>
    <m/>
    <m/>
    <m/>
    <m/>
    <m/>
    <m/>
    <m/>
  </r>
  <r>
    <x v="11"/>
    <n v="86121"/>
    <x v="0"/>
    <x v="0"/>
    <x v="44"/>
    <n v="1.49"/>
    <x v="84"/>
    <x v="2"/>
    <m/>
    <m/>
    <m/>
    <m/>
    <m/>
    <m/>
    <m/>
    <m/>
    <m/>
    <m/>
  </r>
  <r>
    <x v="12"/>
    <n v="70344"/>
    <x v="29"/>
    <x v="2"/>
    <x v="14"/>
    <n v="0.55000000000000004"/>
    <x v="71"/>
    <x v="2"/>
    <m/>
    <m/>
    <m/>
    <m/>
    <m/>
    <m/>
    <m/>
    <m/>
    <m/>
    <m/>
  </r>
  <r>
    <x v="16"/>
    <n v="62185"/>
    <x v="22"/>
    <x v="2"/>
    <x v="39"/>
    <n v="0.59"/>
    <x v="39"/>
    <x v="0"/>
    <m/>
    <m/>
    <m/>
    <m/>
    <m/>
    <m/>
    <m/>
    <m/>
    <m/>
    <m/>
  </r>
  <r>
    <x v="8"/>
    <n v="133060"/>
    <x v="10"/>
    <x v="2"/>
    <x v="4"/>
    <n v="0.8"/>
    <x v="10"/>
    <x v="2"/>
    <m/>
    <m/>
    <m/>
    <m/>
    <m/>
    <m/>
    <m/>
    <m/>
    <m/>
    <m/>
  </r>
  <r>
    <x v="15"/>
    <n v="149756"/>
    <x v="18"/>
    <x v="2"/>
    <x v="73"/>
    <n v="0.67"/>
    <x v="34"/>
    <x v="1"/>
    <m/>
    <m/>
    <m/>
    <m/>
    <m/>
    <m/>
    <m/>
    <m/>
    <m/>
    <m/>
  </r>
  <r>
    <x v="14"/>
    <n v="31981"/>
    <x v="16"/>
    <x v="0"/>
    <x v="98"/>
    <n v="0.94"/>
    <x v="76"/>
    <x v="0"/>
    <m/>
    <m/>
    <m/>
    <m/>
    <m/>
    <m/>
    <m/>
    <m/>
    <m/>
    <m/>
  </r>
  <r>
    <x v="10"/>
    <n v="66443"/>
    <x v="23"/>
    <x v="2"/>
    <x v="75"/>
    <n v="1.3"/>
    <x v="69"/>
    <x v="2"/>
    <m/>
    <m/>
    <m/>
    <m/>
    <m/>
    <m/>
    <m/>
    <m/>
    <m/>
    <m/>
  </r>
  <r>
    <x v="2"/>
    <n v="89434"/>
    <x v="22"/>
    <x v="1"/>
    <x v="29"/>
    <n v="0.51"/>
    <x v="56"/>
    <x v="0"/>
    <m/>
    <m/>
    <m/>
    <m/>
    <m/>
    <m/>
    <m/>
    <m/>
    <m/>
    <m/>
  </r>
  <r>
    <x v="18"/>
    <n v="73159"/>
    <x v="1"/>
    <x v="3"/>
    <x v="88"/>
    <n v="0.56000000000000005"/>
    <x v="47"/>
    <x v="1"/>
    <m/>
    <m/>
    <m/>
    <m/>
    <m/>
    <m/>
    <m/>
    <m/>
    <m/>
    <m/>
  </r>
  <r>
    <x v="12"/>
    <n v="103298"/>
    <x v="29"/>
    <x v="0"/>
    <x v="84"/>
    <n v="1.36"/>
    <x v="11"/>
    <x v="2"/>
    <m/>
    <m/>
    <m/>
    <m/>
    <m/>
    <m/>
    <m/>
    <m/>
    <m/>
    <m/>
  </r>
  <r>
    <x v="7"/>
    <n v="65357"/>
    <x v="23"/>
    <x v="3"/>
    <x v="9"/>
    <n v="0.91"/>
    <x v="37"/>
    <x v="1"/>
    <m/>
    <m/>
    <m/>
    <m/>
    <m/>
    <m/>
    <m/>
    <m/>
    <m/>
    <m/>
  </r>
  <r>
    <x v="7"/>
    <n v="86735"/>
    <x v="8"/>
    <x v="2"/>
    <x v="42"/>
    <n v="1.33"/>
    <x v="63"/>
    <x v="1"/>
    <m/>
    <m/>
    <m/>
    <m/>
    <m/>
    <m/>
    <m/>
    <m/>
    <m/>
    <m/>
  </r>
  <r>
    <x v="11"/>
    <n v="131977"/>
    <x v="24"/>
    <x v="0"/>
    <x v="88"/>
    <n v="1.27"/>
    <x v="10"/>
    <x v="2"/>
    <m/>
    <m/>
    <m/>
    <m/>
    <m/>
    <m/>
    <m/>
    <m/>
    <m/>
    <m/>
  </r>
  <r>
    <x v="18"/>
    <n v="79684"/>
    <x v="16"/>
    <x v="0"/>
    <x v="41"/>
    <n v="0.67"/>
    <x v="85"/>
    <x v="1"/>
    <m/>
    <m/>
    <m/>
    <m/>
    <m/>
    <m/>
    <m/>
    <m/>
    <m/>
    <m/>
  </r>
  <r>
    <x v="1"/>
    <n v="90273"/>
    <x v="15"/>
    <x v="3"/>
    <x v="33"/>
    <n v="0.69"/>
    <x v="7"/>
    <x v="1"/>
    <m/>
    <m/>
    <m/>
    <m/>
    <m/>
    <m/>
    <m/>
    <m/>
    <m/>
    <m/>
  </r>
  <r>
    <x v="9"/>
    <n v="85547"/>
    <x v="14"/>
    <x v="1"/>
    <x v="9"/>
    <n v="0.72"/>
    <x v="51"/>
    <x v="0"/>
    <m/>
    <m/>
    <m/>
    <m/>
    <m/>
    <m/>
    <m/>
    <m/>
    <m/>
    <m/>
  </r>
  <r>
    <x v="11"/>
    <n v="117429"/>
    <x v="27"/>
    <x v="1"/>
    <x v="52"/>
    <n v="0.72"/>
    <x v="10"/>
    <x v="2"/>
    <m/>
    <m/>
    <m/>
    <m/>
    <m/>
    <m/>
    <m/>
    <m/>
    <m/>
    <m/>
  </r>
  <r>
    <x v="1"/>
    <n v="40208"/>
    <x v="6"/>
    <x v="3"/>
    <x v="9"/>
    <n v="1.2"/>
    <x v="37"/>
    <x v="1"/>
    <m/>
    <m/>
    <m/>
    <m/>
    <m/>
    <m/>
    <m/>
    <m/>
    <m/>
    <m/>
  </r>
  <r>
    <x v="2"/>
    <n v="74056"/>
    <x v="6"/>
    <x v="3"/>
    <x v="3"/>
    <n v="0.6"/>
    <x v="80"/>
    <x v="0"/>
    <m/>
    <m/>
    <m/>
    <m/>
    <m/>
    <m/>
    <m/>
    <m/>
    <m/>
    <m/>
  </r>
  <r>
    <x v="5"/>
    <n v="53553"/>
    <x v="18"/>
    <x v="3"/>
    <x v="6"/>
    <n v="1.08"/>
    <x v="16"/>
    <x v="1"/>
    <m/>
    <m/>
    <m/>
    <m/>
    <m/>
    <m/>
    <m/>
    <m/>
    <m/>
    <m/>
  </r>
  <r>
    <x v="14"/>
    <n v="54287"/>
    <x v="21"/>
    <x v="2"/>
    <x v="8"/>
    <n v="0.56999999999999995"/>
    <x v="60"/>
    <x v="0"/>
    <m/>
    <m/>
    <m/>
    <m/>
    <m/>
    <m/>
    <m/>
    <m/>
    <m/>
    <m/>
  </r>
  <r>
    <x v="8"/>
    <n v="48803"/>
    <x v="9"/>
    <x v="1"/>
    <x v="4"/>
    <n v="1.07"/>
    <x v="85"/>
    <x v="1"/>
    <m/>
    <m/>
    <m/>
    <m/>
    <m/>
    <m/>
    <m/>
    <m/>
    <m/>
    <m/>
  </r>
  <r>
    <x v="7"/>
    <n v="113192"/>
    <x v="0"/>
    <x v="2"/>
    <x v="51"/>
    <n v="0.74"/>
    <x v="16"/>
    <x v="1"/>
    <m/>
    <m/>
    <m/>
    <m/>
    <m/>
    <m/>
    <m/>
    <m/>
    <m/>
    <m/>
  </r>
  <r>
    <x v="7"/>
    <n v="128740"/>
    <x v="10"/>
    <x v="3"/>
    <x v="53"/>
    <n v="0.63"/>
    <x v="15"/>
    <x v="1"/>
    <m/>
    <m/>
    <m/>
    <m/>
    <m/>
    <m/>
    <m/>
    <m/>
    <m/>
    <m/>
  </r>
  <r>
    <x v="6"/>
    <n v="38996"/>
    <x v="1"/>
    <x v="0"/>
    <x v="7"/>
    <n v="1.05"/>
    <x v="43"/>
    <x v="2"/>
    <m/>
    <m/>
    <m/>
    <m/>
    <m/>
    <m/>
    <m/>
    <m/>
    <m/>
    <m/>
  </r>
  <r>
    <x v="13"/>
    <n v="79210"/>
    <x v="18"/>
    <x v="2"/>
    <x v="11"/>
    <n v="1.03"/>
    <x v="79"/>
    <x v="2"/>
    <m/>
    <m/>
    <m/>
    <m/>
    <m/>
    <m/>
    <m/>
    <m/>
    <m/>
    <m/>
  </r>
  <r>
    <x v="18"/>
    <n v="134439"/>
    <x v="3"/>
    <x v="3"/>
    <x v="19"/>
    <n v="1.1399999999999999"/>
    <x v="42"/>
    <x v="1"/>
    <m/>
    <m/>
    <m/>
    <m/>
    <m/>
    <m/>
    <m/>
    <m/>
    <m/>
    <m/>
  </r>
  <r>
    <x v="6"/>
    <n v="41135"/>
    <x v="4"/>
    <x v="3"/>
    <x v="9"/>
    <n v="1.1000000000000001"/>
    <x v="23"/>
    <x v="2"/>
    <m/>
    <m/>
    <m/>
    <m/>
    <m/>
    <m/>
    <m/>
    <m/>
    <m/>
    <m/>
  </r>
  <r>
    <x v="13"/>
    <n v="110709"/>
    <x v="8"/>
    <x v="2"/>
    <x v="47"/>
    <n v="1.44"/>
    <x v="26"/>
    <x v="2"/>
    <m/>
    <m/>
    <m/>
    <m/>
    <m/>
    <m/>
    <m/>
    <m/>
    <m/>
    <m/>
  </r>
  <r>
    <x v="10"/>
    <n v="78416"/>
    <x v="3"/>
    <x v="3"/>
    <x v="0"/>
    <n v="0.96"/>
    <x v="8"/>
    <x v="2"/>
    <m/>
    <m/>
    <m/>
    <m/>
    <m/>
    <m/>
    <m/>
    <m/>
    <m/>
    <m/>
  </r>
  <r>
    <x v="5"/>
    <n v="57309"/>
    <x v="16"/>
    <x v="3"/>
    <x v="53"/>
    <n v="1.45"/>
    <x v="63"/>
    <x v="1"/>
    <m/>
    <m/>
    <m/>
    <m/>
    <m/>
    <m/>
    <m/>
    <m/>
    <m/>
    <m/>
  </r>
  <r>
    <x v="5"/>
    <n v="67542"/>
    <x v="25"/>
    <x v="1"/>
    <x v="35"/>
    <n v="1.34"/>
    <x v="74"/>
    <x v="1"/>
    <m/>
    <m/>
    <m/>
    <m/>
    <m/>
    <m/>
    <m/>
    <m/>
    <m/>
    <m/>
  </r>
  <r>
    <x v="11"/>
    <n v="50723"/>
    <x v="16"/>
    <x v="3"/>
    <x v="90"/>
    <n v="1.45"/>
    <x v="43"/>
    <x v="2"/>
    <m/>
    <m/>
    <m/>
    <m/>
    <m/>
    <m/>
    <m/>
    <m/>
    <m/>
    <m/>
  </r>
  <r>
    <x v="4"/>
    <n v="62081"/>
    <x v="27"/>
    <x v="1"/>
    <x v="81"/>
    <n v="0.57999999999999996"/>
    <x v="14"/>
    <x v="2"/>
    <m/>
    <m/>
    <m/>
    <m/>
    <m/>
    <m/>
    <m/>
    <m/>
    <m/>
    <m/>
  </r>
  <r>
    <x v="11"/>
    <n v="129443"/>
    <x v="16"/>
    <x v="1"/>
    <x v="8"/>
    <n v="0.53"/>
    <x v="45"/>
    <x v="2"/>
    <m/>
    <m/>
    <m/>
    <m/>
    <m/>
    <m/>
    <m/>
    <m/>
    <m/>
    <m/>
  </r>
  <r>
    <x v="12"/>
    <n v="55482"/>
    <x v="3"/>
    <x v="2"/>
    <x v="8"/>
    <n v="0.77"/>
    <x v="23"/>
    <x v="2"/>
    <m/>
    <m/>
    <m/>
    <m/>
    <m/>
    <m/>
    <m/>
    <m/>
    <m/>
    <m/>
  </r>
  <r>
    <x v="13"/>
    <n v="103933"/>
    <x v="18"/>
    <x v="1"/>
    <x v="97"/>
    <n v="1.18"/>
    <x v="25"/>
    <x v="2"/>
    <m/>
    <m/>
    <m/>
    <m/>
    <m/>
    <m/>
    <m/>
    <m/>
    <m/>
    <m/>
  </r>
  <r>
    <x v="10"/>
    <n v="43997"/>
    <x v="12"/>
    <x v="1"/>
    <x v="94"/>
    <n v="0.63"/>
    <x v="33"/>
    <x v="2"/>
    <m/>
    <m/>
    <m/>
    <m/>
    <m/>
    <m/>
    <m/>
    <m/>
    <m/>
    <m/>
  </r>
  <r>
    <x v="11"/>
    <n v="66258"/>
    <x v="5"/>
    <x v="1"/>
    <x v="41"/>
    <n v="0.72"/>
    <x v="25"/>
    <x v="2"/>
    <m/>
    <m/>
    <m/>
    <m/>
    <m/>
    <m/>
    <m/>
    <m/>
    <m/>
    <m/>
  </r>
  <r>
    <x v="17"/>
    <n v="132495"/>
    <x v="6"/>
    <x v="1"/>
    <x v="96"/>
    <n v="1.2"/>
    <x v="33"/>
    <x v="2"/>
    <m/>
    <m/>
    <m/>
    <m/>
    <m/>
    <m/>
    <m/>
    <m/>
    <m/>
    <m/>
  </r>
  <r>
    <x v="12"/>
    <n v="135071"/>
    <x v="27"/>
    <x v="2"/>
    <x v="2"/>
    <n v="0.91"/>
    <x v="78"/>
    <x v="2"/>
    <m/>
    <m/>
    <m/>
    <m/>
    <m/>
    <m/>
    <m/>
    <m/>
    <m/>
    <m/>
  </r>
  <r>
    <x v="19"/>
    <n v="50954"/>
    <x v="12"/>
    <x v="3"/>
    <x v="28"/>
    <n v="0.51"/>
    <x v="64"/>
    <x v="2"/>
    <m/>
    <m/>
    <m/>
    <m/>
    <m/>
    <m/>
    <m/>
    <m/>
    <m/>
    <m/>
  </r>
  <r>
    <x v="0"/>
    <n v="45590"/>
    <x v="5"/>
    <x v="1"/>
    <x v="46"/>
    <n v="1.06"/>
    <x v="90"/>
    <x v="0"/>
    <m/>
    <m/>
    <m/>
    <m/>
    <m/>
    <m/>
    <m/>
    <m/>
    <m/>
    <m/>
  </r>
  <r>
    <x v="8"/>
    <n v="118035"/>
    <x v="28"/>
    <x v="3"/>
    <x v="70"/>
    <n v="0.69"/>
    <x v="14"/>
    <x v="2"/>
    <m/>
    <m/>
    <m/>
    <m/>
    <m/>
    <m/>
    <m/>
    <m/>
    <m/>
    <m/>
  </r>
  <r>
    <x v="16"/>
    <n v="147488"/>
    <x v="2"/>
    <x v="3"/>
    <x v="4"/>
    <n v="1.45"/>
    <x v="90"/>
    <x v="0"/>
    <m/>
    <m/>
    <m/>
    <m/>
    <m/>
    <m/>
    <m/>
    <m/>
    <m/>
    <m/>
  </r>
  <r>
    <x v="8"/>
    <n v="111506"/>
    <x v="6"/>
    <x v="3"/>
    <x v="4"/>
    <n v="0.8"/>
    <x v="31"/>
    <x v="2"/>
    <m/>
    <m/>
    <m/>
    <m/>
    <m/>
    <m/>
    <m/>
    <m/>
    <m/>
    <m/>
  </r>
  <r>
    <x v="19"/>
    <n v="104644"/>
    <x v="16"/>
    <x v="0"/>
    <x v="2"/>
    <n v="0.5"/>
    <x v="22"/>
    <x v="2"/>
    <m/>
    <m/>
    <m/>
    <m/>
    <m/>
    <m/>
    <m/>
    <m/>
    <m/>
    <m/>
  </r>
  <r>
    <x v="14"/>
    <n v="85197"/>
    <x v="21"/>
    <x v="0"/>
    <x v="88"/>
    <n v="1.34"/>
    <x v="89"/>
    <x v="0"/>
    <m/>
    <m/>
    <m/>
    <m/>
    <m/>
    <m/>
    <m/>
    <m/>
    <m/>
    <m/>
  </r>
  <r>
    <x v="17"/>
    <n v="145435"/>
    <x v="4"/>
    <x v="1"/>
    <x v="39"/>
    <n v="1.33"/>
    <x v="45"/>
    <x v="2"/>
    <m/>
    <m/>
    <m/>
    <m/>
    <m/>
    <m/>
    <m/>
    <m/>
    <m/>
    <m/>
  </r>
  <r>
    <x v="10"/>
    <n v="31113"/>
    <x v="23"/>
    <x v="2"/>
    <x v="1"/>
    <n v="1.47"/>
    <x v="71"/>
    <x v="2"/>
    <m/>
    <m/>
    <m/>
    <m/>
    <m/>
    <m/>
    <m/>
    <m/>
    <m/>
    <m/>
  </r>
  <r>
    <x v="14"/>
    <n v="119374"/>
    <x v="9"/>
    <x v="3"/>
    <x v="59"/>
    <n v="0.8"/>
    <x v="51"/>
    <x v="0"/>
    <m/>
    <m/>
    <m/>
    <m/>
    <m/>
    <m/>
    <m/>
    <m/>
    <m/>
    <m/>
  </r>
  <r>
    <x v="14"/>
    <n v="105450"/>
    <x v="9"/>
    <x v="1"/>
    <x v="44"/>
    <n v="1.3"/>
    <x v="60"/>
    <x v="0"/>
    <m/>
    <m/>
    <m/>
    <m/>
    <m/>
    <m/>
    <m/>
    <m/>
    <m/>
    <m/>
  </r>
  <r>
    <x v="1"/>
    <n v="113453"/>
    <x v="17"/>
    <x v="1"/>
    <x v="60"/>
    <n v="0.85"/>
    <x v="34"/>
    <x v="1"/>
    <m/>
    <m/>
    <m/>
    <m/>
    <m/>
    <m/>
    <m/>
    <m/>
    <m/>
    <m/>
  </r>
  <r>
    <x v="6"/>
    <n v="62656"/>
    <x v="14"/>
    <x v="2"/>
    <x v="71"/>
    <n v="1.02"/>
    <x v="69"/>
    <x v="2"/>
    <m/>
    <m/>
    <m/>
    <m/>
    <m/>
    <m/>
    <m/>
    <m/>
    <m/>
    <m/>
  </r>
  <r>
    <x v="14"/>
    <n v="50823"/>
    <x v="21"/>
    <x v="1"/>
    <x v="78"/>
    <n v="1.1499999999999999"/>
    <x v="56"/>
    <x v="0"/>
    <m/>
    <m/>
    <m/>
    <m/>
    <m/>
    <m/>
    <m/>
    <m/>
    <m/>
    <m/>
  </r>
  <r>
    <x v="0"/>
    <n v="52879"/>
    <x v="15"/>
    <x v="1"/>
    <x v="33"/>
    <n v="0.71"/>
    <x v="90"/>
    <x v="0"/>
    <m/>
    <m/>
    <m/>
    <m/>
    <m/>
    <m/>
    <m/>
    <m/>
    <m/>
    <m/>
  </r>
  <r>
    <x v="7"/>
    <n v="132132"/>
    <x v="12"/>
    <x v="1"/>
    <x v="5"/>
    <n v="1.4"/>
    <x v="63"/>
    <x v="1"/>
    <m/>
    <m/>
    <m/>
    <m/>
    <m/>
    <m/>
    <m/>
    <m/>
    <m/>
    <m/>
  </r>
  <r>
    <x v="1"/>
    <n v="32693"/>
    <x v="9"/>
    <x v="3"/>
    <x v="84"/>
    <n v="1.25"/>
    <x v="61"/>
    <x v="1"/>
    <m/>
    <m/>
    <m/>
    <m/>
    <m/>
    <m/>
    <m/>
    <m/>
    <m/>
    <m/>
  </r>
  <r>
    <x v="15"/>
    <n v="69812"/>
    <x v="27"/>
    <x v="1"/>
    <x v="6"/>
    <n v="0.51"/>
    <x v="15"/>
    <x v="1"/>
    <m/>
    <m/>
    <m/>
    <m/>
    <m/>
    <m/>
    <m/>
    <m/>
    <m/>
    <m/>
  </r>
  <r>
    <x v="18"/>
    <n v="58353"/>
    <x v="19"/>
    <x v="1"/>
    <x v="100"/>
    <n v="1.1200000000000001"/>
    <x v="42"/>
    <x v="1"/>
    <m/>
    <m/>
    <m/>
    <m/>
    <m/>
    <m/>
    <m/>
    <m/>
    <m/>
    <m/>
  </r>
  <r>
    <x v="2"/>
    <n v="103969"/>
    <x v="28"/>
    <x v="1"/>
    <x v="16"/>
    <n v="1.18"/>
    <x v="89"/>
    <x v="0"/>
    <m/>
    <m/>
    <m/>
    <m/>
    <m/>
    <m/>
    <m/>
    <m/>
    <m/>
    <m/>
  </r>
  <r>
    <x v="10"/>
    <n v="34110"/>
    <x v="29"/>
    <x v="3"/>
    <x v="14"/>
    <n v="1.48"/>
    <x v="22"/>
    <x v="2"/>
    <m/>
    <m/>
    <m/>
    <m/>
    <m/>
    <m/>
    <m/>
    <m/>
    <m/>
    <m/>
  </r>
  <r>
    <x v="14"/>
    <n v="73105"/>
    <x v="6"/>
    <x v="1"/>
    <x v="75"/>
    <n v="0.91"/>
    <x v="83"/>
    <x v="0"/>
    <m/>
    <m/>
    <m/>
    <m/>
    <m/>
    <m/>
    <m/>
    <m/>
    <m/>
    <m/>
  </r>
  <r>
    <x v="0"/>
    <n v="147323"/>
    <x v="10"/>
    <x v="0"/>
    <x v="1"/>
    <n v="0.67"/>
    <x v="62"/>
    <x v="0"/>
    <m/>
    <m/>
    <m/>
    <m/>
    <m/>
    <m/>
    <m/>
    <m/>
    <m/>
    <m/>
  </r>
  <r>
    <x v="3"/>
    <n v="97720"/>
    <x v="3"/>
    <x v="0"/>
    <x v="74"/>
    <n v="0.72"/>
    <x v="30"/>
    <x v="2"/>
    <m/>
    <m/>
    <m/>
    <m/>
    <m/>
    <m/>
    <m/>
    <m/>
    <m/>
    <m/>
  </r>
  <r>
    <x v="4"/>
    <n v="30877"/>
    <x v="1"/>
    <x v="2"/>
    <x v="81"/>
    <n v="0.61"/>
    <x v="8"/>
    <x v="2"/>
    <m/>
    <m/>
    <m/>
    <m/>
    <m/>
    <m/>
    <m/>
    <m/>
    <m/>
    <m/>
  </r>
  <r>
    <x v="5"/>
    <n v="38499"/>
    <x v="10"/>
    <x v="0"/>
    <x v="59"/>
    <n v="0.82"/>
    <x v="18"/>
    <x v="1"/>
    <m/>
    <m/>
    <m/>
    <m/>
    <m/>
    <m/>
    <m/>
    <m/>
    <m/>
    <m/>
  </r>
  <r>
    <x v="3"/>
    <n v="135634"/>
    <x v="24"/>
    <x v="2"/>
    <x v="77"/>
    <n v="1.28"/>
    <x v="72"/>
    <x v="2"/>
    <m/>
    <m/>
    <m/>
    <m/>
    <m/>
    <m/>
    <m/>
    <m/>
    <m/>
    <m/>
  </r>
  <r>
    <x v="7"/>
    <n v="88843"/>
    <x v="19"/>
    <x v="1"/>
    <x v="54"/>
    <n v="1.37"/>
    <x v="61"/>
    <x v="1"/>
    <m/>
    <m/>
    <m/>
    <m/>
    <m/>
    <m/>
    <m/>
    <m/>
    <m/>
    <m/>
  </r>
  <r>
    <x v="18"/>
    <n v="68966"/>
    <x v="4"/>
    <x v="3"/>
    <x v="65"/>
    <n v="1.1299999999999999"/>
    <x v="18"/>
    <x v="1"/>
    <m/>
    <m/>
    <m/>
    <m/>
    <m/>
    <m/>
    <m/>
    <m/>
    <m/>
    <m/>
  </r>
  <r>
    <x v="13"/>
    <n v="95490"/>
    <x v="25"/>
    <x v="2"/>
    <x v="19"/>
    <n v="0.96"/>
    <x v="58"/>
    <x v="2"/>
    <m/>
    <m/>
    <m/>
    <m/>
    <m/>
    <m/>
    <m/>
    <m/>
    <m/>
    <m/>
  </r>
  <r>
    <x v="13"/>
    <n v="101786"/>
    <x v="2"/>
    <x v="1"/>
    <x v="37"/>
    <n v="1.2"/>
    <x v="43"/>
    <x v="2"/>
    <m/>
    <m/>
    <m/>
    <m/>
    <m/>
    <m/>
    <m/>
    <m/>
    <m/>
    <m/>
  </r>
  <r>
    <x v="1"/>
    <n v="41808"/>
    <x v="19"/>
    <x v="3"/>
    <x v="26"/>
    <n v="0.78"/>
    <x v="85"/>
    <x v="1"/>
    <m/>
    <m/>
    <m/>
    <m/>
    <m/>
    <m/>
    <m/>
    <m/>
    <m/>
    <m/>
  </r>
  <r>
    <x v="3"/>
    <n v="44903"/>
    <x v="17"/>
    <x v="0"/>
    <x v="33"/>
    <n v="0.52"/>
    <x v="85"/>
    <x v="1"/>
    <m/>
    <m/>
    <m/>
    <m/>
    <m/>
    <m/>
    <m/>
    <m/>
    <m/>
    <m/>
  </r>
  <r>
    <x v="10"/>
    <n v="93615"/>
    <x v="28"/>
    <x v="2"/>
    <x v="9"/>
    <n v="0.98"/>
    <x v="53"/>
    <x v="2"/>
    <m/>
    <m/>
    <m/>
    <m/>
    <m/>
    <m/>
    <m/>
    <m/>
    <m/>
    <m/>
  </r>
  <r>
    <x v="5"/>
    <n v="81141"/>
    <x v="26"/>
    <x v="3"/>
    <x v="63"/>
    <n v="0.67"/>
    <x v="15"/>
    <x v="1"/>
    <m/>
    <m/>
    <m/>
    <m/>
    <m/>
    <m/>
    <m/>
    <m/>
    <m/>
    <m/>
  </r>
  <r>
    <x v="16"/>
    <n v="126705"/>
    <x v="9"/>
    <x v="0"/>
    <x v="6"/>
    <n v="0.66"/>
    <x v="39"/>
    <x v="0"/>
    <m/>
    <m/>
    <m/>
    <m/>
    <m/>
    <m/>
    <m/>
    <m/>
    <m/>
    <m/>
  </r>
  <r>
    <x v="9"/>
    <n v="57254"/>
    <x v="18"/>
    <x v="3"/>
    <x v="68"/>
    <n v="0.83"/>
    <x v="56"/>
    <x v="0"/>
    <m/>
    <m/>
    <m/>
    <m/>
    <m/>
    <m/>
    <m/>
    <m/>
    <m/>
    <m/>
  </r>
  <r>
    <x v="6"/>
    <n v="126923"/>
    <x v="0"/>
    <x v="1"/>
    <x v="73"/>
    <n v="1.08"/>
    <x v="65"/>
    <x v="2"/>
    <m/>
    <m/>
    <m/>
    <m/>
    <m/>
    <m/>
    <m/>
    <m/>
    <m/>
    <m/>
  </r>
  <r>
    <x v="16"/>
    <n v="71689"/>
    <x v="0"/>
    <x v="3"/>
    <x v="47"/>
    <n v="0.56000000000000005"/>
    <x v="76"/>
    <x v="0"/>
    <m/>
    <m/>
    <m/>
    <m/>
    <m/>
    <m/>
    <m/>
    <m/>
    <m/>
    <m/>
  </r>
  <r>
    <x v="5"/>
    <n v="49546"/>
    <x v="22"/>
    <x v="2"/>
    <x v="20"/>
    <n v="0.89"/>
    <x v="75"/>
    <x v="1"/>
    <m/>
    <m/>
    <m/>
    <m/>
    <m/>
    <m/>
    <m/>
    <m/>
    <m/>
    <m/>
  </r>
  <r>
    <x v="16"/>
    <n v="41398"/>
    <x v="4"/>
    <x v="2"/>
    <x v="62"/>
    <n v="0.9"/>
    <x v="32"/>
    <x v="0"/>
    <m/>
    <m/>
    <m/>
    <m/>
    <m/>
    <m/>
    <m/>
    <m/>
    <m/>
    <m/>
  </r>
  <r>
    <x v="19"/>
    <n v="142301"/>
    <x v="9"/>
    <x v="3"/>
    <x v="76"/>
    <n v="1.25"/>
    <x v="36"/>
    <x v="2"/>
    <m/>
    <m/>
    <m/>
    <m/>
    <m/>
    <m/>
    <m/>
    <m/>
    <m/>
    <m/>
  </r>
  <r>
    <x v="10"/>
    <n v="73042"/>
    <x v="0"/>
    <x v="0"/>
    <x v="79"/>
    <n v="0.57999999999999996"/>
    <x v="33"/>
    <x v="2"/>
    <m/>
    <m/>
    <m/>
    <m/>
    <m/>
    <m/>
    <m/>
    <m/>
    <m/>
    <m/>
  </r>
  <r>
    <x v="6"/>
    <n v="110094"/>
    <x v="26"/>
    <x v="1"/>
    <x v="63"/>
    <n v="0.74"/>
    <x v="64"/>
    <x v="2"/>
    <m/>
    <m/>
    <m/>
    <m/>
    <m/>
    <m/>
    <m/>
    <m/>
    <m/>
    <m/>
  </r>
  <r>
    <x v="10"/>
    <n v="126155"/>
    <x v="10"/>
    <x v="2"/>
    <x v="79"/>
    <n v="0.71"/>
    <x v="14"/>
    <x v="2"/>
    <m/>
    <m/>
    <m/>
    <m/>
    <m/>
    <m/>
    <m/>
    <m/>
    <m/>
    <m/>
  </r>
  <r>
    <x v="18"/>
    <n v="128464"/>
    <x v="13"/>
    <x v="0"/>
    <x v="1"/>
    <n v="1.37"/>
    <x v="29"/>
    <x v="1"/>
    <m/>
    <m/>
    <m/>
    <m/>
    <m/>
    <m/>
    <m/>
    <m/>
    <m/>
    <m/>
  </r>
  <r>
    <x v="11"/>
    <n v="139791"/>
    <x v="21"/>
    <x v="1"/>
    <x v="58"/>
    <n v="0.61"/>
    <x v="72"/>
    <x v="2"/>
    <m/>
    <m/>
    <m/>
    <m/>
    <m/>
    <m/>
    <m/>
    <m/>
    <m/>
    <m/>
  </r>
  <r>
    <x v="0"/>
    <n v="56745"/>
    <x v="14"/>
    <x v="1"/>
    <x v="1"/>
    <n v="1.01"/>
    <x v="80"/>
    <x v="0"/>
    <m/>
    <m/>
    <m/>
    <m/>
    <m/>
    <m/>
    <m/>
    <m/>
    <m/>
    <m/>
  </r>
  <r>
    <x v="10"/>
    <n v="94558"/>
    <x v="15"/>
    <x v="2"/>
    <x v="24"/>
    <n v="0.88"/>
    <x v="78"/>
    <x v="2"/>
    <m/>
    <m/>
    <m/>
    <m/>
    <m/>
    <m/>
    <m/>
    <m/>
    <m/>
    <m/>
  </r>
  <r>
    <x v="6"/>
    <n v="91478"/>
    <x v="5"/>
    <x v="0"/>
    <x v="39"/>
    <n v="1.32"/>
    <x v="6"/>
    <x v="2"/>
    <m/>
    <m/>
    <m/>
    <m/>
    <m/>
    <m/>
    <m/>
    <m/>
    <m/>
    <m/>
  </r>
  <r>
    <x v="19"/>
    <n v="125980"/>
    <x v="14"/>
    <x v="2"/>
    <x v="76"/>
    <n v="0.76"/>
    <x v="22"/>
    <x v="2"/>
    <m/>
    <m/>
    <m/>
    <m/>
    <m/>
    <m/>
    <m/>
    <m/>
    <m/>
    <m/>
  </r>
  <r>
    <x v="14"/>
    <n v="128708"/>
    <x v="13"/>
    <x v="1"/>
    <x v="54"/>
    <n v="1.22"/>
    <x v="83"/>
    <x v="0"/>
    <m/>
    <m/>
    <m/>
    <m/>
    <m/>
    <m/>
    <m/>
    <m/>
    <m/>
    <m/>
  </r>
  <r>
    <x v="0"/>
    <n v="41638"/>
    <x v="27"/>
    <x v="2"/>
    <x v="16"/>
    <n v="1.5"/>
    <x v="2"/>
    <x v="0"/>
    <m/>
    <m/>
    <m/>
    <m/>
    <m/>
    <m/>
    <m/>
    <m/>
    <m/>
    <m/>
  </r>
  <r>
    <x v="1"/>
    <n v="54829"/>
    <x v="27"/>
    <x v="1"/>
    <x v="15"/>
    <n v="0.51"/>
    <x v="21"/>
    <x v="1"/>
    <m/>
    <m/>
    <m/>
    <m/>
    <m/>
    <m/>
    <m/>
    <m/>
    <m/>
    <m/>
  </r>
  <r>
    <x v="13"/>
    <n v="50720"/>
    <x v="0"/>
    <x v="0"/>
    <x v="37"/>
    <n v="1.17"/>
    <x v="4"/>
    <x v="2"/>
    <m/>
    <m/>
    <m/>
    <m/>
    <m/>
    <m/>
    <m/>
    <m/>
    <m/>
    <m/>
  </r>
  <r>
    <x v="7"/>
    <n v="99981"/>
    <x v="2"/>
    <x v="2"/>
    <x v="41"/>
    <n v="1.17"/>
    <x v="63"/>
    <x v="1"/>
    <m/>
    <m/>
    <m/>
    <m/>
    <m/>
    <m/>
    <m/>
    <m/>
    <m/>
    <m/>
  </r>
  <r>
    <x v="16"/>
    <n v="104541"/>
    <x v="4"/>
    <x v="0"/>
    <x v="33"/>
    <n v="1.25"/>
    <x v="51"/>
    <x v="0"/>
    <m/>
    <m/>
    <m/>
    <m/>
    <m/>
    <m/>
    <m/>
    <m/>
    <m/>
    <m/>
  </r>
  <r>
    <x v="18"/>
    <n v="30733"/>
    <x v="16"/>
    <x v="3"/>
    <x v="13"/>
    <n v="0.69"/>
    <x v="27"/>
    <x v="1"/>
    <m/>
    <m/>
    <m/>
    <m/>
    <m/>
    <m/>
    <m/>
    <m/>
    <m/>
    <m/>
  </r>
  <r>
    <x v="8"/>
    <n v="127760"/>
    <x v="9"/>
    <x v="2"/>
    <x v="44"/>
    <n v="1.1100000000000001"/>
    <x v="45"/>
    <x v="2"/>
    <m/>
    <m/>
    <m/>
    <m/>
    <m/>
    <m/>
    <m/>
    <m/>
    <m/>
    <m/>
  </r>
  <r>
    <x v="16"/>
    <n v="56819"/>
    <x v="14"/>
    <x v="1"/>
    <x v="68"/>
    <n v="1.3"/>
    <x v="81"/>
    <x v="0"/>
    <m/>
    <m/>
    <m/>
    <m/>
    <m/>
    <m/>
    <m/>
    <m/>
    <m/>
    <m/>
  </r>
  <r>
    <x v="9"/>
    <n v="105954"/>
    <x v="9"/>
    <x v="0"/>
    <x v="25"/>
    <n v="1.31"/>
    <x v="56"/>
    <x v="0"/>
    <m/>
    <m/>
    <m/>
    <m/>
    <m/>
    <m/>
    <m/>
    <m/>
    <m/>
    <m/>
  </r>
  <r>
    <x v="1"/>
    <n v="145386"/>
    <x v="20"/>
    <x v="0"/>
    <x v="82"/>
    <n v="0.82"/>
    <x v="13"/>
    <x v="1"/>
    <m/>
    <m/>
    <m/>
    <m/>
    <m/>
    <m/>
    <m/>
    <m/>
    <m/>
    <m/>
  </r>
  <r>
    <x v="18"/>
    <n v="101360"/>
    <x v="10"/>
    <x v="2"/>
    <x v="60"/>
    <n v="0.63"/>
    <x v="29"/>
    <x v="1"/>
    <m/>
    <m/>
    <m/>
    <m/>
    <m/>
    <m/>
    <m/>
    <m/>
    <m/>
    <m/>
  </r>
  <r>
    <x v="2"/>
    <n v="108349"/>
    <x v="14"/>
    <x v="2"/>
    <x v="52"/>
    <n v="1.42"/>
    <x v="2"/>
    <x v="0"/>
    <m/>
    <m/>
    <m/>
    <m/>
    <m/>
    <m/>
    <m/>
    <m/>
    <m/>
    <m/>
  </r>
  <r>
    <x v="16"/>
    <n v="137102"/>
    <x v="11"/>
    <x v="0"/>
    <x v="85"/>
    <n v="1.1499999999999999"/>
    <x v="81"/>
    <x v="0"/>
    <m/>
    <m/>
    <m/>
    <m/>
    <m/>
    <m/>
    <m/>
    <m/>
    <m/>
    <m/>
  </r>
  <r>
    <x v="9"/>
    <n v="97310"/>
    <x v="12"/>
    <x v="1"/>
    <x v="3"/>
    <n v="0.53"/>
    <x v="17"/>
    <x v="0"/>
    <m/>
    <m/>
    <m/>
    <m/>
    <m/>
    <m/>
    <m/>
    <m/>
    <m/>
    <m/>
  </r>
  <r>
    <x v="9"/>
    <n v="121111"/>
    <x v="8"/>
    <x v="3"/>
    <x v="62"/>
    <n v="1"/>
    <x v="81"/>
    <x v="0"/>
    <m/>
    <m/>
    <m/>
    <m/>
    <m/>
    <m/>
    <m/>
    <m/>
    <m/>
    <m/>
  </r>
  <r>
    <x v="1"/>
    <n v="85983"/>
    <x v="5"/>
    <x v="3"/>
    <x v="52"/>
    <n v="1.1100000000000001"/>
    <x v="54"/>
    <x v="1"/>
    <m/>
    <m/>
    <m/>
    <m/>
    <m/>
    <m/>
    <m/>
    <m/>
    <m/>
    <m/>
  </r>
  <r>
    <x v="13"/>
    <n v="98407"/>
    <x v="3"/>
    <x v="0"/>
    <x v="43"/>
    <n v="1.44"/>
    <x v="20"/>
    <x v="2"/>
    <m/>
    <m/>
    <m/>
    <m/>
    <m/>
    <m/>
    <m/>
    <m/>
    <m/>
    <m/>
  </r>
  <r>
    <x v="19"/>
    <n v="130641"/>
    <x v="11"/>
    <x v="0"/>
    <x v="27"/>
    <n v="1.46"/>
    <x v="86"/>
    <x v="2"/>
    <m/>
    <m/>
    <m/>
    <m/>
    <m/>
    <m/>
    <m/>
    <m/>
    <m/>
    <m/>
  </r>
  <r>
    <x v="10"/>
    <n v="56363"/>
    <x v="23"/>
    <x v="3"/>
    <x v="59"/>
    <n v="1.37"/>
    <x v="53"/>
    <x v="2"/>
    <m/>
    <m/>
    <m/>
    <m/>
    <m/>
    <m/>
    <m/>
    <m/>
    <m/>
    <m/>
  </r>
  <r>
    <x v="17"/>
    <n v="56187"/>
    <x v="25"/>
    <x v="3"/>
    <x v="30"/>
    <n v="0.6"/>
    <x v="68"/>
    <x v="2"/>
    <m/>
    <m/>
    <m/>
    <m/>
    <m/>
    <m/>
    <m/>
    <m/>
    <m/>
    <m/>
  </r>
  <r>
    <x v="12"/>
    <n v="133171"/>
    <x v="12"/>
    <x v="3"/>
    <x v="14"/>
    <n v="1.23"/>
    <x v="45"/>
    <x v="2"/>
    <m/>
    <m/>
    <m/>
    <m/>
    <m/>
    <m/>
    <m/>
    <m/>
    <m/>
    <m/>
  </r>
  <r>
    <x v="7"/>
    <n v="143968"/>
    <x v="20"/>
    <x v="1"/>
    <x v="44"/>
    <n v="1.37"/>
    <x v="42"/>
    <x v="1"/>
    <m/>
    <m/>
    <m/>
    <m/>
    <m/>
    <m/>
    <m/>
    <m/>
    <m/>
    <m/>
  </r>
  <r>
    <x v="5"/>
    <n v="89376"/>
    <x v="18"/>
    <x v="1"/>
    <x v="0"/>
    <n v="0.67"/>
    <x v="19"/>
    <x v="1"/>
    <m/>
    <m/>
    <m/>
    <m/>
    <m/>
    <m/>
    <m/>
    <m/>
    <m/>
    <m/>
  </r>
  <r>
    <x v="8"/>
    <n v="70305"/>
    <x v="4"/>
    <x v="1"/>
    <x v="23"/>
    <n v="1.1399999999999999"/>
    <x v="46"/>
    <x v="2"/>
    <m/>
    <m/>
    <m/>
    <m/>
    <m/>
    <m/>
    <m/>
    <m/>
    <m/>
    <m/>
  </r>
  <r>
    <x v="4"/>
    <n v="47054"/>
    <x v="22"/>
    <x v="1"/>
    <x v="57"/>
    <n v="1.1200000000000001"/>
    <x v="71"/>
    <x v="2"/>
    <m/>
    <m/>
    <m/>
    <m/>
    <m/>
    <m/>
    <m/>
    <m/>
    <m/>
    <m/>
  </r>
  <r>
    <x v="6"/>
    <n v="103080"/>
    <x v="25"/>
    <x v="2"/>
    <x v="43"/>
    <n v="1.49"/>
    <x v="55"/>
    <x v="2"/>
    <m/>
    <m/>
    <m/>
    <m/>
    <m/>
    <m/>
    <m/>
    <m/>
    <m/>
    <m/>
  </r>
  <r>
    <x v="10"/>
    <n v="55401"/>
    <x v="20"/>
    <x v="3"/>
    <x v="37"/>
    <n v="0.5"/>
    <x v="46"/>
    <x v="2"/>
    <m/>
    <m/>
    <m/>
    <m/>
    <m/>
    <m/>
    <m/>
    <m/>
    <m/>
    <m/>
  </r>
  <r>
    <x v="3"/>
    <n v="41928"/>
    <x v="16"/>
    <x v="3"/>
    <x v="78"/>
    <n v="1.04"/>
    <x v="55"/>
    <x v="2"/>
    <m/>
    <m/>
    <m/>
    <m/>
    <m/>
    <m/>
    <m/>
    <m/>
    <m/>
    <m/>
  </r>
  <r>
    <x v="15"/>
    <n v="140177"/>
    <x v="19"/>
    <x v="3"/>
    <x v="40"/>
    <n v="0.84"/>
    <x v="88"/>
    <x v="1"/>
    <m/>
    <m/>
    <m/>
    <m/>
    <m/>
    <m/>
    <m/>
    <m/>
    <m/>
    <m/>
  </r>
  <r>
    <x v="13"/>
    <n v="47024"/>
    <x v="0"/>
    <x v="1"/>
    <x v="60"/>
    <n v="1.41"/>
    <x v="55"/>
    <x v="2"/>
    <m/>
    <m/>
    <m/>
    <m/>
    <m/>
    <m/>
    <m/>
    <m/>
    <m/>
    <m/>
  </r>
  <r>
    <x v="7"/>
    <n v="39612"/>
    <x v="26"/>
    <x v="0"/>
    <x v="32"/>
    <n v="1"/>
    <x v="85"/>
    <x v="1"/>
    <m/>
    <m/>
    <m/>
    <m/>
    <m/>
    <m/>
    <m/>
    <m/>
    <m/>
    <m/>
  </r>
  <r>
    <x v="16"/>
    <n v="51450"/>
    <x v="14"/>
    <x v="2"/>
    <x v="100"/>
    <n v="1.44"/>
    <x v="90"/>
    <x v="0"/>
    <m/>
    <m/>
    <m/>
    <m/>
    <m/>
    <m/>
    <m/>
    <m/>
    <m/>
    <m/>
  </r>
  <r>
    <x v="6"/>
    <n v="149511"/>
    <x v="9"/>
    <x v="0"/>
    <x v="97"/>
    <n v="1.34"/>
    <x v="87"/>
    <x v="2"/>
    <m/>
    <m/>
    <m/>
    <m/>
    <m/>
    <m/>
    <m/>
    <m/>
    <m/>
    <m/>
  </r>
  <r>
    <x v="2"/>
    <n v="106554"/>
    <x v="20"/>
    <x v="2"/>
    <x v="18"/>
    <n v="0.54"/>
    <x v="67"/>
    <x v="0"/>
    <m/>
    <m/>
    <m/>
    <m/>
    <m/>
    <m/>
    <m/>
    <m/>
    <m/>
    <m/>
  </r>
  <r>
    <x v="8"/>
    <n v="97173"/>
    <x v="23"/>
    <x v="2"/>
    <x v="42"/>
    <n v="0.98"/>
    <x v="79"/>
    <x v="2"/>
    <m/>
    <m/>
    <m/>
    <m/>
    <m/>
    <m/>
    <m/>
    <m/>
    <m/>
    <m/>
  </r>
  <r>
    <x v="3"/>
    <n v="44517"/>
    <x v="23"/>
    <x v="3"/>
    <x v="55"/>
    <n v="0.71"/>
    <x v="22"/>
    <x v="2"/>
    <m/>
    <m/>
    <m/>
    <m/>
    <m/>
    <m/>
    <m/>
    <m/>
    <m/>
    <m/>
  </r>
  <r>
    <x v="0"/>
    <n v="31321"/>
    <x v="4"/>
    <x v="0"/>
    <x v="27"/>
    <n v="1.18"/>
    <x v="76"/>
    <x v="0"/>
    <m/>
    <m/>
    <m/>
    <m/>
    <m/>
    <m/>
    <m/>
    <m/>
    <m/>
    <m/>
  </r>
  <r>
    <x v="5"/>
    <n v="93001"/>
    <x v="15"/>
    <x v="2"/>
    <x v="62"/>
    <n v="1.32"/>
    <x v="63"/>
    <x v="1"/>
    <m/>
    <m/>
    <m/>
    <m/>
    <m/>
    <m/>
    <m/>
    <m/>
    <m/>
    <m/>
  </r>
  <r>
    <x v="17"/>
    <n v="35685"/>
    <x v="6"/>
    <x v="3"/>
    <x v="92"/>
    <n v="1.22"/>
    <x v="49"/>
    <x v="2"/>
    <m/>
    <m/>
    <m/>
    <m/>
    <m/>
    <m/>
    <m/>
    <m/>
    <m/>
    <m/>
  </r>
  <r>
    <x v="12"/>
    <n v="35335"/>
    <x v="3"/>
    <x v="2"/>
    <x v="95"/>
    <n v="0.57999999999999996"/>
    <x v="66"/>
    <x v="2"/>
    <m/>
    <m/>
    <m/>
    <m/>
    <m/>
    <m/>
    <m/>
    <m/>
    <m/>
    <m/>
  </r>
  <r>
    <x v="6"/>
    <n v="110286"/>
    <x v="27"/>
    <x v="3"/>
    <x v="4"/>
    <n v="1.2"/>
    <x v="49"/>
    <x v="2"/>
    <m/>
    <m/>
    <m/>
    <m/>
    <m/>
    <m/>
    <m/>
    <m/>
    <m/>
    <m/>
  </r>
  <r>
    <x v="15"/>
    <n v="45641"/>
    <x v="28"/>
    <x v="1"/>
    <x v="95"/>
    <n v="1.18"/>
    <x v="75"/>
    <x v="1"/>
    <m/>
    <m/>
    <m/>
    <m/>
    <m/>
    <m/>
    <m/>
    <m/>
    <m/>
    <m/>
  </r>
  <r>
    <x v="14"/>
    <n v="50242"/>
    <x v="22"/>
    <x v="1"/>
    <x v="50"/>
    <n v="1.27"/>
    <x v="60"/>
    <x v="0"/>
    <m/>
    <m/>
    <m/>
    <m/>
    <m/>
    <m/>
    <m/>
    <m/>
    <m/>
    <m/>
  </r>
  <r>
    <x v="7"/>
    <n v="60166"/>
    <x v="11"/>
    <x v="0"/>
    <x v="95"/>
    <n v="1.38"/>
    <x v="18"/>
    <x v="1"/>
    <m/>
    <m/>
    <m/>
    <m/>
    <m/>
    <m/>
    <m/>
    <m/>
    <m/>
    <m/>
  </r>
  <r>
    <x v="10"/>
    <n v="61232"/>
    <x v="13"/>
    <x v="0"/>
    <x v="65"/>
    <n v="0.69"/>
    <x v="30"/>
    <x v="2"/>
    <m/>
    <m/>
    <m/>
    <m/>
    <m/>
    <m/>
    <m/>
    <m/>
    <m/>
    <m/>
  </r>
  <r>
    <x v="13"/>
    <n v="78720"/>
    <x v="12"/>
    <x v="1"/>
    <x v="64"/>
    <n v="0.51"/>
    <x v="26"/>
    <x v="2"/>
    <m/>
    <m/>
    <m/>
    <m/>
    <m/>
    <m/>
    <m/>
    <m/>
    <m/>
    <m/>
  </r>
  <r>
    <x v="2"/>
    <n v="125110"/>
    <x v="21"/>
    <x v="3"/>
    <x v="59"/>
    <n v="1.41"/>
    <x v="9"/>
    <x v="0"/>
    <m/>
    <m/>
    <m/>
    <m/>
    <m/>
    <m/>
    <m/>
    <m/>
    <m/>
    <m/>
  </r>
  <r>
    <x v="19"/>
    <n v="113128"/>
    <x v="16"/>
    <x v="2"/>
    <x v="94"/>
    <n v="0.72"/>
    <x v="72"/>
    <x v="2"/>
    <m/>
    <m/>
    <m/>
    <m/>
    <m/>
    <m/>
    <m/>
    <m/>
    <m/>
    <m/>
  </r>
  <r>
    <x v="7"/>
    <n v="120605"/>
    <x v="12"/>
    <x v="1"/>
    <x v="3"/>
    <n v="1.29"/>
    <x v="37"/>
    <x v="1"/>
    <m/>
    <m/>
    <m/>
    <m/>
    <m/>
    <m/>
    <m/>
    <m/>
    <m/>
    <m/>
  </r>
  <r>
    <x v="9"/>
    <n v="39513"/>
    <x v="17"/>
    <x v="3"/>
    <x v="30"/>
    <n v="1.1000000000000001"/>
    <x v="56"/>
    <x v="0"/>
    <m/>
    <m/>
    <m/>
    <m/>
    <m/>
    <m/>
    <m/>
    <m/>
    <m/>
    <m/>
  </r>
  <r>
    <x v="10"/>
    <n v="57177"/>
    <x v="24"/>
    <x v="0"/>
    <x v="67"/>
    <n v="0.65"/>
    <x v="30"/>
    <x v="2"/>
    <m/>
    <m/>
    <m/>
    <m/>
    <m/>
    <m/>
    <m/>
    <m/>
    <m/>
    <m/>
  </r>
  <r>
    <x v="19"/>
    <n v="85572"/>
    <x v="18"/>
    <x v="0"/>
    <x v="39"/>
    <n v="0.71"/>
    <x v="57"/>
    <x v="2"/>
    <m/>
    <m/>
    <m/>
    <m/>
    <m/>
    <m/>
    <m/>
    <m/>
    <m/>
    <m/>
  </r>
  <r>
    <x v="6"/>
    <n v="147849"/>
    <x v="7"/>
    <x v="0"/>
    <x v="77"/>
    <n v="0.61"/>
    <x v="53"/>
    <x v="2"/>
    <m/>
    <m/>
    <m/>
    <m/>
    <m/>
    <m/>
    <m/>
    <m/>
    <m/>
    <m/>
  </r>
  <r>
    <x v="18"/>
    <n v="126080"/>
    <x v="14"/>
    <x v="2"/>
    <x v="5"/>
    <n v="0.94"/>
    <x v="41"/>
    <x v="1"/>
    <m/>
    <m/>
    <m/>
    <m/>
    <m/>
    <m/>
    <m/>
    <m/>
    <m/>
    <m/>
  </r>
  <r>
    <x v="3"/>
    <n v="144438"/>
    <x v="21"/>
    <x v="2"/>
    <x v="2"/>
    <n v="1.02"/>
    <x v="11"/>
    <x v="2"/>
    <m/>
    <m/>
    <m/>
    <m/>
    <m/>
    <m/>
    <m/>
    <m/>
    <m/>
    <m/>
  </r>
  <r>
    <x v="2"/>
    <n v="34844"/>
    <x v="4"/>
    <x v="1"/>
    <x v="84"/>
    <n v="0.77"/>
    <x v="62"/>
    <x v="0"/>
    <m/>
    <m/>
    <m/>
    <m/>
    <m/>
    <m/>
    <m/>
    <m/>
    <m/>
    <m/>
  </r>
  <r>
    <x v="0"/>
    <n v="47639"/>
    <x v="20"/>
    <x v="3"/>
    <x v="11"/>
    <n v="1.05"/>
    <x v="59"/>
    <x v="0"/>
    <m/>
    <m/>
    <m/>
    <m/>
    <m/>
    <m/>
    <m/>
    <m/>
    <m/>
    <m/>
  </r>
  <r>
    <x v="2"/>
    <n v="86041"/>
    <x v="23"/>
    <x v="0"/>
    <x v="31"/>
    <n v="1.44"/>
    <x v="77"/>
    <x v="0"/>
    <m/>
    <m/>
    <m/>
    <m/>
    <m/>
    <m/>
    <m/>
    <m/>
    <m/>
    <m/>
  </r>
  <r>
    <x v="7"/>
    <n v="68575"/>
    <x v="2"/>
    <x v="0"/>
    <x v="76"/>
    <n v="1.22"/>
    <x v="41"/>
    <x v="1"/>
    <m/>
    <m/>
    <m/>
    <m/>
    <m/>
    <m/>
    <m/>
    <m/>
    <m/>
    <m/>
  </r>
  <r>
    <x v="5"/>
    <n v="120150"/>
    <x v="29"/>
    <x v="2"/>
    <x v="72"/>
    <n v="1.1299999999999999"/>
    <x v="82"/>
    <x v="1"/>
    <m/>
    <m/>
    <m/>
    <m/>
    <m/>
    <m/>
    <m/>
    <m/>
    <m/>
    <m/>
  </r>
  <r>
    <x v="16"/>
    <n v="42485"/>
    <x v="28"/>
    <x v="2"/>
    <x v="48"/>
    <n v="0.79"/>
    <x v="89"/>
    <x v="0"/>
    <m/>
    <m/>
    <m/>
    <m/>
    <m/>
    <m/>
    <m/>
    <m/>
    <m/>
    <m/>
  </r>
  <r>
    <x v="3"/>
    <n v="103147"/>
    <x v="3"/>
    <x v="0"/>
    <x v="80"/>
    <n v="0.7"/>
    <x v="23"/>
    <x v="2"/>
    <m/>
    <m/>
    <m/>
    <m/>
    <m/>
    <m/>
    <m/>
    <m/>
    <m/>
    <m/>
  </r>
  <r>
    <x v="9"/>
    <n v="66598"/>
    <x v="18"/>
    <x v="1"/>
    <x v="55"/>
    <n v="0.94"/>
    <x v="62"/>
    <x v="0"/>
    <m/>
    <m/>
    <m/>
    <m/>
    <m/>
    <m/>
    <m/>
    <m/>
    <m/>
    <m/>
  </r>
  <r>
    <x v="14"/>
    <n v="132916"/>
    <x v="9"/>
    <x v="1"/>
    <x v="8"/>
    <n v="0.95"/>
    <x v="51"/>
    <x v="0"/>
    <m/>
    <m/>
    <m/>
    <m/>
    <m/>
    <m/>
    <m/>
    <m/>
    <m/>
    <m/>
  </r>
  <r>
    <x v="16"/>
    <n v="41311"/>
    <x v="23"/>
    <x v="1"/>
    <x v="78"/>
    <n v="1.01"/>
    <x v="28"/>
    <x v="0"/>
    <m/>
    <m/>
    <m/>
    <m/>
    <m/>
    <m/>
    <m/>
    <m/>
    <m/>
    <m/>
  </r>
  <r>
    <x v="19"/>
    <n v="139940"/>
    <x v="8"/>
    <x v="1"/>
    <x v="9"/>
    <n v="0.51"/>
    <x v="43"/>
    <x v="2"/>
    <m/>
    <m/>
    <m/>
    <m/>
    <m/>
    <m/>
    <m/>
    <m/>
    <m/>
    <m/>
  </r>
  <r>
    <x v="19"/>
    <n v="124930"/>
    <x v="10"/>
    <x v="2"/>
    <x v="63"/>
    <n v="1.29"/>
    <x v="58"/>
    <x v="2"/>
    <m/>
    <m/>
    <m/>
    <m/>
    <m/>
    <m/>
    <m/>
    <m/>
    <m/>
    <m/>
  </r>
  <r>
    <x v="10"/>
    <n v="115639"/>
    <x v="10"/>
    <x v="1"/>
    <x v="35"/>
    <n v="0.51"/>
    <x v="11"/>
    <x v="2"/>
    <m/>
    <m/>
    <m/>
    <m/>
    <m/>
    <m/>
    <m/>
    <m/>
    <m/>
    <m/>
  </r>
  <r>
    <x v="16"/>
    <n v="34123"/>
    <x v="28"/>
    <x v="0"/>
    <x v="51"/>
    <n v="1.03"/>
    <x v="28"/>
    <x v="0"/>
    <m/>
    <m/>
    <m/>
    <m/>
    <m/>
    <m/>
    <m/>
    <m/>
    <m/>
    <m/>
  </r>
  <r>
    <x v="4"/>
    <n v="98384"/>
    <x v="3"/>
    <x v="3"/>
    <x v="52"/>
    <n v="0.56999999999999995"/>
    <x v="49"/>
    <x v="2"/>
    <m/>
    <m/>
    <m/>
    <m/>
    <m/>
    <m/>
    <m/>
    <m/>
    <m/>
    <m/>
  </r>
  <r>
    <x v="13"/>
    <n v="102433"/>
    <x v="12"/>
    <x v="0"/>
    <x v="73"/>
    <n v="0.66"/>
    <x v="71"/>
    <x v="2"/>
    <m/>
    <m/>
    <m/>
    <m/>
    <m/>
    <m/>
    <m/>
    <m/>
    <m/>
    <m/>
  </r>
  <r>
    <x v="19"/>
    <n v="127550"/>
    <x v="13"/>
    <x v="3"/>
    <x v="46"/>
    <n v="0.83"/>
    <x v="10"/>
    <x v="2"/>
    <m/>
    <m/>
    <m/>
    <m/>
    <m/>
    <m/>
    <m/>
    <m/>
    <m/>
    <m/>
  </r>
  <r>
    <x v="3"/>
    <n v="76509"/>
    <x v="9"/>
    <x v="0"/>
    <x v="12"/>
    <n v="1.08"/>
    <x v="43"/>
    <x v="2"/>
    <m/>
    <m/>
    <m/>
    <m/>
    <m/>
    <m/>
    <m/>
    <m/>
    <m/>
    <m/>
  </r>
  <r>
    <x v="4"/>
    <n v="141075"/>
    <x v="5"/>
    <x v="2"/>
    <x v="14"/>
    <n v="0.66"/>
    <x v="87"/>
    <x v="2"/>
    <m/>
    <m/>
    <m/>
    <m/>
    <m/>
    <m/>
    <m/>
    <m/>
    <m/>
    <m/>
  </r>
  <r>
    <x v="7"/>
    <n v="35853"/>
    <x v="17"/>
    <x v="0"/>
    <x v="42"/>
    <n v="0.54"/>
    <x v="29"/>
    <x v="1"/>
    <m/>
    <m/>
    <m/>
    <m/>
    <m/>
    <m/>
    <m/>
    <m/>
    <m/>
    <m/>
  </r>
  <r>
    <x v="7"/>
    <n v="95311"/>
    <x v="0"/>
    <x v="2"/>
    <x v="25"/>
    <n v="0.66"/>
    <x v="29"/>
    <x v="1"/>
    <m/>
    <m/>
    <m/>
    <m/>
    <m/>
    <m/>
    <m/>
    <m/>
    <m/>
    <m/>
  </r>
  <r>
    <x v="11"/>
    <n v="145672"/>
    <x v="0"/>
    <x v="2"/>
    <x v="71"/>
    <n v="1.46"/>
    <x v="8"/>
    <x v="2"/>
    <m/>
    <m/>
    <m/>
    <m/>
    <m/>
    <m/>
    <m/>
    <m/>
    <m/>
    <m/>
  </r>
  <r>
    <x v="4"/>
    <n v="107045"/>
    <x v="22"/>
    <x v="3"/>
    <x v="17"/>
    <n v="1.3"/>
    <x v="10"/>
    <x v="2"/>
    <m/>
    <m/>
    <m/>
    <m/>
    <m/>
    <m/>
    <m/>
    <m/>
    <m/>
    <m/>
  </r>
  <r>
    <x v="11"/>
    <n v="68211"/>
    <x v="21"/>
    <x v="1"/>
    <x v="7"/>
    <n v="0.91"/>
    <x v="43"/>
    <x v="2"/>
    <m/>
    <m/>
    <m/>
    <m/>
    <m/>
    <m/>
    <m/>
    <m/>
    <m/>
    <m/>
  </r>
  <r>
    <x v="8"/>
    <n v="58454"/>
    <x v="12"/>
    <x v="1"/>
    <x v="4"/>
    <n v="0.63"/>
    <x v="53"/>
    <x v="2"/>
    <m/>
    <m/>
    <m/>
    <m/>
    <m/>
    <m/>
    <m/>
    <m/>
    <m/>
    <m/>
  </r>
  <r>
    <x v="4"/>
    <n v="97855"/>
    <x v="23"/>
    <x v="0"/>
    <x v="32"/>
    <n v="0.5"/>
    <x v="55"/>
    <x v="2"/>
    <m/>
    <m/>
    <m/>
    <m/>
    <m/>
    <m/>
    <m/>
    <m/>
    <m/>
    <m/>
  </r>
  <r>
    <x v="2"/>
    <n v="127891"/>
    <x v="6"/>
    <x v="1"/>
    <x v="99"/>
    <n v="0.51"/>
    <x v="44"/>
    <x v="0"/>
    <m/>
    <m/>
    <m/>
    <m/>
    <m/>
    <m/>
    <m/>
    <m/>
    <m/>
    <m/>
  </r>
  <r>
    <x v="10"/>
    <n v="120094"/>
    <x v="15"/>
    <x v="1"/>
    <x v="58"/>
    <n v="1.07"/>
    <x v="66"/>
    <x v="2"/>
    <m/>
    <m/>
    <m/>
    <m/>
    <m/>
    <m/>
    <m/>
    <m/>
    <m/>
    <m/>
  </r>
  <r>
    <x v="2"/>
    <n v="130621"/>
    <x v="20"/>
    <x v="2"/>
    <x v="83"/>
    <n v="1.31"/>
    <x v="44"/>
    <x v="0"/>
    <m/>
    <m/>
    <m/>
    <m/>
    <m/>
    <m/>
    <m/>
    <m/>
    <m/>
    <m/>
  </r>
  <r>
    <x v="6"/>
    <n v="141579"/>
    <x v="3"/>
    <x v="1"/>
    <x v="93"/>
    <n v="0.87"/>
    <x v="46"/>
    <x v="2"/>
    <m/>
    <m/>
    <m/>
    <m/>
    <m/>
    <m/>
    <m/>
    <m/>
    <m/>
    <m/>
  </r>
  <r>
    <x v="14"/>
    <n v="64907"/>
    <x v="26"/>
    <x v="1"/>
    <x v="65"/>
    <n v="0.87"/>
    <x v="51"/>
    <x v="0"/>
    <m/>
    <m/>
    <m/>
    <m/>
    <m/>
    <m/>
    <m/>
    <m/>
    <m/>
    <m/>
  </r>
  <r>
    <x v="18"/>
    <n v="147754"/>
    <x v="5"/>
    <x v="3"/>
    <x v="92"/>
    <n v="0.53"/>
    <x v="52"/>
    <x v="1"/>
    <m/>
    <m/>
    <m/>
    <m/>
    <m/>
    <m/>
    <m/>
    <m/>
    <m/>
    <m/>
  </r>
  <r>
    <x v="18"/>
    <n v="61937"/>
    <x v="14"/>
    <x v="2"/>
    <x v="50"/>
    <n v="0.87"/>
    <x v="15"/>
    <x v="1"/>
    <m/>
    <m/>
    <m/>
    <m/>
    <m/>
    <m/>
    <m/>
    <m/>
    <m/>
    <m/>
  </r>
  <r>
    <x v="12"/>
    <n v="41593"/>
    <x v="15"/>
    <x v="3"/>
    <x v="28"/>
    <n v="0.7"/>
    <x v="4"/>
    <x v="2"/>
    <m/>
    <m/>
    <m/>
    <m/>
    <m/>
    <m/>
    <m/>
    <m/>
    <m/>
    <m/>
  </r>
  <r>
    <x v="1"/>
    <n v="75337"/>
    <x v="2"/>
    <x v="0"/>
    <x v="53"/>
    <n v="0.85"/>
    <x v="82"/>
    <x v="1"/>
    <m/>
    <m/>
    <m/>
    <m/>
    <m/>
    <m/>
    <m/>
    <m/>
    <m/>
    <m/>
  </r>
  <r>
    <x v="6"/>
    <n v="147553"/>
    <x v="11"/>
    <x v="2"/>
    <x v="53"/>
    <n v="1.26"/>
    <x v="50"/>
    <x v="2"/>
    <m/>
    <m/>
    <m/>
    <m/>
    <m/>
    <m/>
    <m/>
    <m/>
    <m/>
    <m/>
  </r>
  <r>
    <x v="10"/>
    <n v="69114"/>
    <x v="19"/>
    <x v="0"/>
    <x v="91"/>
    <n v="1.4"/>
    <x v="10"/>
    <x v="2"/>
    <m/>
    <m/>
    <m/>
    <m/>
    <m/>
    <m/>
    <m/>
    <m/>
    <m/>
    <m/>
  </r>
  <r>
    <x v="17"/>
    <n v="142467"/>
    <x v="23"/>
    <x v="0"/>
    <x v="44"/>
    <n v="0.65"/>
    <x v="53"/>
    <x v="2"/>
    <m/>
    <m/>
    <m/>
    <m/>
    <m/>
    <m/>
    <m/>
    <m/>
    <m/>
    <m/>
  </r>
  <r>
    <x v="16"/>
    <n v="95410"/>
    <x v="24"/>
    <x v="2"/>
    <x v="28"/>
    <n v="1.23"/>
    <x v="90"/>
    <x v="0"/>
    <m/>
    <m/>
    <m/>
    <m/>
    <m/>
    <m/>
    <m/>
    <m/>
    <m/>
    <m/>
  </r>
  <r>
    <x v="18"/>
    <n v="44802"/>
    <x v="28"/>
    <x v="1"/>
    <x v="55"/>
    <n v="1.25"/>
    <x v="61"/>
    <x v="1"/>
    <m/>
    <m/>
    <m/>
    <m/>
    <m/>
    <m/>
    <m/>
    <m/>
    <m/>
    <m/>
  </r>
  <r>
    <x v="19"/>
    <n v="62611"/>
    <x v="23"/>
    <x v="1"/>
    <x v="27"/>
    <n v="0.93"/>
    <x v="72"/>
    <x v="2"/>
    <m/>
    <m/>
    <m/>
    <m/>
    <m/>
    <m/>
    <m/>
    <m/>
    <m/>
    <m/>
  </r>
  <r>
    <x v="2"/>
    <n v="58419"/>
    <x v="27"/>
    <x v="1"/>
    <x v="45"/>
    <n v="0.87"/>
    <x v="76"/>
    <x v="0"/>
    <m/>
    <m/>
    <m/>
    <m/>
    <m/>
    <m/>
    <m/>
    <m/>
    <m/>
    <m/>
  </r>
  <r>
    <x v="4"/>
    <n v="74852"/>
    <x v="0"/>
    <x v="3"/>
    <x v="84"/>
    <n v="1.3"/>
    <x v="8"/>
    <x v="2"/>
    <m/>
    <m/>
    <m/>
    <m/>
    <m/>
    <m/>
    <m/>
    <m/>
    <m/>
    <m/>
  </r>
  <r>
    <x v="10"/>
    <n v="125640"/>
    <x v="2"/>
    <x v="2"/>
    <x v="5"/>
    <n v="0.89"/>
    <x v="11"/>
    <x v="2"/>
    <m/>
    <m/>
    <m/>
    <m/>
    <m/>
    <m/>
    <m/>
    <m/>
    <m/>
    <m/>
  </r>
  <r>
    <x v="0"/>
    <n v="112654"/>
    <x v="13"/>
    <x v="2"/>
    <x v="29"/>
    <n v="0.75"/>
    <x v="44"/>
    <x v="0"/>
    <m/>
    <m/>
    <m/>
    <m/>
    <m/>
    <m/>
    <m/>
    <m/>
    <m/>
    <m/>
  </r>
  <r>
    <x v="9"/>
    <n v="57476"/>
    <x v="22"/>
    <x v="1"/>
    <x v="63"/>
    <n v="1.01"/>
    <x v="39"/>
    <x v="0"/>
    <m/>
    <m/>
    <m/>
    <m/>
    <m/>
    <m/>
    <m/>
    <m/>
    <m/>
    <m/>
  </r>
  <r>
    <x v="6"/>
    <n v="109398"/>
    <x v="17"/>
    <x v="1"/>
    <x v="68"/>
    <n v="0.77"/>
    <x v="20"/>
    <x v="2"/>
    <m/>
    <m/>
    <m/>
    <m/>
    <m/>
    <m/>
    <m/>
    <m/>
    <m/>
    <m/>
  </r>
  <r>
    <x v="16"/>
    <n v="139240"/>
    <x v="26"/>
    <x v="1"/>
    <x v="11"/>
    <n v="0.85"/>
    <x v="24"/>
    <x v="0"/>
    <m/>
    <m/>
    <m/>
    <m/>
    <m/>
    <m/>
    <m/>
    <m/>
    <m/>
    <m/>
  </r>
  <r>
    <x v="12"/>
    <n v="143089"/>
    <x v="13"/>
    <x v="3"/>
    <x v="11"/>
    <n v="0.57999999999999996"/>
    <x v="25"/>
    <x v="2"/>
    <m/>
    <m/>
    <m/>
    <m/>
    <m/>
    <m/>
    <m/>
    <m/>
    <m/>
    <m/>
  </r>
  <r>
    <x v="12"/>
    <n v="145632"/>
    <x v="17"/>
    <x v="1"/>
    <x v="83"/>
    <n v="1.21"/>
    <x v="31"/>
    <x v="2"/>
    <m/>
    <m/>
    <m/>
    <m/>
    <m/>
    <m/>
    <m/>
    <m/>
    <m/>
    <m/>
  </r>
  <r>
    <x v="15"/>
    <n v="104657"/>
    <x v="22"/>
    <x v="0"/>
    <x v="52"/>
    <n v="0.67"/>
    <x v="15"/>
    <x v="1"/>
    <m/>
    <m/>
    <m/>
    <m/>
    <m/>
    <m/>
    <m/>
    <m/>
    <m/>
    <m/>
  </r>
  <r>
    <x v="4"/>
    <n v="44835"/>
    <x v="18"/>
    <x v="0"/>
    <x v="53"/>
    <n v="0.98"/>
    <x v="8"/>
    <x v="2"/>
    <m/>
    <m/>
    <m/>
    <m/>
    <m/>
    <m/>
    <m/>
    <m/>
    <m/>
    <m/>
  </r>
  <r>
    <x v="3"/>
    <n v="43830"/>
    <x v="8"/>
    <x v="3"/>
    <x v="93"/>
    <n v="1.31"/>
    <x v="25"/>
    <x v="2"/>
    <m/>
    <m/>
    <m/>
    <m/>
    <m/>
    <m/>
    <m/>
    <m/>
    <m/>
    <m/>
  </r>
  <r>
    <x v="2"/>
    <n v="67293"/>
    <x v="15"/>
    <x v="0"/>
    <x v="9"/>
    <n v="0.6"/>
    <x v="80"/>
    <x v="0"/>
    <m/>
    <m/>
    <m/>
    <m/>
    <m/>
    <m/>
    <m/>
    <m/>
    <m/>
    <m/>
  </r>
  <r>
    <x v="5"/>
    <n v="68690"/>
    <x v="3"/>
    <x v="3"/>
    <x v="82"/>
    <n v="0.6"/>
    <x v="74"/>
    <x v="1"/>
    <m/>
    <m/>
    <m/>
    <m/>
    <m/>
    <m/>
    <m/>
    <m/>
    <m/>
    <m/>
  </r>
  <r>
    <x v="5"/>
    <n v="45234"/>
    <x v="14"/>
    <x v="0"/>
    <x v="40"/>
    <n v="0.9"/>
    <x v="52"/>
    <x v="1"/>
    <m/>
    <m/>
    <m/>
    <m/>
    <m/>
    <m/>
    <m/>
    <m/>
    <m/>
    <m/>
  </r>
  <r>
    <x v="4"/>
    <n v="120052"/>
    <x v="23"/>
    <x v="3"/>
    <x v="3"/>
    <n v="0.76"/>
    <x v="72"/>
    <x v="2"/>
    <m/>
    <m/>
    <m/>
    <m/>
    <m/>
    <m/>
    <m/>
    <m/>
    <m/>
    <m/>
  </r>
  <r>
    <x v="12"/>
    <n v="40270"/>
    <x v="11"/>
    <x v="2"/>
    <x v="97"/>
    <n v="0.99"/>
    <x v="69"/>
    <x v="2"/>
    <m/>
    <m/>
    <m/>
    <m/>
    <m/>
    <m/>
    <m/>
    <m/>
    <m/>
    <m/>
  </r>
  <r>
    <x v="13"/>
    <n v="52562"/>
    <x v="23"/>
    <x v="1"/>
    <x v="79"/>
    <n v="0.64"/>
    <x v="33"/>
    <x v="2"/>
    <m/>
    <m/>
    <m/>
    <m/>
    <m/>
    <m/>
    <m/>
    <m/>
    <m/>
    <m/>
  </r>
  <r>
    <x v="4"/>
    <n v="52065"/>
    <x v="9"/>
    <x v="3"/>
    <x v="2"/>
    <n v="1"/>
    <x v="6"/>
    <x v="2"/>
    <m/>
    <m/>
    <m/>
    <m/>
    <m/>
    <m/>
    <m/>
    <m/>
    <m/>
    <m/>
  </r>
  <r>
    <x v="11"/>
    <n v="66183"/>
    <x v="24"/>
    <x v="2"/>
    <x v="20"/>
    <n v="1.1499999999999999"/>
    <x v="86"/>
    <x v="2"/>
    <m/>
    <m/>
    <m/>
    <m/>
    <m/>
    <m/>
    <m/>
    <m/>
    <m/>
    <m/>
  </r>
  <r>
    <x v="8"/>
    <n v="67098"/>
    <x v="25"/>
    <x v="0"/>
    <x v="48"/>
    <n v="0.91"/>
    <x v="78"/>
    <x v="2"/>
    <m/>
    <m/>
    <m/>
    <m/>
    <m/>
    <m/>
    <m/>
    <m/>
    <m/>
    <m/>
  </r>
  <r>
    <x v="2"/>
    <n v="74143"/>
    <x v="16"/>
    <x v="2"/>
    <x v="68"/>
    <n v="1.42"/>
    <x v="40"/>
    <x v="0"/>
    <m/>
    <m/>
    <m/>
    <m/>
    <m/>
    <m/>
    <m/>
    <m/>
    <m/>
    <m/>
  </r>
  <r>
    <x v="5"/>
    <n v="149245"/>
    <x v="5"/>
    <x v="0"/>
    <x v="37"/>
    <n v="1.3"/>
    <x v="74"/>
    <x v="1"/>
    <m/>
    <m/>
    <m/>
    <m/>
    <m/>
    <m/>
    <m/>
    <m/>
    <m/>
    <m/>
  </r>
  <r>
    <x v="0"/>
    <n v="112802"/>
    <x v="16"/>
    <x v="3"/>
    <x v="47"/>
    <n v="0.88"/>
    <x v="73"/>
    <x v="0"/>
    <m/>
    <m/>
    <m/>
    <m/>
    <m/>
    <m/>
    <m/>
    <m/>
    <m/>
    <m/>
  </r>
  <r>
    <x v="7"/>
    <n v="76611"/>
    <x v="18"/>
    <x v="2"/>
    <x v="48"/>
    <n v="1.43"/>
    <x v="5"/>
    <x v="1"/>
    <m/>
    <m/>
    <m/>
    <m/>
    <m/>
    <m/>
    <m/>
    <m/>
    <m/>
    <m/>
  </r>
  <r>
    <x v="7"/>
    <n v="48609"/>
    <x v="24"/>
    <x v="1"/>
    <x v="100"/>
    <n v="0.69"/>
    <x v="54"/>
    <x v="1"/>
    <m/>
    <m/>
    <m/>
    <m/>
    <m/>
    <m/>
    <m/>
    <m/>
    <m/>
    <m/>
  </r>
  <r>
    <x v="4"/>
    <n v="138629"/>
    <x v="13"/>
    <x v="1"/>
    <x v="31"/>
    <n v="0.81"/>
    <x v="46"/>
    <x v="2"/>
    <m/>
    <m/>
    <m/>
    <m/>
    <m/>
    <m/>
    <m/>
    <m/>
    <m/>
    <m/>
  </r>
  <r>
    <x v="4"/>
    <n v="53481"/>
    <x v="21"/>
    <x v="3"/>
    <x v="7"/>
    <n v="0.7"/>
    <x v="53"/>
    <x v="2"/>
    <m/>
    <m/>
    <m/>
    <m/>
    <m/>
    <m/>
    <m/>
    <m/>
    <m/>
    <m/>
  </r>
  <r>
    <x v="10"/>
    <n v="60412"/>
    <x v="25"/>
    <x v="0"/>
    <x v="46"/>
    <n v="1.18"/>
    <x v="53"/>
    <x v="2"/>
    <m/>
    <m/>
    <m/>
    <m/>
    <m/>
    <m/>
    <m/>
    <m/>
    <m/>
    <m/>
  </r>
  <r>
    <x v="7"/>
    <n v="137271"/>
    <x v="21"/>
    <x v="1"/>
    <x v="59"/>
    <n v="0.93"/>
    <x v="88"/>
    <x v="1"/>
    <m/>
    <m/>
    <m/>
    <m/>
    <m/>
    <m/>
    <m/>
    <m/>
    <m/>
    <m/>
  </r>
  <r>
    <x v="18"/>
    <n v="37612"/>
    <x v="28"/>
    <x v="2"/>
    <x v="80"/>
    <n v="1.19"/>
    <x v="85"/>
    <x v="1"/>
    <m/>
    <m/>
    <m/>
    <m/>
    <m/>
    <m/>
    <m/>
    <m/>
    <m/>
    <m/>
  </r>
  <r>
    <x v="10"/>
    <n v="87623"/>
    <x v="7"/>
    <x v="2"/>
    <x v="16"/>
    <n v="0.72"/>
    <x v="69"/>
    <x v="2"/>
    <m/>
    <m/>
    <m/>
    <m/>
    <m/>
    <m/>
    <m/>
    <m/>
    <m/>
    <m/>
  </r>
  <r>
    <x v="8"/>
    <n v="84503"/>
    <x v="2"/>
    <x v="3"/>
    <x v="91"/>
    <n v="1.08"/>
    <x v="23"/>
    <x v="2"/>
    <m/>
    <m/>
    <m/>
    <m/>
    <m/>
    <m/>
    <m/>
    <m/>
    <m/>
    <m/>
  </r>
  <r>
    <x v="15"/>
    <n v="140427"/>
    <x v="6"/>
    <x v="1"/>
    <x v="75"/>
    <n v="0.5"/>
    <x v="88"/>
    <x v="1"/>
    <m/>
    <m/>
    <m/>
    <m/>
    <m/>
    <m/>
    <m/>
    <m/>
    <m/>
    <m/>
  </r>
  <r>
    <x v="7"/>
    <n v="73281"/>
    <x v="13"/>
    <x v="2"/>
    <x v="23"/>
    <n v="0.74"/>
    <x v="41"/>
    <x v="1"/>
    <m/>
    <m/>
    <m/>
    <m/>
    <m/>
    <m/>
    <m/>
    <m/>
    <m/>
    <m/>
  </r>
  <r>
    <x v="8"/>
    <n v="66492"/>
    <x v="23"/>
    <x v="2"/>
    <x v="9"/>
    <n v="0.91"/>
    <x v="31"/>
    <x v="2"/>
    <m/>
    <m/>
    <m/>
    <m/>
    <m/>
    <m/>
    <m/>
    <m/>
    <m/>
    <m/>
  </r>
  <r>
    <x v="12"/>
    <n v="52368"/>
    <x v="18"/>
    <x v="1"/>
    <x v="9"/>
    <n v="0.76"/>
    <x v="78"/>
    <x v="2"/>
    <m/>
    <m/>
    <m/>
    <m/>
    <m/>
    <m/>
    <m/>
    <m/>
    <m/>
    <m/>
  </r>
  <r>
    <x v="0"/>
    <n v="113302"/>
    <x v="29"/>
    <x v="0"/>
    <x v="26"/>
    <n v="0.59"/>
    <x v="40"/>
    <x v="0"/>
    <m/>
    <m/>
    <m/>
    <m/>
    <m/>
    <m/>
    <m/>
    <m/>
    <m/>
    <m/>
  </r>
  <r>
    <x v="17"/>
    <n v="80901"/>
    <x v="25"/>
    <x v="0"/>
    <x v="34"/>
    <n v="0.62"/>
    <x v="14"/>
    <x v="2"/>
    <m/>
    <m/>
    <m/>
    <m/>
    <m/>
    <m/>
    <m/>
    <m/>
    <m/>
    <m/>
  </r>
  <r>
    <x v="10"/>
    <n v="68197"/>
    <x v="6"/>
    <x v="2"/>
    <x v="39"/>
    <n v="0.89"/>
    <x v="69"/>
    <x v="2"/>
    <m/>
    <m/>
    <m/>
    <m/>
    <m/>
    <m/>
    <m/>
    <m/>
    <m/>
    <m/>
  </r>
  <r>
    <x v="7"/>
    <n v="101721"/>
    <x v="10"/>
    <x v="0"/>
    <x v="20"/>
    <n v="0.91"/>
    <x v="18"/>
    <x v="1"/>
    <m/>
    <m/>
    <m/>
    <m/>
    <m/>
    <m/>
    <m/>
    <m/>
    <m/>
    <m/>
  </r>
  <r>
    <x v="6"/>
    <n v="125101"/>
    <x v="7"/>
    <x v="3"/>
    <x v="4"/>
    <n v="0.62"/>
    <x v="65"/>
    <x v="2"/>
    <m/>
    <m/>
    <m/>
    <m/>
    <m/>
    <m/>
    <m/>
    <m/>
    <m/>
    <m/>
  </r>
  <r>
    <x v="0"/>
    <n v="143605"/>
    <x v="23"/>
    <x v="0"/>
    <x v="63"/>
    <n v="0.67"/>
    <x v="59"/>
    <x v="0"/>
    <m/>
    <m/>
    <m/>
    <m/>
    <m/>
    <m/>
    <m/>
    <m/>
    <m/>
    <m/>
  </r>
  <r>
    <x v="4"/>
    <n v="124183"/>
    <x v="26"/>
    <x v="1"/>
    <x v="38"/>
    <n v="1.23"/>
    <x v="36"/>
    <x v="2"/>
    <m/>
    <m/>
    <m/>
    <m/>
    <m/>
    <m/>
    <m/>
    <m/>
    <m/>
    <m/>
  </r>
  <r>
    <x v="7"/>
    <n v="81907"/>
    <x v="7"/>
    <x v="0"/>
    <x v="73"/>
    <n v="1.39"/>
    <x v="16"/>
    <x v="1"/>
    <m/>
    <m/>
    <m/>
    <m/>
    <m/>
    <m/>
    <m/>
    <m/>
    <m/>
    <m/>
  </r>
  <r>
    <x v="3"/>
    <n v="130231"/>
    <x v="12"/>
    <x v="2"/>
    <x v="78"/>
    <n v="1.22"/>
    <x v="48"/>
    <x v="2"/>
    <m/>
    <m/>
    <m/>
    <m/>
    <m/>
    <m/>
    <m/>
    <m/>
    <m/>
    <m/>
  </r>
  <r>
    <x v="16"/>
    <n v="50893"/>
    <x v="8"/>
    <x v="1"/>
    <x v="87"/>
    <n v="1.17"/>
    <x v="56"/>
    <x v="0"/>
    <m/>
    <m/>
    <m/>
    <m/>
    <m/>
    <m/>
    <m/>
    <m/>
    <m/>
    <m/>
  </r>
  <r>
    <x v="1"/>
    <n v="34273"/>
    <x v="3"/>
    <x v="1"/>
    <x v="73"/>
    <n v="0.88"/>
    <x v="63"/>
    <x v="1"/>
    <m/>
    <m/>
    <m/>
    <m/>
    <m/>
    <m/>
    <m/>
    <m/>
    <m/>
    <m/>
  </r>
  <r>
    <x v="1"/>
    <n v="129941"/>
    <x v="24"/>
    <x v="1"/>
    <x v="71"/>
    <n v="1.0900000000000001"/>
    <x v="52"/>
    <x v="1"/>
    <m/>
    <m/>
    <m/>
    <m/>
    <m/>
    <m/>
    <m/>
    <m/>
    <m/>
    <m/>
  </r>
  <r>
    <x v="16"/>
    <n v="65310"/>
    <x v="24"/>
    <x v="2"/>
    <x v="41"/>
    <n v="1.21"/>
    <x v="9"/>
    <x v="0"/>
    <m/>
    <m/>
    <m/>
    <m/>
    <m/>
    <m/>
    <m/>
    <m/>
    <m/>
    <m/>
  </r>
  <r>
    <x v="10"/>
    <n v="111301"/>
    <x v="13"/>
    <x v="2"/>
    <x v="59"/>
    <n v="1.1299999999999999"/>
    <x v="64"/>
    <x v="2"/>
    <m/>
    <m/>
    <m/>
    <m/>
    <m/>
    <m/>
    <m/>
    <m/>
    <m/>
    <m/>
  </r>
  <r>
    <x v="13"/>
    <n v="125325"/>
    <x v="15"/>
    <x v="1"/>
    <x v="93"/>
    <n v="0.74"/>
    <x v="11"/>
    <x v="2"/>
    <m/>
    <m/>
    <m/>
    <m/>
    <m/>
    <m/>
    <m/>
    <m/>
    <m/>
    <m/>
  </r>
  <r>
    <x v="9"/>
    <n v="53070"/>
    <x v="1"/>
    <x v="0"/>
    <x v="11"/>
    <n v="1.22"/>
    <x v="2"/>
    <x v="0"/>
    <m/>
    <m/>
    <m/>
    <m/>
    <m/>
    <m/>
    <m/>
    <m/>
    <m/>
    <m/>
  </r>
  <r>
    <x v="7"/>
    <n v="137582"/>
    <x v="2"/>
    <x v="2"/>
    <x v="22"/>
    <n v="1.24"/>
    <x v="7"/>
    <x v="1"/>
    <m/>
    <m/>
    <m/>
    <m/>
    <m/>
    <m/>
    <m/>
    <m/>
    <m/>
    <m/>
  </r>
  <r>
    <x v="3"/>
    <n v="77851"/>
    <x v="3"/>
    <x v="0"/>
    <x v="56"/>
    <n v="1.26"/>
    <x v="38"/>
    <x v="2"/>
    <m/>
    <m/>
    <m/>
    <m/>
    <m/>
    <m/>
    <m/>
    <m/>
    <m/>
    <m/>
  </r>
  <r>
    <x v="8"/>
    <n v="94690"/>
    <x v="25"/>
    <x v="1"/>
    <x v="20"/>
    <n v="1.22"/>
    <x v="49"/>
    <x v="2"/>
    <m/>
    <m/>
    <m/>
    <m/>
    <m/>
    <m/>
    <m/>
    <m/>
    <m/>
    <m/>
  </r>
  <r>
    <x v="19"/>
    <n v="106145"/>
    <x v="15"/>
    <x v="2"/>
    <x v="41"/>
    <n v="0.96"/>
    <x v="50"/>
    <x v="2"/>
    <m/>
    <m/>
    <m/>
    <m/>
    <m/>
    <m/>
    <m/>
    <m/>
    <m/>
    <m/>
  </r>
  <r>
    <x v="7"/>
    <n v="144256"/>
    <x v="21"/>
    <x v="1"/>
    <x v="76"/>
    <n v="1.0900000000000001"/>
    <x v="5"/>
    <x v="1"/>
    <m/>
    <m/>
    <m/>
    <m/>
    <m/>
    <m/>
    <m/>
    <m/>
    <m/>
    <m/>
  </r>
  <r>
    <x v="18"/>
    <n v="94322"/>
    <x v="7"/>
    <x v="3"/>
    <x v="48"/>
    <n v="0.86"/>
    <x v="21"/>
    <x v="1"/>
    <m/>
    <m/>
    <m/>
    <m/>
    <m/>
    <m/>
    <m/>
    <m/>
    <m/>
    <m/>
  </r>
  <r>
    <x v="14"/>
    <n v="97504"/>
    <x v="23"/>
    <x v="3"/>
    <x v="28"/>
    <n v="0.66"/>
    <x v="59"/>
    <x v="0"/>
    <m/>
    <m/>
    <m/>
    <m/>
    <m/>
    <m/>
    <m/>
    <m/>
    <m/>
    <m/>
  </r>
  <r>
    <x v="13"/>
    <n v="64897"/>
    <x v="5"/>
    <x v="0"/>
    <x v="25"/>
    <n v="0.97"/>
    <x v="46"/>
    <x v="2"/>
    <m/>
    <m/>
    <m/>
    <m/>
    <m/>
    <m/>
    <m/>
    <m/>
    <m/>
    <m/>
  </r>
  <r>
    <x v="11"/>
    <n v="53425"/>
    <x v="17"/>
    <x v="0"/>
    <x v="96"/>
    <n v="1.17"/>
    <x v="10"/>
    <x v="2"/>
    <m/>
    <m/>
    <m/>
    <m/>
    <m/>
    <m/>
    <m/>
    <m/>
    <m/>
    <m/>
  </r>
  <r>
    <x v="11"/>
    <n v="69426"/>
    <x v="27"/>
    <x v="1"/>
    <x v="66"/>
    <n v="1.1499999999999999"/>
    <x v="48"/>
    <x v="2"/>
    <m/>
    <m/>
    <m/>
    <m/>
    <m/>
    <m/>
    <m/>
    <m/>
    <m/>
    <m/>
  </r>
  <r>
    <x v="11"/>
    <n v="69801"/>
    <x v="24"/>
    <x v="3"/>
    <x v="48"/>
    <n v="1.22"/>
    <x v="69"/>
    <x v="2"/>
    <m/>
    <m/>
    <m/>
    <m/>
    <m/>
    <m/>
    <m/>
    <m/>
    <m/>
    <m/>
  </r>
  <r>
    <x v="11"/>
    <n v="102904"/>
    <x v="14"/>
    <x v="2"/>
    <x v="22"/>
    <n v="1.35"/>
    <x v="55"/>
    <x v="2"/>
    <m/>
    <m/>
    <m/>
    <m/>
    <m/>
    <m/>
    <m/>
    <m/>
    <m/>
    <m/>
  </r>
  <r>
    <x v="9"/>
    <n v="72020"/>
    <x v="8"/>
    <x v="3"/>
    <x v="50"/>
    <n v="1.1499999999999999"/>
    <x v="62"/>
    <x v="0"/>
    <m/>
    <m/>
    <m/>
    <m/>
    <m/>
    <m/>
    <m/>
    <m/>
    <m/>
    <m/>
  </r>
  <r>
    <x v="11"/>
    <n v="59362"/>
    <x v="17"/>
    <x v="0"/>
    <x v="74"/>
    <n v="0.8"/>
    <x v="38"/>
    <x v="2"/>
    <m/>
    <m/>
    <m/>
    <m/>
    <m/>
    <m/>
    <m/>
    <m/>
    <m/>
    <m/>
  </r>
  <r>
    <x v="0"/>
    <n v="113366"/>
    <x v="1"/>
    <x v="0"/>
    <x v="75"/>
    <n v="1.4"/>
    <x v="28"/>
    <x v="0"/>
    <m/>
    <m/>
    <m/>
    <m/>
    <m/>
    <m/>
    <m/>
    <m/>
    <m/>
    <m/>
  </r>
  <r>
    <x v="5"/>
    <n v="114142"/>
    <x v="20"/>
    <x v="1"/>
    <x v="1"/>
    <n v="1.35"/>
    <x v="37"/>
    <x v="1"/>
    <m/>
    <m/>
    <m/>
    <m/>
    <m/>
    <m/>
    <m/>
    <m/>
    <m/>
    <m/>
  </r>
  <r>
    <x v="19"/>
    <n v="94197"/>
    <x v="23"/>
    <x v="3"/>
    <x v="77"/>
    <n v="1.36"/>
    <x v="33"/>
    <x v="2"/>
    <m/>
    <m/>
    <m/>
    <m/>
    <m/>
    <m/>
    <m/>
    <m/>
    <m/>
    <m/>
  </r>
  <r>
    <x v="4"/>
    <n v="73518"/>
    <x v="2"/>
    <x v="2"/>
    <x v="37"/>
    <n v="0.63"/>
    <x v="10"/>
    <x v="2"/>
    <m/>
    <m/>
    <m/>
    <m/>
    <m/>
    <m/>
    <m/>
    <m/>
    <m/>
    <m/>
  </r>
  <r>
    <x v="6"/>
    <n v="138460"/>
    <x v="1"/>
    <x v="3"/>
    <x v="14"/>
    <n v="0.99"/>
    <x v="3"/>
    <x v="2"/>
    <m/>
    <m/>
    <m/>
    <m/>
    <m/>
    <m/>
    <m/>
    <m/>
    <m/>
    <m/>
  </r>
  <r>
    <x v="19"/>
    <n v="38628"/>
    <x v="17"/>
    <x v="1"/>
    <x v="28"/>
    <n v="1.47"/>
    <x v="69"/>
    <x v="2"/>
    <m/>
    <m/>
    <m/>
    <m/>
    <m/>
    <m/>
    <m/>
    <m/>
    <m/>
    <m/>
  </r>
  <r>
    <x v="3"/>
    <n v="72353"/>
    <x v="29"/>
    <x v="0"/>
    <x v="90"/>
    <n v="1.26"/>
    <x v="49"/>
    <x v="2"/>
    <m/>
    <m/>
    <m/>
    <m/>
    <m/>
    <m/>
    <m/>
    <m/>
    <m/>
    <m/>
  </r>
  <r>
    <x v="11"/>
    <n v="47054"/>
    <x v="11"/>
    <x v="0"/>
    <x v="30"/>
    <n v="1.38"/>
    <x v="57"/>
    <x v="2"/>
    <m/>
    <m/>
    <m/>
    <m/>
    <m/>
    <m/>
    <m/>
    <m/>
    <m/>
    <m/>
  </r>
  <r>
    <x v="12"/>
    <n v="73489"/>
    <x v="2"/>
    <x v="0"/>
    <x v="62"/>
    <n v="0.93"/>
    <x v="55"/>
    <x v="2"/>
    <m/>
    <m/>
    <m/>
    <m/>
    <m/>
    <m/>
    <m/>
    <m/>
    <m/>
    <m/>
  </r>
  <r>
    <x v="14"/>
    <n v="127014"/>
    <x v="5"/>
    <x v="0"/>
    <x v="96"/>
    <n v="1.41"/>
    <x v="58"/>
    <x v="2"/>
    <m/>
    <m/>
    <m/>
    <m/>
    <m/>
    <m/>
    <m/>
    <m/>
    <m/>
    <m/>
  </r>
  <r>
    <x v="5"/>
    <n v="138569"/>
    <x v="4"/>
    <x v="0"/>
    <x v="22"/>
    <n v="1.21"/>
    <x v="34"/>
    <x v="1"/>
    <m/>
    <m/>
    <m/>
    <m/>
    <m/>
    <m/>
    <m/>
    <m/>
    <m/>
    <m/>
  </r>
  <r>
    <x v="0"/>
    <n v="134371"/>
    <x v="8"/>
    <x v="3"/>
    <x v="57"/>
    <n v="1.49"/>
    <x v="59"/>
    <x v="0"/>
    <m/>
    <m/>
    <m/>
    <m/>
    <m/>
    <m/>
    <m/>
    <m/>
    <m/>
    <m/>
  </r>
  <r>
    <x v="6"/>
    <n v="77687"/>
    <x v="0"/>
    <x v="3"/>
    <x v="45"/>
    <n v="0.72"/>
    <x v="84"/>
    <x v="2"/>
    <m/>
    <m/>
    <m/>
    <m/>
    <m/>
    <m/>
    <m/>
    <m/>
    <m/>
    <m/>
  </r>
  <r>
    <x v="16"/>
    <n v="40128"/>
    <x v="6"/>
    <x v="0"/>
    <x v="2"/>
    <n v="0.71"/>
    <x v="83"/>
    <x v="0"/>
    <m/>
    <m/>
    <m/>
    <m/>
    <m/>
    <m/>
    <m/>
    <m/>
    <m/>
    <m/>
  </r>
  <r>
    <x v="1"/>
    <n v="105505"/>
    <x v="7"/>
    <x v="3"/>
    <x v="59"/>
    <n v="0.52"/>
    <x v="34"/>
    <x v="1"/>
    <m/>
    <m/>
    <m/>
    <m/>
    <m/>
    <m/>
    <m/>
    <m/>
    <m/>
    <m/>
  </r>
  <r>
    <x v="9"/>
    <n v="37109"/>
    <x v="11"/>
    <x v="2"/>
    <x v="81"/>
    <n v="1.21"/>
    <x v="32"/>
    <x v="0"/>
    <m/>
    <m/>
    <m/>
    <m/>
    <m/>
    <m/>
    <m/>
    <m/>
    <m/>
    <m/>
  </r>
  <r>
    <x v="4"/>
    <n v="97672"/>
    <x v="16"/>
    <x v="3"/>
    <x v="59"/>
    <n v="1.0900000000000001"/>
    <x v="58"/>
    <x v="2"/>
    <m/>
    <m/>
    <m/>
    <m/>
    <m/>
    <m/>
    <m/>
    <m/>
    <m/>
    <m/>
  </r>
  <r>
    <x v="6"/>
    <n v="149593"/>
    <x v="11"/>
    <x v="2"/>
    <x v="8"/>
    <n v="1.24"/>
    <x v="43"/>
    <x v="2"/>
    <m/>
    <m/>
    <m/>
    <m/>
    <m/>
    <m/>
    <m/>
    <m/>
    <m/>
    <m/>
  </r>
  <r>
    <x v="5"/>
    <n v="81108"/>
    <x v="8"/>
    <x v="0"/>
    <x v="48"/>
    <n v="0.9"/>
    <x v="7"/>
    <x v="1"/>
    <m/>
    <m/>
    <m/>
    <m/>
    <m/>
    <m/>
    <m/>
    <m/>
    <m/>
    <m/>
  </r>
  <r>
    <x v="13"/>
    <n v="77197"/>
    <x v="23"/>
    <x v="3"/>
    <x v="51"/>
    <n v="1.39"/>
    <x v="45"/>
    <x v="2"/>
    <m/>
    <m/>
    <m/>
    <m/>
    <m/>
    <m/>
    <m/>
    <m/>
    <m/>
    <m/>
  </r>
  <r>
    <x v="9"/>
    <n v="113499"/>
    <x v="8"/>
    <x v="0"/>
    <x v="17"/>
    <n v="0.93"/>
    <x v="89"/>
    <x v="0"/>
    <m/>
    <m/>
    <m/>
    <m/>
    <m/>
    <m/>
    <m/>
    <m/>
    <m/>
    <m/>
  </r>
  <r>
    <x v="16"/>
    <n v="133462"/>
    <x v="8"/>
    <x v="0"/>
    <x v="12"/>
    <n v="1.07"/>
    <x v="59"/>
    <x v="0"/>
    <m/>
    <m/>
    <m/>
    <m/>
    <m/>
    <m/>
    <m/>
    <m/>
    <m/>
    <m/>
  </r>
  <r>
    <x v="8"/>
    <n v="96393"/>
    <x v="3"/>
    <x v="0"/>
    <x v="28"/>
    <n v="1.47"/>
    <x v="45"/>
    <x v="2"/>
    <m/>
    <m/>
    <m/>
    <m/>
    <m/>
    <m/>
    <m/>
    <m/>
    <m/>
    <m/>
  </r>
  <r>
    <x v="2"/>
    <n v="99226"/>
    <x v="5"/>
    <x v="2"/>
    <x v="12"/>
    <n v="0.76"/>
    <x v="17"/>
    <x v="0"/>
    <m/>
    <m/>
    <m/>
    <m/>
    <m/>
    <m/>
    <m/>
    <m/>
    <m/>
    <m/>
  </r>
  <r>
    <x v="2"/>
    <n v="55483"/>
    <x v="14"/>
    <x v="3"/>
    <x v="63"/>
    <n v="1.39"/>
    <x v="51"/>
    <x v="0"/>
    <m/>
    <m/>
    <m/>
    <m/>
    <m/>
    <m/>
    <m/>
    <m/>
    <m/>
    <m/>
  </r>
  <r>
    <x v="10"/>
    <n v="35499"/>
    <x v="9"/>
    <x v="0"/>
    <x v="74"/>
    <n v="0.64"/>
    <x v="14"/>
    <x v="2"/>
    <m/>
    <m/>
    <m/>
    <m/>
    <m/>
    <m/>
    <m/>
    <m/>
    <m/>
    <m/>
  </r>
  <r>
    <x v="14"/>
    <n v="59737"/>
    <x v="13"/>
    <x v="3"/>
    <x v="96"/>
    <n v="0.99"/>
    <x v="40"/>
    <x v="0"/>
    <m/>
    <m/>
    <m/>
    <m/>
    <m/>
    <m/>
    <m/>
    <m/>
    <m/>
    <m/>
  </r>
  <r>
    <x v="14"/>
    <n v="40364"/>
    <x v="24"/>
    <x v="0"/>
    <x v="31"/>
    <n v="1.3"/>
    <x v="76"/>
    <x v="0"/>
    <m/>
    <m/>
    <m/>
    <m/>
    <m/>
    <m/>
    <m/>
    <m/>
    <m/>
    <m/>
  </r>
  <r>
    <x v="10"/>
    <n v="97954"/>
    <x v="1"/>
    <x v="0"/>
    <x v="79"/>
    <n v="1.47"/>
    <x v="8"/>
    <x v="2"/>
    <m/>
    <m/>
    <m/>
    <m/>
    <m/>
    <m/>
    <m/>
    <m/>
    <m/>
    <m/>
  </r>
  <r>
    <x v="9"/>
    <n v="36534"/>
    <x v="19"/>
    <x v="2"/>
    <x v="93"/>
    <n v="0.75"/>
    <x v="76"/>
    <x v="0"/>
    <m/>
    <m/>
    <m/>
    <m/>
    <m/>
    <m/>
    <m/>
    <m/>
    <m/>
    <m/>
  </r>
  <r>
    <x v="1"/>
    <n v="85012"/>
    <x v="21"/>
    <x v="0"/>
    <x v="75"/>
    <n v="0.63"/>
    <x v="7"/>
    <x v="1"/>
    <m/>
    <m/>
    <m/>
    <m/>
    <m/>
    <m/>
    <m/>
    <m/>
    <m/>
    <m/>
  </r>
  <r>
    <x v="2"/>
    <n v="94712"/>
    <x v="15"/>
    <x v="2"/>
    <x v="76"/>
    <n v="1.23"/>
    <x v="9"/>
    <x v="0"/>
    <m/>
    <m/>
    <m/>
    <m/>
    <m/>
    <m/>
    <m/>
    <m/>
    <m/>
    <m/>
  </r>
  <r>
    <x v="7"/>
    <n v="124580"/>
    <x v="7"/>
    <x v="3"/>
    <x v="57"/>
    <n v="1.17"/>
    <x v="21"/>
    <x v="1"/>
    <m/>
    <m/>
    <m/>
    <m/>
    <m/>
    <m/>
    <m/>
    <m/>
    <m/>
    <m/>
  </r>
  <r>
    <x v="10"/>
    <n v="89151"/>
    <x v="18"/>
    <x v="1"/>
    <x v="21"/>
    <n v="0.86"/>
    <x v="11"/>
    <x v="2"/>
    <m/>
    <m/>
    <m/>
    <m/>
    <m/>
    <m/>
    <m/>
    <m/>
    <m/>
    <m/>
  </r>
  <r>
    <x v="12"/>
    <n v="100529"/>
    <x v="27"/>
    <x v="3"/>
    <x v="45"/>
    <n v="1.0900000000000001"/>
    <x v="26"/>
    <x v="2"/>
    <m/>
    <m/>
    <m/>
    <m/>
    <m/>
    <m/>
    <m/>
    <m/>
    <m/>
    <m/>
  </r>
  <r>
    <x v="14"/>
    <n v="127054"/>
    <x v="9"/>
    <x v="0"/>
    <x v="28"/>
    <n v="1.43"/>
    <x v="62"/>
    <x v="0"/>
    <m/>
    <m/>
    <m/>
    <m/>
    <m/>
    <m/>
    <m/>
    <m/>
    <m/>
    <m/>
  </r>
  <r>
    <x v="5"/>
    <n v="68899"/>
    <x v="5"/>
    <x v="3"/>
    <x v="72"/>
    <n v="0.7"/>
    <x v="16"/>
    <x v="1"/>
    <m/>
    <m/>
    <m/>
    <m/>
    <m/>
    <m/>
    <m/>
    <m/>
    <m/>
    <m/>
  </r>
  <r>
    <x v="17"/>
    <n v="102564"/>
    <x v="29"/>
    <x v="2"/>
    <x v="41"/>
    <n v="1.34"/>
    <x v="4"/>
    <x v="2"/>
    <m/>
    <m/>
    <m/>
    <m/>
    <m/>
    <m/>
    <m/>
    <m/>
    <m/>
    <m/>
  </r>
  <r>
    <x v="8"/>
    <n v="47928"/>
    <x v="25"/>
    <x v="2"/>
    <x v="70"/>
    <n v="0.81"/>
    <x v="86"/>
    <x v="2"/>
    <m/>
    <m/>
    <m/>
    <m/>
    <m/>
    <m/>
    <m/>
    <m/>
    <m/>
    <m/>
  </r>
  <r>
    <x v="0"/>
    <n v="48560"/>
    <x v="20"/>
    <x v="1"/>
    <x v="27"/>
    <n v="1.39"/>
    <x v="17"/>
    <x v="0"/>
    <m/>
    <m/>
    <m/>
    <m/>
    <m/>
    <m/>
    <m/>
    <m/>
    <m/>
    <m/>
  </r>
  <r>
    <x v="16"/>
    <n v="81290"/>
    <x v="1"/>
    <x v="1"/>
    <x v="41"/>
    <n v="1.48"/>
    <x v="80"/>
    <x v="0"/>
    <m/>
    <m/>
    <m/>
    <m/>
    <m/>
    <m/>
    <m/>
    <m/>
    <m/>
    <m/>
  </r>
  <r>
    <x v="9"/>
    <n v="63897"/>
    <x v="21"/>
    <x v="2"/>
    <x v="45"/>
    <n v="1.33"/>
    <x v="77"/>
    <x v="0"/>
    <m/>
    <m/>
    <m/>
    <m/>
    <m/>
    <m/>
    <m/>
    <m/>
    <m/>
    <m/>
  </r>
  <r>
    <x v="3"/>
    <n v="124752"/>
    <x v="12"/>
    <x v="1"/>
    <x v="16"/>
    <n v="1.06"/>
    <x v="85"/>
    <x v="1"/>
    <m/>
    <m/>
    <m/>
    <m/>
    <m/>
    <m/>
    <m/>
    <m/>
    <m/>
    <m/>
  </r>
  <r>
    <x v="3"/>
    <n v="78008"/>
    <x v="11"/>
    <x v="3"/>
    <x v="70"/>
    <n v="1.22"/>
    <x v="43"/>
    <x v="2"/>
    <m/>
    <m/>
    <m/>
    <m/>
    <m/>
    <m/>
    <m/>
    <m/>
    <m/>
    <m/>
  </r>
  <r>
    <x v="16"/>
    <n v="75018"/>
    <x v="28"/>
    <x v="2"/>
    <x v="18"/>
    <n v="0.93"/>
    <x v="35"/>
    <x v="0"/>
    <m/>
    <m/>
    <m/>
    <m/>
    <m/>
    <m/>
    <m/>
    <m/>
    <m/>
    <m/>
  </r>
  <r>
    <x v="15"/>
    <n v="94407"/>
    <x v="5"/>
    <x v="1"/>
    <x v="63"/>
    <n v="1.46"/>
    <x v="34"/>
    <x v="1"/>
    <m/>
    <m/>
    <m/>
    <m/>
    <m/>
    <m/>
    <m/>
    <m/>
    <m/>
    <m/>
  </r>
  <r>
    <x v="5"/>
    <n v="43096"/>
    <x v="27"/>
    <x v="1"/>
    <x v="52"/>
    <n v="0.98"/>
    <x v="85"/>
    <x v="1"/>
    <m/>
    <m/>
    <m/>
    <m/>
    <m/>
    <m/>
    <m/>
    <m/>
    <m/>
    <m/>
  </r>
  <r>
    <x v="1"/>
    <n v="65504"/>
    <x v="29"/>
    <x v="0"/>
    <x v="30"/>
    <n v="1.02"/>
    <x v="82"/>
    <x v="1"/>
    <m/>
    <m/>
    <m/>
    <m/>
    <m/>
    <m/>
    <m/>
    <m/>
    <m/>
    <m/>
  </r>
  <r>
    <x v="11"/>
    <n v="115692"/>
    <x v="28"/>
    <x v="2"/>
    <x v="52"/>
    <n v="1.01"/>
    <x v="78"/>
    <x v="2"/>
    <m/>
    <m/>
    <m/>
    <m/>
    <m/>
    <m/>
    <m/>
    <m/>
    <m/>
    <m/>
  </r>
  <r>
    <x v="16"/>
    <n v="72971"/>
    <x v="10"/>
    <x v="2"/>
    <x v="23"/>
    <n v="1.07"/>
    <x v="9"/>
    <x v="0"/>
    <m/>
    <m/>
    <m/>
    <m/>
    <m/>
    <m/>
    <m/>
    <m/>
    <m/>
    <m/>
  </r>
  <r>
    <x v="15"/>
    <n v="75456"/>
    <x v="9"/>
    <x v="0"/>
    <x v="82"/>
    <n v="1.49"/>
    <x v="41"/>
    <x v="1"/>
    <m/>
    <m/>
    <m/>
    <m/>
    <m/>
    <m/>
    <m/>
    <m/>
    <m/>
    <m/>
  </r>
  <r>
    <x v="19"/>
    <n v="42929"/>
    <x v="7"/>
    <x v="2"/>
    <x v="65"/>
    <n v="1.47"/>
    <x v="46"/>
    <x v="2"/>
    <m/>
    <m/>
    <m/>
    <m/>
    <m/>
    <m/>
    <m/>
    <m/>
    <m/>
    <m/>
  </r>
  <r>
    <x v="8"/>
    <n v="87735"/>
    <x v="8"/>
    <x v="1"/>
    <x v="62"/>
    <n v="1.48"/>
    <x v="31"/>
    <x v="2"/>
    <m/>
    <m/>
    <m/>
    <m/>
    <m/>
    <m/>
    <m/>
    <m/>
    <m/>
    <m/>
  </r>
  <r>
    <x v="17"/>
    <n v="69029"/>
    <x v="6"/>
    <x v="2"/>
    <x v="44"/>
    <n v="0.73"/>
    <x v="3"/>
    <x v="2"/>
    <m/>
    <m/>
    <m/>
    <m/>
    <m/>
    <m/>
    <m/>
    <m/>
    <m/>
    <m/>
  </r>
  <r>
    <x v="10"/>
    <n v="50387"/>
    <x v="17"/>
    <x v="0"/>
    <x v="7"/>
    <n v="1.1299999999999999"/>
    <x v="12"/>
    <x v="2"/>
    <m/>
    <m/>
    <m/>
    <m/>
    <m/>
    <m/>
    <m/>
    <m/>
    <m/>
    <m/>
  </r>
  <r>
    <x v="9"/>
    <n v="94918"/>
    <x v="12"/>
    <x v="1"/>
    <x v="27"/>
    <n v="0.52"/>
    <x v="83"/>
    <x v="0"/>
    <m/>
    <m/>
    <m/>
    <m/>
    <m/>
    <m/>
    <m/>
    <m/>
    <m/>
    <m/>
  </r>
  <r>
    <x v="13"/>
    <n v="56154"/>
    <x v="27"/>
    <x v="1"/>
    <x v="77"/>
    <n v="1.18"/>
    <x v="53"/>
    <x v="2"/>
    <m/>
    <m/>
    <m/>
    <m/>
    <m/>
    <m/>
    <m/>
    <m/>
    <m/>
    <m/>
  </r>
  <r>
    <x v="14"/>
    <n v="141634"/>
    <x v="24"/>
    <x v="1"/>
    <x v="70"/>
    <n v="1.36"/>
    <x v="58"/>
    <x v="2"/>
    <m/>
    <m/>
    <m/>
    <m/>
    <m/>
    <m/>
    <m/>
    <m/>
    <m/>
    <m/>
  </r>
  <r>
    <x v="2"/>
    <n v="50377"/>
    <x v="24"/>
    <x v="1"/>
    <x v="16"/>
    <n v="1.39"/>
    <x v="17"/>
    <x v="0"/>
    <m/>
    <m/>
    <m/>
    <m/>
    <m/>
    <m/>
    <m/>
    <m/>
    <m/>
    <m/>
  </r>
  <r>
    <x v="11"/>
    <n v="74516"/>
    <x v="26"/>
    <x v="2"/>
    <x v="75"/>
    <n v="1.25"/>
    <x v="30"/>
    <x v="2"/>
    <m/>
    <m/>
    <m/>
    <m/>
    <m/>
    <m/>
    <m/>
    <m/>
    <m/>
    <m/>
  </r>
  <r>
    <x v="8"/>
    <n v="129895"/>
    <x v="12"/>
    <x v="2"/>
    <x v="77"/>
    <n v="0.53"/>
    <x v="31"/>
    <x v="2"/>
    <m/>
    <m/>
    <m/>
    <m/>
    <m/>
    <m/>
    <m/>
    <m/>
    <m/>
    <m/>
  </r>
  <r>
    <x v="6"/>
    <n v="41329"/>
    <x v="19"/>
    <x v="3"/>
    <x v="64"/>
    <n v="0.72"/>
    <x v="26"/>
    <x v="2"/>
    <m/>
    <m/>
    <m/>
    <m/>
    <m/>
    <m/>
    <m/>
    <m/>
    <m/>
    <m/>
  </r>
  <r>
    <x v="16"/>
    <n v="40013"/>
    <x v="20"/>
    <x v="2"/>
    <x v="15"/>
    <n v="1.1200000000000001"/>
    <x v="35"/>
    <x v="0"/>
    <m/>
    <m/>
    <m/>
    <m/>
    <m/>
    <m/>
    <m/>
    <m/>
    <m/>
    <m/>
  </r>
  <r>
    <x v="4"/>
    <n v="120777"/>
    <x v="22"/>
    <x v="3"/>
    <x v="66"/>
    <n v="1.43"/>
    <x v="72"/>
    <x v="2"/>
    <m/>
    <m/>
    <m/>
    <m/>
    <m/>
    <m/>
    <m/>
    <m/>
    <m/>
    <m/>
  </r>
  <r>
    <x v="13"/>
    <n v="107011"/>
    <x v="19"/>
    <x v="0"/>
    <x v="92"/>
    <n v="0.86"/>
    <x v="11"/>
    <x v="2"/>
    <m/>
    <m/>
    <m/>
    <m/>
    <m/>
    <m/>
    <m/>
    <m/>
    <m/>
    <m/>
  </r>
  <r>
    <x v="6"/>
    <n v="116377"/>
    <x v="8"/>
    <x v="1"/>
    <x v="87"/>
    <n v="0.79"/>
    <x v="22"/>
    <x v="2"/>
    <m/>
    <m/>
    <m/>
    <m/>
    <m/>
    <m/>
    <m/>
    <m/>
    <m/>
    <m/>
  </r>
  <r>
    <x v="3"/>
    <n v="67630"/>
    <x v="15"/>
    <x v="2"/>
    <x v="70"/>
    <n v="1.21"/>
    <x v="6"/>
    <x v="2"/>
    <m/>
    <m/>
    <m/>
    <m/>
    <m/>
    <m/>
    <m/>
    <m/>
    <m/>
    <m/>
  </r>
  <r>
    <x v="15"/>
    <n v="96360"/>
    <x v="13"/>
    <x v="0"/>
    <x v="58"/>
    <n v="0.8"/>
    <x v="34"/>
    <x v="1"/>
    <m/>
    <m/>
    <m/>
    <m/>
    <m/>
    <m/>
    <m/>
    <m/>
    <m/>
    <m/>
  </r>
  <r>
    <x v="18"/>
    <n v="103850"/>
    <x v="16"/>
    <x v="0"/>
    <x v="5"/>
    <n v="0.9"/>
    <x v="29"/>
    <x v="1"/>
    <m/>
    <m/>
    <m/>
    <m/>
    <m/>
    <m/>
    <m/>
    <m/>
    <m/>
    <m/>
  </r>
  <r>
    <x v="5"/>
    <n v="117133"/>
    <x v="6"/>
    <x v="2"/>
    <x v="19"/>
    <n v="0.61"/>
    <x v="21"/>
    <x v="1"/>
    <m/>
    <m/>
    <m/>
    <m/>
    <m/>
    <m/>
    <m/>
    <m/>
    <m/>
    <m/>
  </r>
  <r>
    <x v="18"/>
    <n v="125065"/>
    <x v="3"/>
    <x v="0"/>
    <x v="13"/>
    <n v="0.5"/>
    <x v="82"/>
    <x v="1"/>
    <m/>
    <m/>
    <m/>
    <m/>
    <m/>
    <m/>
    <m/>
    <m/>
    <m/>
    <m/>
  </r>
  <r>
    <x v="0"/>
    <n v="147600"/>
    <x v="18"/>
    <x v="0"/>
    <x v="32"/>
    <n v="0.92"/>
    <x v="90"/>
    <x v="0"/>
    <m/>
    <m/>
    <m/>
    <m/>
    <m/>
    <m/>
    <m/>
    <m/>
    <m/>
    <m/>
  </r>
  <r>
    <x v="3"/>
    <n v="96333"/>
    <x v="13"/>
    <x v="0"/>
    <x v="29"/>
    <n v="0.54"/>
    <x v="11"/>
    <x v="2"/>
    <m/>
    <m/>
    <m/>
    <m/>
    <m/>
    <m/>
    <m/>
    <m/>
    <m/>
    <m/>
  </r>
  <r>
    <x v="6"/>
    <n v="126847"/>
    <x v="12"/>
    <x v="2"/>
    <x v="71"/>
    <n v="0.95"/>
    <x v="50"/>
    <x v="2"/>
    <m/>
    <m/>
    <m/>
    <m/>
    <m/>
    <m/>
    <m/>
    <m/>
    <m/>
    <m/>
  </r>
  <r>
    <x v="16"/>
    <n v="92244"/>
    <x v="1"/>
    <x v="1"/>
    <x v="67"/>
    <n v="0.53"/>
    <x v="73"/>
    <x v="0"/>
    <m/>
    <m/>
    <m/>
    <m/>
    <m/>
    <m/>
    <m/>
    <m/>
    <m/>
    <m/>
  </r>
  <r>
    <x v="15"/>
    <n v="93810"/>
    <x v="0"/>
    <x v="2"/>
    <x v="10"/>
    <n v="0.56999999999999995"/>
    <x v="18"/>
    <x v="1"/>
    <m/>
    <m/>
    <m/>
    <m/>
    <m/>
    <m/>
    <m/>
    <m/>
    <m/>
    <m/>
  </r>
  <r>
    <x v="5"/>
    <n v="127211"/>
    <x v="7"/>
    <x v="1"/>
    <x v="1"/>
    <n v="0.54"/>
    <x v="7"/>
    <x v="1"/>
    <m/>
    <m/>
    <m/>
    <m/>
    <m/>
    <m/>
    <m/>
    <m/>
    <m/>
    <m/>
  </r>
  <r>
    <x v="6"/>
    <n v="35455"/>
    <x v="7"/>
    <x v="2"/>
    <x v="33"/>
    <n v="0.64"/>
    <x v="11"/>
    <x v="2"/>
    <m/>
    <m/>
    <m/>
    <m/>
    <m/>
    <m/>
    <m/>
    <m/>
    <m/>
    <m/>
  </r>
  <r>
    <x v="14"/>
    <n v="37289"/>
    <x v="28"/>
    <x v="0"/>
    <x v="98"/>
    <n v="1.38"/>
    <x v="67"/>
    <x v="0"/>
    <m/>
    <m/>
    <m/>
    <m/>
    <m/>
    <m/>
    <m/>
    <m/>
    <m/>
    <m/>
  </r>
  <r>
    <x v="9"/>
    <n v="81428"/>
    <x v="22"/>
    <x v="0"/>
    <x v="30"/>
    <n v="0.82"/>
    <x v="90"/>
    <x v="0"/>
    <m/>
    <m/>
    <m/>
    <m/>
    <m/>
    <m/>
    <m/>
    <m/>
    <m/>
    <m/>
  </r>
  <r>
    <x v="6"/>
    <n v="123890"/>
    <x v="4"/>
    <x v="0"/>
    <x v="24"/>
    <n v="1.1000000000000001"/>
    <x v="10"/>
    <x v="2"/>
    <m/>
    <m/>
    <m/>
    <m/>
    <m/>
    <m/>
    <m/>
    <m/>
    <m/>
    <m/>
  </r>
  <r>
    <x v="13"/>
    <n v="67422"/>
    <x v="2"/>
    <x v="1"/>
    <x v="59"/>
    <n v="1.28"/>
    <x v="30"/>
    <x v="2"/>
    <m/>
    <m/>
    <m/>
    <m/>
    <m/>
    <m/>
    <m/>
    <m/>
    <m/>
    <m/>
  </r>
  <r>
    <x v="4"/>
    <n v="62947"/>
    <x v="7"/>
    <x v="3"/>
    <x v="20"/>
    <n v="0.72"/>
    <x v="53"/>
    <x v="2"/>
    <m/>
    <m/>
    <m/>
    <m/>
    <m/>
    <m/>
    <m/>
    <m/>
    <m/>
    <m/>
  </r>
  <r>
    <x v="0"/>
    <n v="149554"/>
    <x v="23"/>
    <x v="2"/>
    <x v="12"/>
    <n v="1.29"/>
    <x v="17"/>
    <x v="0"/>
    <m/>
    <m/>
    <m/>
    <m/>
    <m/>
    <m/>
    <m/>
    <m/>
    <m/>
    <m/>
  </r>
  <r>
    <x v="5"/>
    <n v="66497"/>
    <x v="18"/>
    <x v="2"/>
    <x v="61"/>
    <n v="0.64"/>
    <x v="82"/>
    <x v="1"/>
    <m/>
    <m/>
    <m/>
    <m/>
    <m/>
    <m/>
    <m/>
    <m/>
    <m/>
    <m/>
  </r>
  <r>
    <x v="3"/>
    <n v="91140"/>
    <x v="8"/>
    <x v="0"/>
    <x v="46"/>
    <n v="0.55000000000000004"/>
    <x v="65"/>
    <x v="2"/>
    <m/>
    <m/>
    <m/>
    <m/>
    <m/>
    <m/>
    <m/>
    <m/>
    <m/>
    <m/>
  </r>
  <r>
    <x v="13"/>
    <n v="147342"/>
    <x v="29"/>
    <x v="2"/>
    <x v="99"/>
    <n v="1.27"/>
    <x v="12"/>
    <x v="2"/>
    <m/>
    <m/>
    <m/>
    <m/>
    <m/>
    <m/>
    <m/>
    <m/>
    <m/>
    <m/>
  </r>
  <r>
    <x v="1"/>
    <n v="119647"/>
    <x v="6"/>
    <x v="3"/>
    <x v="66"/>
    <n v="1.1599999999999999"/>
    <x v="18"/>
    <x v="1"/>
    <m/>
    <m/>
    <m/>
    <m/>
    <m/>
    <m/>
    <m/>
    <m/>
    <m/>
    <m/>
  </r>
  <r>
    <x v="9"/>
    <n v="31234"/>
    <x v="0"/>
    <x v="2"/>
    <x v="78"/>
    <n v="0.97"/>
    <x v="39"/>
    <x v="0"/>
    <m/>
    <m/>
    <m/>
    <m/>
    <m/>
    <m/>
    <m/>
    <m/>
    <m/>
    <m/>
  </r>
  <r>
    <x v="14"/>
    <n v="34677"/>
    <x v="24"/>
    <x v="0"/>
    <x v="16"/>
    <n v="0.99"/>
    <x v="28"/>
    <x v="0"/>
    <m/>
    <m/>
    <m/>
    <m/>
    <m/>
    <m/>
    <m/>
    <m/>
    <m/>
    <m/>
  </r>
  <r>
    <x v="12"/>
    <n v="125288"/>
    <x v="18"/>
    <x v="0"/>
    <x v="96"/>
    <n v="0.93"/>
    <x v="49"/>
    <x v="2"/>
    <m/>
    <m/>
    <m/>
    <m/>
    <m/>
    <m/>
    <m/>
    <m/>
    <m/>
    <m/>
  </r>
  <r>
    <x v="0"/>
    <n v="77540"/>
    <x v="3"/>
    <x v="1"/>
    <x v="18"/>
    <n v="1.25"/>
    <x v="0"/>
    <x v="0"/>
    <m/>
    <m/>
    <m/>
    <m/>
    <m/>
    <m/>
    <m/>
    <m/>
    <m/>
    <m/>
  </r>
  <r>
    <x v="6"/>
    <n v="62953"/>
    <x v="12"/>
    <x v="2"/>
    <x v="12"/>
    <n v="0.97"/>
    <x v="23"/>
    <x v="2"/>
    <m/>
    <m/>
    <m/>
    <m/>
    <m/>
    <m/>
    <m/>
    <m/>
    <m/>
    <m/>
  </r>
  <r>
    <x v="14"/>
    <n v="99754"/>
    <x v="14"/>
    <x v="0"/>
    <x v="0"/>
    <n v="0.6"/>
    <x v="39"/>
    <x v="0"/>
    <m/>
    <m/>
    <m/>
    <m/>
    <m/>
    <m/>
    <m/>
    <m/>
    <m/>
    <m/>
  </r>
  <r>
    <x v="4"/>
    <n v="114865"/>
    <x v="27"/>
    <x v="2"/>
    <x v="94"/>
    <n v="1.0900000000000001"/>
    <x v="58"/>
    <x v="2"/>
    <m/>
    <m/>
    <m/>
    <m/>
    <m/>
    <m/>
    <m/>
    <m/>
    <m/>
    <m/>
  </r>
  <r>
    <x v="14"/>
    <n v="59904"/>
    <x v="10"/>
    <x v="3"/>
    <x v="77"/>
    <n v="1.18"/>
    <x v="24"/>
    <x v="0"/>
    <m/>
    <m/>
    <m/>
    <m/>
    <m/>
    <m/>
    <m/>
    <m/>
    <m/>
    <m/>
  </r>
  <r>
    <x v="17"/>
    <n v="53473"/>
    <x v="15"/>
    <x v="0"/>
    <x v="85"/>
    <n v="0.67"/>
    <x v="87"/>
    <x v="2"/>
    <m/>
    <m/>
    <m/>
    <m/>
    <m/>
    <m/>
    <m/>
    <m/>
    <m/>
    <m/>
  </r>
  <r>
    <x v="2"/>
    <n v="34564"/>
    <x v="24"/>
    <x v="3"/>
    <x v="7"/>
    <n v="0.62"/>
    <x v="32"/>
    <x v="0"/>
    <m/>
    <m/>
    <m/>
    <m/>
    <m/>
    <m/>
    <m/>
    <m/>
    <m/>
    <m/>
  </r>
  <r>
    <x v="8"/>
    <n v="128259"/>
    <x v="27"/>
    <x v="0"/>
    <x v="31"/>
    <n v="1.01"/>
    <x v="45"/>
    <x v="2"/>
    <m/>
    <m/>
    <m/>
    <m/>
    <m/>
    <m/>
    <m/>
    <m/>
    <m/>
    <m/>
  </r>
  <r>
    <x v="13"/>
    <n v="144486"/>
    <x v="0"/>
    <x v="0"/>
    <x v="56"/>
    <n v="0.7"/>
    <x v="68"/>
    <x v="2"/>
    <m/>
    <m/>
    <m/>
    <m/>
    <m/>
    <m/>
    <m/>
    <m/>
    <m/>
    <m/>
  </r>
  <r>
    <x v="12"/>
    <n v="136766"/>
    <x v="23"/>
    <x v="0"/>
    <x v="17"/>
    <n v="0.88"/>
    <x v="50"/>
    <x v="2"/>
    <m/>
    <m/>
    <m/>
    <m/>
    <m/>
    <m/>
    <m/>
    <m/>
    <m/>
    <m/>
  </r>
  <r>
    <x v="17"/>
    <n v="139097"/>
    <x v="6"/>
    <x v="3"/>
    <x v="59"/>
    <n v="0.82"/>
    <x v="30"/>
    <x v="2"/>
    <m/>
    <m/>
    <m/>
    <m/>
    <m/>
    <m/>
    <m/>
    <m/>
    <m/>
    <m/>
  </r>
  <r>
    <x v="9"/>
    <n v="97004"/>
    <x v="18"/>
    <x v="3"/>
    <x v="0"/>
    <n v="0.94"/>
    <x v="80"/>
    <x v="0"/>
    <m/>
    <m/>
    <m/>
    <m/>
    <m/>
    <m/>
    <m/>
    <m/>
    <m/>
    <m/>
  </r>
  <r>
    <x v="2"/>
    <n v="87143"/>
    <x v="15"/>
    <x v="3"/>
    <x v="89"/>
    <n v="1.24"/>
    <x v="83"/>
    <x v="0"/>
    <m/>
    <m/>
    <m/>
    <m/>
    <m/>
    <m/>
    <m/>
    <m/>
    <m/>
    <m/>
  </r>
  <r>
    <x v="1"/>
    <n v="86668"/>
    <x v="1"/>
    <x v="3"/>
    <x v="13"/>
    <n v="1.18"/>
    <x v="54"/>
    <x v="1"/>
    <m/>
    <m/>
    <m/>
    <m/>
    <m/>
    <m/>
    <m/>
    <m/>
    <m/>
    <m/>
  </r>
  <r>
    <x v="17"/>
    <n v="45027"/>
    <x v="22"/>
    <x v="3"/>
    <x v="41"/>
    <n v="1.21"/>
    <x v="87"/>
    <x v="2"/>
    <m/>
    <m/>
    <m/>
    <m/>
    <m/>
    <m/>
    <m/>
    <m/>
    <m/>
    <m/>
  </r>
  <r>
    <x v="19"/>
    <n v="86546"/>
    <x v="18"/>
    <x v="3"/>
    <x v="46"/>
    <n v="1.37"/>
    <x v="50"/>
    <x v="2"/>
    <m/>
    <m/>
    <m/>
    <m/>
    <m/>
    <m/>
    <m/>
    <m/>
    <m/>
    <m/>
  </r>
  <r>
    <x v="17"/>
    <n v="101621"/>
    <x v="16"/>
    <x v="0"/>
    <x v="20"/>
    <n v="1.01"/>
    <x v="49"/>
    <x v="2"/>
    <m/>
    <m/>
    <m/>
    <m/>
    <m/>
    <m/>
    <m/>
    <m/>
    <m/>
    <m/>
  </r>
  <r>
    <x v="13"/>
    <n v="114191"/>
    <x v="19"/>
    <x v="1"/>
    <x v="71"/>
    <n v="0.56000000000000005"/>
    <x v="26"/>
    <x v="2"/>
    <m/>
    <m/>
    <m/>
    <m/>
    <m/>
    <m/>
    <m/>
    <m/>
    <m/>
    <m/>
  </r>
  <r>
    <x v="7"/>
    <n v="41918"/>
    <x v="19"/>
    <x v="2"/>
    <x v="75"/>
    <n v="0.56000000000000005"/>
    <x v="75"/>
    <x v="1"/>
    <m/>
    <m/>
    <m/>
    <m/>
    <m/>
    <m/>
    <m/>
    <m/>
    <m/>
    <m/>
  </r>
  <r>
    <x v="9"/>
    <n v="130213"/>
    <x v="26"/>
    <x v="1"/>
    <x v="84"/>
    <n v="1.01"/>
    <x v="28"/>
    <x v="0"/>
    <m/>
    <m/>
    <m/>
    <m/>
    <m/>
    <m/>
    <m/>
    <m/>
    <m/>
    <m/>
  </r>
  <r>
    <x v="17"/>
    <n v="88561"/>
    <x v="4"/>
    <x v="0"/>
    <x v="24"/>
    <n v="1.1299999999999999"/>
    <x v="50"/>
    <x v="2"/>
    <m/>
    <m/>
    <m/>
    <m/>
    <m/>
    <m/>
    <m/>
    <m/>
    <m/>
    <m/>
  </r>
  <r>
    <x v="1"/>
    <n v="132013"/>
    <x v="14"/>
    <x v="2"/>
    <x v="68"/>
    <n v="0.68"/>
    <x v="63"/>
    <x v="1"/>
    <m/>
    <m/>
    <m/>
    <m/>
    <m/>
    <m/>
    <m/>
    <m/>
    <m/>
    <m/>
  </r>
  <r>
    <x v="0"/>
    <n v="67010"/>
    <x v="11"/>
    <x v="3"/>
    <x v="79"/>
    <n v="1.42"/>
    <x v="60"/>
    <x v="0"/>
    <m/>
    <m/>
    <m/>
    <m/>
    <m/>
    <m/>
    <m/>
    <m/>
    <m/>
    <m/>
  </r>
  <r>
    <x v="19"/>
    <n v="131807"/>
    <x v="16"/>
    <x v="0"/>
    <x v="0"/>
    <n v="1.21"/>
    <x v="31"/>
    <x v="2"/>
    <m/>
    <m/>
    <m/>
    <m/>
    <m/>
    <m/>
    <m/>
    <m/>
    <m/>
    <m/>
  </r>
  <r>
    <x v="13"/>
    <n v="117563"/>
    <x v="2"/>
    <x v="2"/>
    <x v="66"/>
    <n v="1.24"/>
    <x v="33"/>
    <x v="2"/>
    <m/>
    <m/>
    <m/>
    <m/>
    <m/>
    <m/>
    <m/>
    <m/>
    <m/>
    <m/>
  </r>
  <r>
    <x v="18"/>
    <n v="51798"/>
    <x v="24"/>
    <x v="1"/>
    <x v="21"/>
    <n v="0.66"/>
    <x v="15"/>
    <x v="1"/>
    <m/>
    <m/>
    <m/>
    <m/>
    <m/>
    <m/>
    <m/>
    <m/>
    <m/>
    <m/>
  </r>
  <r>
    <x v="12"/>
    <n v="73701"/>
    <x v="15"/>
    <x v="0"/>
    <x v="40"/>
    <n v="1.19"/>
    <x v="86"/>
    <x v="2"/>
    <m/>
    <m/>
    <m/>
    <m/>
    <m/>
    <m/>
    <m/>
    <m/>
    <m/>
    <m/>
  </r>
  <r>
    <x v="13"/>
    <n v="135959"/>
    <x v="12"/>
    <x v="2"/>
    <x v="41"/>
    <n v="0.93"/>
    <x v="43"/>
    <x v="2"/>
    <m/>
    <m/>
    <m/>
    <m/>
    <m/>
    <m/>
    <m/>
    <m/>
    <m/>
    <m/>
  </r>
  <r>
    <x v="6"/>
    <n v="129721"/>
    <x v="29"/>
    <x v="0"/>
    <x v="69"/>
    <n v="0.98"/>
    <x v="8"/>
    <x v="2"/>
    <m/>
    <m/>
    <m/>
    <m/>
    <m/>
    <m/>
    <m/>
    <m/>
    <m/>
    <m/>
  </r>
  <r>
    <x v="18"/>
    <n v="98132"/>
    <x v="12"/>
    <x v="2"/>
    <x v="61"/>
    <n v="0.79"/>
    <x v="18"/>
    <x v="1"/>
    <m/>
    <m/>
    <m/>
    <m/>
    <m/>
    <m/>
    <m/>
    <m/>
    <m/>
    <m/>
  </r>
  <r>
    <x v="8"/>
    <n v="132945"/>
    <x v="22"/>
    <x v="0"/>
    <x v="23"/>
    <n v="1.44"/>
    <x v="6"/>
    <x v="2"/>
    <m/>
    <m/>
    <m/>
    <m/>
    <m/>
    <m/>
    <m/>
    <m/>
    <m/>
    <m/>
  </r>
  <r>
    <x v="13"/>
    <n v="141318"/>
    <x v="26"/>
    <x v="2"/>
    <x v="55"/>
    <n v="0.63"/>
    <x v="46"/>
    <x v="2"/>
    <m/>
    <m/>
    <m/>
    <m/>
    <m/>
    <m/>
    <m/>
    <m/>
    <m/>
    <m/>
  </r>
  <r>
    <x v="17"/>
    <n v="114005"/>
    <x v="27"/>
    <x v="1"/>
    <x v="34"/>
    <n v="1.38"/>
    <x v="3"/>
    <x v="2"/>
    <m/>
    <m/>
    <m/>
    <m/>
    <m/>
    <m/>
    <m/>
    <m/>
    <m/>
    <m/>
  </r>
  <r>
    <x v="12"/>
    <n v="107974"/>
    <x v="8"/>
    <x v="3"/>
    <x v="79"/>
    <n v="0.72"/>
    <x v="87"/>
    <x v="2"/>
    <m/>
    <m/>
    <m/>
    <m/>
    <m/>
    <m/>
    <m/>
    <m/>
    <m/>
    <m/>
  </r>
  <r>
    <x v="7"/>
    <n v="96214"/>
    <x v="9"/>
    <x v="0"/>
    <x v="61"/>
    <n v="1.28"/>
    <x v="74"/>
    <x v="1"/>
    <m/>
    <m/>
    <m/>
    <m/>
    <m/>
    <m/>
    <m/>
    <m/>
    <m/>
    <m/>
  </r>
  <r>
    <x v="1"/>
    <n v="89876"/>
    <x v="26"/>
    <x v="0"/>
    <x v="89"/>
    <n v="0.68"/>
    <x v="54"/>
    <x v="1"/>
    <m/>
    <m/>
    <m/>
    <m/>
    <m/>
    <m/>
    <m/>
    <m/>
    <m/>
    <m/>
  </r>
  <r>
    <x v="13"/>
    <n v="144947"/>
    <x v="29"/>
    <x v="0"/>
    <x v="43"/>
    <n v="0.73"/>
    <x v="43"/>
    <x v="2"/>
    <m/>
    <m/>
    <m/>
    <m/>
    <m/>
    <m/>
    <m/>
    <m/>
    <m/>
    <m/>
  </r>
  <r>
    <x v="19"/>
    <n v="129590"/>
    <x v="17"/>
    <x v="0"/>
    <x v="49"/>
    <n v="1.3"/>
    <x v="8"/>
    <x v="2"/>
    <m/>
    <m/>
    <m/>
    <m/>
    <m/>
    <m/>
    <m/>
    <m/>
    <m/>
    <m/>
  </r>
  <r>
    <x v="5"/>
    <n v="147129"/>
    <x v="12"/>
    <x v="1"/>
    <x v="89"/>
    <n v="1.07"/>
    <x v="61"/>
    <x v="1"/>
    <m/>
    <m/>
    <m/>
    <m/>
    <m/>
    <m/>
    <m/>
    <m/>
    <m/>
    <m/>
  </r>
  <r>
    <x v="18"/>
    <n v="107417"/>
    <x v="16"/>
    <x v="2"/>
    <x v="55"/>
    <n v="1.39"/>
    <x v="42"/>
    <x v="1"/>
    <m/>
    <m/>
    <m/>
    <m/>
    <m/>
    <m/>
    <m/>
    <m/>
    <m/>
    <m/>
  </r>
  <r>
    <x v="6"/>
    <n v="75631"/>
    <x v="10"/>
    <x v="3"/>
    <x v="11"/>
    <n v="0.54"/>
    <x v="12"/>
    <x v="2"/>
    <m/>
    <m/>
    <m/>
    <m/>
    <m/>
    <m/>
    <m/>
    <m/>
    <m/>
    <m/>
  </r>
  <r>
    <x v="19"/>
    <n v="85753"/>
    <x v="23"/>
    <x v="2"/>
    <x v="18"/>
    <n v="0.89"/>
    <x v="20"/>
    <x v="2"/>
    <m/>
    <m/>
    <m/>
    <m/>
    <m/>
    <m/>
    <m/>
    <m/>
    <m/>
    <m/>
  </r>
  <r>
    <x v="8"/>
    <n v="91138"/>
    <x v="0"/>
    <x v="3"/>
    <x v="7"/>
    <n v="1.01"/>
    <x v="69"/>
    <x v="2"/>
    <m/>
    <m/>
    <m/>
    <m/>
    <m/>
    <m/>
    <m/>
    <m/>
    <m/>
    <m/>
  </r>
  <r>
    <x v="9"/>
    <n v="106258"/>
    <x v="11"/>
    <x v="1"/>
    <x v="18"/>
    <n v="0.57999999999999996"/>
    <x v="40"/>
    <x v="0"/>
    <m/>
    <m/>
    <m/>
    <m/>
    <m/>
    <m/>
    <m/>
    <m/>
    <m/>
    <m/>
  </r>
  <r>
    <x v="18"/>
    <n v="140514"/>
    <x v="26"/>
    <x v="3"/>
    <x v="86"/>
    <n v="1.26"/>
    <x v="75"/>
    <x v="1"/>
    <m/>
    <m/>
    <m/>
    <m/>
    <m/>
    <m/>
    <m/>
    <m/>
    <m/>
    <m/>
  </r>
  <r>
    <x v="16"/>
    <n v="47762"/>
    <x v="22"/>
    <x v="3"/>
    <x v="33"/>
    <n v="1.33"/>
    <x v="44"/>
    <x v="0"/>
    <m/>
    <m/>
    <m/>
    <m/>
    <m/>
    <m/>
    <m/>
    <m/>
    <m/>
    <m/>
  </r>
  <r>
    <x v="12"/>
    <n v="101060"/>
    <x v="21"/>
    <x v="0"/>
    <x v="42"/>
    <n v="0.68"/>
    <x v="6"/>
    <x v="2"/>
    <m/>
    <m/>
    <m/>
    <m/>
    <m/>
    <m/>
    <m/>
    <m/>
    <m/>
    <m/>
  </r>
  <r>
    <x v="3"/>
    <n v="37361"/>
    <x v="16"/>
    <x v="1"/>
    <x v="58"/>
    <n v="1.28"/>
    <x v="53"/>
    <x v="2"/>
    <m/>
    <m/>
    <m/>
    <m/>
    <m/>
    <m/>
    <m/>
    <m/>
    <m/>
    <m/>
  </r>
  <r>
    <x v="14"/>
    <n v="47736"/>
    <x v="4"/>
    <x v="0"/>
    <x v="30"/>
    <n v="1.46"/>
    <x v="76"/>
    <x v="0"/>
    <m/>
    <m/>
    <m/>
    <m/>
    <m/>
    <m/>
    <m/>
    <m/>
    <m/>
    <m/>
  </r>
  <r>
    <x v="13"/>
    <n v="57814"/>
    <x v="14"/>
    <x v="1"/>
    <x v="3"/>
    <n v="0.56000000000000005"/>
    <x v="11"/>
    <x v="2"/>
    <m/>
    <m/>
    <m/>
    <m/>
    <m/>
    <m/>
    <m/>
    <m/>
    <m/>
    <m/>
  </r>
  <r>
    <x v="3"/>
    <n v="135636"/>
    <x v="4"/>
    <x v="2"/>
    <x v="86"/>
    <n v="1.02"/>
    <x v="64"/>
    <x v="2"/>
    <m/>
    <m/>
    <m/>
    <m/>
    <m/>
    <m/>
    <m/>
    <m/>
    <m/>
    <m/>
  </r>
  <r>
    <x v="11"/>
    <n v="124697"/>
    <x v="7"/>
    <x v="3"/>
    <x v="1"/>
    <n v="1.44"/>
    <x v="30"/>
    <x v="2"/>
    <m/>
    <m/>
    <m/>
    <m/>
    <m/>
    <m/>
    <m/>
    <m/>
    <m/>
    <m/>
  </r>
  <r>
    <x v="0"/>
    <n v="132887"/>
    <x v="10"/>
    <x v="0"/>
    <x v="81"/>
    <n v="1.21"/>
    <x v="51"/>
    <x v="0"/>
    <m/>
    <m/>
    <m/>
    <m/>
    <m/>
    <m/>
    <m/>
    <m/>
    <m/>
    <m/>
  </r>
  <r>
    <x v="13"/>
    <n v="104336"/>
    <x v="20"/>
    <x v="0"/>
    <x v="37"/>
    <n v="0.84"/>
    <x v="30"/>
    <x v="2"/>
    <m/>
    <m/>
    <m/>
    <m/>
    <m/>
    <m/>
    <m/>
    <m/>
    <m/>
    <m/>
  </r>
  <r>
    <x v="0"/>
    <n v="143398"/>
    <x v="5"/>
    <x v="2"/>
    <x v="85"/>
    <n v="0.52"/>
    <x v="90"/>
    <x v="0"/>
    <m/>
    <m/>
    <m/>
    <m/>
    <m/>
    <m/>
    <m/>
    <m/>
    <m/>
    <m/>
  </r>
  <r>
    <x v="13"/>
    <n v="143546"/>
    <x v="18"/>
    <x v="0"/>
    <x v="3"/>
    <n v="1.34"/>
    <x v="53"/>
    <x v="2"/>
    <m/>
    <m/>
    <m/>
    <m/>
    <m/>
    <m/>
    <m/>
    <m/>
    <m/>
    <m/>
  </r>
  <r>
    <x v="14"/>
    <n v="132676"/>
    <x v="6"/>
    <x v="0"/>
    <x v="94"/>
    <n v="0.99"/>
    <x v="32"/>
    <x v="0"/>
    <m/>
    <m/>
    <m/>
    <m/>
    <m/>
    <m/>
    <m/>
    <m/>
    <m/>
    <m/>
  </r>
  <r>
    <x v="6"/>
    <n v="54569"/>
    <x v="12"/>
    <x v="1"/>
    <x v="33"/>
    <n v="0.67"/>
    <x v="45"/>
    <x v="2"/>
    <m/>
    <m/>
    <m/>
    <m/>
    <m/>
    <m/>
    <m/>
    <m/>
    <m/>
    <m/>
  </r>
  <r>
    <x v="2"/>
    <n v="124093"/>
    <x v="7"/>
    <x v="3"/>
    <x v="34"/>
    <n v="1.04"/>
    <x v="17"/>
    <x v="0"/>
    <m/>
    <m/>
    <m/>
    <m/>
    <m/>
    <m/>
    <m/>
    <m/>
    <m/>
    <m/>
  </r>
  <r>
    <x v="16"/>
    <n v="83638"/>
    <x v="13"/>
    <x v="3"/>
    <x v="76"/>
    <n v="0.7"/>
    <x v="39"/>
    <x v="0"/>
    <m/>
    <m/>
    <m/>
    <m/>
    <m/>
    <m/>
    <m/>
    <m/>
    <m/>
    <m/>
  </r>
  <r>
    <x v="5"/>
    <n v="126765"/>
    <x v="20"/>
    <x v="3"/>
    <x v="45"/>
    <n v="1.08"/>
    <x v="42"/>
    <x v="1"/>
    <m/>
    <m/>
    <m/>
    <m/>
    <m/>
    <m/>
    <m/>
    <m/>
    <m/>
    <m/>
  </r>
  <r>
    <x v="1"/>
    <n v="121190"/>
    <x v="28"/>
    <x v="2"/>
    <x v="9"/>
    <n v="0.68"/>
    <x v="13"/>
    <x v="1"/>
    <m/>
    <m/>
    <m/>
    <m/>
    <m/>
    <m/>
    <m/>
    <m/>
    <m/>
    <m/>
  </r>
  <r>
    <x v="7"/>
    <n v="84916"/>
    <x v="3"/>
    <x v="2"/>
    <x v="61"/>
    <n v="0.9"/>
    <x v="41"/>
    <x v="1"/>
    <m/>
    <m/>
    <m/>
    <m/>
    <m/>
    <m/>
    <m/>
    <m/>
    <m/>
    <m/>
  </r>
  <r>
    <x v="16"/>
    <n v="125462"/>
    <x v="3"/>
    <x v="3"/>
    <x v="72"/>
    <n v="1.27"/>
    <x v="40"/>
    <x v="0"/>
    <m/>
    <m/>
    <m/>
    <m/>
    <m/>
    <m/>
    <m/>
    <m/>
    <m/>
    <m/>
  </r>
  <r>
    <x v="6"/>
    <n v="74838"/>
    <x v="13"/>
    <x v="0"/>
    <x v="18"/>
    <n v="1.06"/>
    <x v="84"/>
    <x v="2"/>
    <m/>
    <m/>
    <m/>
    <m/>
    <m/>
    <m/>
    <m/>
    <m/>
    <m/>
    <m/>
  </r>
  <r>
    <x v="10"/>
    <n v="113253"/>
    <x v="26"/>
    <x v="0"/>
    <x v="13"/>
    <n v="0.78"/>
    <x v="65"/>
    <x v="2"/>
    <m/>
    <m/>
    <m/>
    <m/>
    <m/>
    <m/>
    <m/>
    <m/>
    <m/>
    <m/>
  </r>
  <r>
    <x v="17"/>
    <n v="111546"/>
    <x v="8"/>
    <x v="1"/>
    <x v="19"/>
    <n v="1.1100000000000001"/>
    <x v="22"/>
    <x v="2"/>
    <m/>
    <m/>
    <m/>
    <m/>
    <m/>
    <m/>
    <m/>
    <m/>
    <m/>
    <m/>
  </r>
  <r>
    <x v="9"/>
    <n v="140217"/>
    <x v="20"/>
    <x v="2"/>
    <x v="81"/>
    <n v="0.54"/>
    <x v="76"/>
    <x v="0"/>
    <m/>
    <m/>
    <m/>
    <m/>
    <m/>
    <m/>
    <m/>
    <m/>
    <m/>
    <m/>
  </r>
  <r>
    <x v="3"/>
    <n v="107576"/>
    <x v="16"/>
    <x v="2"/>
    <x v="9"/>
    <n v="1.41"/>
    <x v="11"/>
    <x v="2"/>
    <m/>
    <m/>
    <m/>
    <m/>
    <m/>
    <m/>
    <m/>
    <m/>
    <m/>
    <m/>
  </r>
  <r>
    <x v="0"/>
    <n v="89849"/>
    <x v="11"/>
    <x v="1"/>
    <x v="32"/>
    <n v="1.32"/>
    <x v="9"/>
    <x v="0"/>
    <m/>
    <m/>
    <m/>
    <m/>
    <m/>
    <m/>
    <m/>
    <m/>
    <m/>
    <m/>
  </r>
  <r>
    <x v="10"/>
    <n v="133970"/>
    <x v="6"/>
    <x v="0"/>
    <x v="97"/>
    <n v="0.87"/>
    <x v="8"/>
    <x v="2"/>
    <m/>
    <m/>
    <m/>
    <m/>
    <m/>
    <m/>
    <m/>
    <m/>
    <m/>
    <m/>
  </r>
  <r>
    <x v="4"/>
    <n v="65340"/>
    <x v="5"/>
    <x v="2"/>
    <x v="66"/>
    <n v="0.59"/>
    <x v="11"/>
    <x v="2"/>
    <m/>
    <m/>
    <m/>
    <m/>
    <m/>
    <m/>
    <m/>
    <m/>
    <m/>
    <m/>
  </r>
  <r>
    <x v="2"/>
    <n v="94605"/>
    <x v="9"/>
    <x v="0"/>
    <x v="93"/>
    <n v="0.83"/>
    <x v="56"/>
    <x v="0"/>
    <m/>
    <m/>
    <m/>
    <m/>
    <m/>
    <m/>
    <m/>
    <m/>
    <m/>
    <m/>
  </r>
  <r>
    <x v="13"/>
    <n v="132025"/>
    <x v="23"/>
    <x v="3"/>
    <x v="18"/>
    <n v="0.87"/>
    <x v="38"/>
    <x v="2"/>
    <m/>
    <m/>
    <m/>
    <m/>
    <m/>
    <m/>
    <m/>
    <m/>
    <m/>
    <m/>
  </r>
  <r>
    <x v="17"/>
    <n v="42623"/>
    <x v="18"/>
    <x v="1"/>
    <x v="75"/>
    <n v="1.07"/>
    <x v="12"/>
    <x v="2"/>
    <m/>
    <m/>
    <m/>
    <m/>
    <m/>
    <m/>
    <m/>
    <m/>
    <m/>
    <m/>
  </r>
  <r>
    <x v="7"/>
    <n v="82913"/>
    <x v="9"/>
    <x v="3"/>
    <x v="34"/>
    <n v="0.86"/>
    <x v="54"/>
    <x v="1"/>
    <m/>
    <m/>
    <m/>
    <m/>
    <m/>
    <m/>
    <m/>
    <m/>
    <m/>
    <m/>
  </r>
  <r>
    <x v="11"/>
    <n v="39159"/>
    <x v="21"/>
    <x v="0"/>
    <x v="85"/>
    <n v="1.21"/>
    <x v="46"/>
    <x v="2"/>
    <m/>
    <m/>
    <m/>
    <m/>
    <m/>
    <m/>
    <m/>
    <m/>
    <m/>
    <m/>
  </r>
  <r>
    <x v="14"/>
    <n v="70294"/>
    <x v="28"/>
    <x v="1"/>
    <x v="72"/>
    <n v="0.63"/>
    <x v="89"/>
    <x v="0"/>
    <m/>
    <m/>
    <m/>
    <m/>
    <m/>
    <m/>
    <m/>
    <m/>
    <m/>
    <m/>
  </r>
  <r>
    <x v="5"/>
    <n v="110381"/>
    <x v="10"/>
    <x v="3"/>
    <x v="89"/>
    <n v="0.84"/>
    <x v="75"/>
    <x v="1"/>
    <m/>
    <m/>
    <m/>
    <m/>
    <m/>
    <m/>
    <m/>
    <m/>
    <m/>
    <m/>
  </r>
  <r>
    <x v="16"/>
    <n v="142488"/>
    <x v="21"/>
    <x v="1"/>
    <x v="35"/>
    <n v="0.8"/>
    <x v="62"/>
    <x v="0"/>
    <m/>
    <m/>
    <m/>
    <m/>
    <m/>
    <m/>
    <m/>
    <m/>
    <m/>
    <m/>
  </r>
  <r>
    <x v="10"/>
    <n v="35749"/>
    <x v="19"/>
    <x v="2"/>
    <x v="1"/>
    <n v="0.68"/>
    <x v="71"/>
    <x v="2"/>
    <m/>
    <m/>
    <m/>
    <m/>
    <m/>
    <m/>
    <m/>
    <m/>
    <m/>
    <m/>
  </r>
  <r>
    <x v="16"/>
    <n v="81833"/>
    <x v="7"/>
    <x v="1"/>
    <x v="74"/>
    <n v="1.38"/>
    <x v="81"/>
    <x v="0"/>
    <m/>
    <m/>
    <m/>
    <m/>
    <m/>
    <m/>
    <m/>
    <m/>
    <m/>
    <m/>
  </r>
  <r>
    <x v="4"/>
    <n v="52703"/>
    <x v="8"/>
    <x v="0"/>
    <x v="34"/>
    <n v="1.39"/>
    <x v="87"/>
    <x v="2"/>
    <m/>
    <m/>
    <m/>
    <m/>
    <m/>
    <m/>
    <m/>
    <m/>
    <m/>
    <m/>
  </r>
  <r>
    <x v="15"/>
    <n v="76554"/>
    <x v="13"/>
    <x v="2"/>
    <x v="39"/>
    <n v="1.0900000000000001"/>
    <x v="85"/>
    <x v="1"/>
    <m/>
    <m/>
    <m/>
    <m/>
    <m/>
    <m/>
    <m/>
    <m/>
    <m/>
    <m/>
  </r>
  <r>
    <x v="2"/>
    <n v="67648"/>
    <x v="15"/>
    <x v="2"/>
    <x v="14"/>
    <n v="1.1100000000000001"/>
    <x v="62"/>
    <x v="0"/>
    <m/>
    <m/>
    <m/>
    <m/>
    <m/>
    <m/>
    <m/>
    <m/>
    <m/>
    <m/>
  </r>
  <r>
    <x v="14"/>
    <n v="135718"/>
    <x v="21"/>
    <x v="3"/>
    <x v="30"/>
    <n v="0.74"/>
    <x v="51"/>
    <x v="0"/>
    <m/>
    <m/>
    <m/>
    <m/>
    <m/>
    <m/>
    <m/>
    <m/>
    <m/>
    <m/>
  </r>
  <r>
    <x v="14"/>
    <n v="53876"/>
    <x v="17"/>
    <x v="1"/>
    <x v="68"/>
    <n v="0.72"/>
    <x v="62"/>
    <x v="0"/>
    <m/>
    <m/>
    <m/>
    <m/>
    <m/>
    <m/>
    <m/>
    <m/>
    <m/>
    <m/>
  </r>
  <r>
    <x v="19"/>
    <n v="56513"/>
    <x v="5"/>
    <x v="1"/>
    <x v="48"/>
    <n v="0.57999999999999996"/>
    <x v="20"/>
    <x v="2"/>
    <m/>
    <m/>
    <m/>
    <m/>
    <m/>
    <m/>
    <m/>
    <m/>
    <m/>
    <m/>
  </r>
  <r>
    <x v="11"/>
    <n v="125564"/>
    <x v="13"/>
    <x v="0"/>
    <x v="45"/>
    <n v="1"/>
    <x v="20"/>
    <x v="2"/>
    <m/>
    <m/>
    <m/>
    <m/>
    <m/>
    <m/>
    <m/>
    <m/>
    <m/>
    <m/>
  </r>
  <r>
    <x v="16"/>
    <n v="65253"/>
    <x v="4"/>
    <x v="2"/>
    <x v="10"/>
    <n v="1.33"/>
    <x v="40"/>
    <x v="0"/>
    <m/>
    <m/>
    <m/>
    <m/>
    <m/>
    <m/>
    <m/>
    <m/>
    <m/>
    <m/>
  </r>
  <r>
    <x v="3"/>
    <n v="138482"/>
    <x v="6"/>
    <x v="3"/>
    <x v="10"/>
    <n v="0.9"/>
    <x v="65"/>
    <x v="2"/>
    <m/>
    <m/>
    <m/>
    <m/>
    <m/>
    <m/>
    <m/>
    <m/>
    <m/>
    <m/>
  </r>
  <r>
    <x v="15"/>
    <n v="143169"/>
    <x v="24"/>
    <x v="3"/>
    <x v="57"/>
    <n v="0.7"/>
    <x v="7"/>
    <x v="1"/>
    <m/>
    <m/>
    <m/>
    <m/>
    <m/>
    <m/>
    <m/>
    <m/>
    <m/>
    <m/>
  </r>
  <r>
    <x v="6"/>
    <n v="89816"/>
    <x v="28"/>
    <x v="0"/>
    <x v="59"/>
    <n v="1.49"/>
    <x v="23"/>
    <x v="2"/>
    <m/>
    <m/>
    <m/>
    <m/>
    <m/>
    <m/>
    <m/>
    <m/>
    <m/>
    <m/>
  </r>
  <r>
    <x v="2"/>
    <n v="71729"/>
    <x v="5"/>
    <x v="3"/>
    <x v="41"/>
    <n v="1.22"/>
    <x v="62"/>
    <x v="0"/>
    <m/>
    <m/>
    <m/>
    <m/>
    <m/>
    <m/>
    <m/>
    <m/>
    <m/>
    <m/>
  </r>
  <r>
    <x v="5"/>
    <n v="90924"/>
    <x v="5"/>
    <x v="1"/>
    <x v="76"/>
    <n v="0.84"/>
    <x v="74"/>
    <x v="1"/>
    <m/>
    <m/>
    <m/>
    <m/>
    <m/>
    <m/>
    <m/>
    <m/>
    <m/>
    <m/>
  </r>
  <r>
    <x v="6"/>
    <n v="135963"/>
    <x v="6"/>
    <x v="1"/>
    <x v="9"/>
    <n v="0.76"/>
    <x v="36"/>
    <x v="2"/>
    <m/>
    <m/>
    <m/>
    <m/>
    <m/>
    <m/>
    <m/>
    <m/>
    <m/>
    <m/>
  </r>
  <r>
    <x v="19"/>
    <n v="46294"/>
    <x v="21"/>
    <x v="0"/>
    <x v="12"/>
    <n v="0.55000000000000004"/>
    <x v="30"/>
    <x v="2"/>
    <m/>
    <m/>
    <m/>
    <m/>
    <m/>
    <m/>
    <m/>
    <m/>
    <m/>
    <m/>
  </r>
  <r>
    <x v="3"/>
    <n v="34383"/>
    <x v="19"/>
    <x v="0"/>
    <x v="10"/>
    <n v="0.86"/>
    <x v="53"/>
    <x v="2"/>
    <m/>
    <m/>
    <m/>
    <m/>
    <m/>
    <m/>
    <m/>
    <m/>
    <m/>
    <m/>
  </r>
  <r>
    <x v="15"/>
    <n v="93742"/>
    <x v="17"/>
    <x v="3"/>
    <x v="47"/>
    <n v="0.91"/>
    <x v="70"/>
    <x v="1"/>
    <m/>
    <m/>
    <m/>
    <m/>
    <m/>
    <m/>
    <m/>
    <m/>
    <m/>
    <m/>
  </r>
  <r>
    <x v="14"/>
    <n v="82210"/>
    <x v="18"/>
    <x v="1"/>
    <x v="44"/>
    <n v="1.1599999999999999"/>
    <x v="76"/>
    <x v="0"/>
    <m/>
    <m/>
    <m/>
    <m/>
    <m/>
    <m/>
    <m/>
    <m/>
    <m/>
    <m/>
  </r>
  <r>
    <x v="0"/>
    <n v="55281"/>
    <x v="15"/>
    <x v="1"/>
    <x v="25"/>
    <n v="0.79"/>
    <x v="32"/>
    <x v="0"/>
    <m/>
    <m/>
    <m/>
    <m/>
    <m/>
    <m/>
    <m/>
    <m/>
    <m/>
    <m/>
  </r>
  <r>
    <x v="7"/>
    <n v="35143"/>
    <x v="26"/>
    <x v="2"/>
    <x v="32"/>
    <n v="0.99"/>
    <x v="82"/>
    <x v="1"/>
    <m/>
    <m/>
    <m/>
    <m/>
    <m/>
    <m/>
    <m/>
    <m/>
    <m/>
    <m/>
  </r>
  <r>
    <x v="19"/>
    <n v="67404"/>
    <x v="25"/>
    <x v="0"/>
    <x v="84"/>
    <n v="0.52"/>
    <x v="71"/>
    <x v="2"/>
    <m/>
    <m/>
    <m/>
    <m/>
    <m/>
    <m/>
    <m/>
    <m/>
    <m/>
    <m/>
  </r>
  <r>
    <x v="5"/>
    <n v="83568"/>
    <x v="19"/>
    <x v="1"/>
    <x v="95"/>
    <n v="1.1499999999999999"/>
    <x v="63"/>
    <x v="1"/>
    <m/>
    <m/>
    <m/>
    <m/>
    <m/>
    <m/>
    <m/>
    <m/>
    <m/>
    <m/>
  </r>
  <r>
    <x v="0"/>
    <n v="134534"/>
    <x v="14"/>
    <x v="1"/>
    <x v="73"/>
    <n v="1.1000000000000001"/>
    <x v="9"/>
    <x v="0"/>
    <m/>
    <m/>
    <m/>
    <m/>
    <m/>
    <m/>
    <m/>
    <m/>
    <m/>
    <m/>
  </r>
  <r>
    <x v="9"/>
    <n v="37120"/>
    <x v="1"/>
    <x v="2"/>
    <x v="53"/>
    <n v="1.18"/>
    <x v="28"/>
    <x v="0"/>
    <m/>
    <m/>
    <m/>
    <m/>
    <m/>
    <m/>
    <m/>
    <m/>
    <m/>
    <m/>
  </r>
  <r>
    <x v="17"/>
    <n v="140931"/>
    <x v="16"/>
    <x v="0"/>
    <x v="63"/>
    <n v="1.45"/>
    <x v="43"/>
    <x v="2"/>
    <m/>
    <m/>
    <m/>
    <m/>
    <m/>
    <m/>
    <m/>
    <m/>
    <m/>
    <m/>
  </r>
  <r>
    <x v="17"/>
    <n v="68191"/>
    <x v="16"/>
    <x v="2"/>
    <x v="61"/>
    <n v="0.93"/>
    <x v="10"/>
    <x v="2"/>
    <m/>
    <m/>
    <m/>
    <m/>
    <m/>
    <m/>
    <m/>
    <m/>
    <m/>
    <m/>
  </r>
  <r>
    <x v="11"/>
    <n v="58453"/>
    <x v="14"/>
    <x v="3"/>
    <x v="90"/>
    <n v="1.24"/>
    <x v="45"/>
    <x v="2"/>
    <m/>
    <m/>
    <m/>
    <m/>
    <m/>
    <m/>
    <m/>
    <m/>
    <m/>
    <m/>
  </r>
  <r>
    <x v="10"/>
    <n v="114815"/>
    <x v="13"/>
    <x v="1"/>
    <x v="98"/>
    <n v="0.72"/>
    <x v="78"/>
    <x v="2"/>
    <m/>
    <m/>
    <m/>
    <m/>
    <m/>
    <m/>
    <m/>
    <m/>
    <m/>
    <m/>
  </r>
  <r>
    <x v="8"/>
    <n v="122562"/>
    <x v="17"/>
    <x v="2"/>
    <x v="73"/>
    <n v="1.1399999999999999"/>
    <x v="31"/>
    <x v="2"/>
    <m/>
    <m/>
    <m/>
    <m/>
    <m/>
    <m/>
    <m/>
    <m/>
    <m/>
    <m/>
  </r>
  <r>
    <x v="9"/>
    <n v="145427"/>
    <x v="16"/>
    <x v="0"/>
    <x v="70"/>
    <n v="0.77"/>
    <x v="90"/>
    <x v="0"/>
    <m/>
    <m/>
    <m/>
    <m/>
    <m/>
    <m/>
    <m/>
    <m/>
    <m/>
    <m/>
  </r>
  <r>
    <x v="9"/>
    <n v="142113"/>
    <x v="5"/>
    <x v="3"/>
    <x v="41"/>
    <n v="0.87"/>
    <x v="0"/>
    <x v="0"/>
    <m/>
    <m/>
    <m/>
    <m/>
    <m/>
    <m/>
    <m/>
    <m/>
    <m/>
    <m/>
  </r>
  <r>
    <x v="16"/>
    <n v="111912"/>
    <x v="26"/>
    <x v="1"/>
    <x v="97"/>
    <n v="0.96"/>
    <x v="83"/>
    <x v="0"/>
    <m/>
    <m/>
    <m/>
    <m/>
    <m/>
    <m/>
    <m/>
    <m/>
    <m/>
    <m/>
  </r>
  <r>
    <x v="14"/>
    <n v="33390"/>
    <x v="29"/>
    <x v="3"/>
    <x v="80"/>
    <n v="1.32"/>
    <x v="24"/>
    <x v="0"/>
    <m/>
    <m/>
    <m/>
    <m/>
    <m/>
    <m/>
    <m/>
    <m/>
    <m/>
    <m/>
  </r>
  <r>
    <x v="11"/>
    <n v="100174"/>
    <x v="1"/>
    <x v="1"/>
    <x v="60"/>
    <n v="0.54"/>
    <x v="31"/>
    <x v="2"/>
    <m/>
    <m/>
    <m/>
    <m/>
    <m/>
    <m/>
    <m/>
    <m/>
    <m/>
    <m/>
  </r>
  <r>
    <x v="19"/>
    <n v="42225"/>
    <x v="9"/>
    <x v="1"/>
    <x v="23"/>
    <n v="1.35"/>
    <x v="71"/>
    <x v="2"/>
    <m/>
    <m/>
    <m/>
    <m/>
    <m/>
    <m/>
    <m/>
    <m/>
    <m/>
    <m/>
  </r>
  <r>
    <x v="16"/>
    <n v="62864"/>
    <x v="12"/>
    <x v="0"/>
    <x v="43"/>
    <n v="0.93"/>
    <x v="24"/>
    <x v="0"/>
    <m/>
    <m/>
    <m/>
    <m/>
    <m/>
    <m/>
    <m/>
    <m/>
    <m/>
    <m/>
  </r>
  <r>
    <x v="5"/>
    <n v="102135"/>
    <x v="13"/>
    <x v="0"/>
    <x v="100"/>
    <n v="0.65"/>
    <x v="27"/>
    <x v="1"/>
    <m/>
    <m/>
    <m/>
    <m/>
    <m/>
    <m/>
    <m/>
    <m/>
    <m/>
    <m/>
  </r>
  <r>
    <x v="15"/>
    <n v="120061"/>
    <x v="27"/>
    <x v="3"/>
    <x v="19"/>
    <n v="0.84"/>
    <x v="54"/>
    <x v="1"/>
    <m/>
    <m/>
    <m/>
    <m/>
    <m/>
    <m/>
    <m/>
    <m/>
    <m/>
    <m/>
  </r>
  <r>
    <x v="9"/>
    <n v="84879"/>
    <x v="23"/>
    <x v="2"/>
    <x v="42"/>
    <n v="1.25"/>
    <x v="2"/>
    <x v="0"/>
    <m/>
    <m/>
    <m/>
    <m/>
    <m/>
    <m/>
    <m/>
    <m/>
    <m/>
    <m/>
  </r>
  <r>
    <x v="17"/>
    <n v="105342"/>
    <x v="4"/>
    <x v="3"/>
    <x v="100"/>
    <n v="1.37"/>
    <x v="30"/>
    <x v="2"/>
    <m/>
    <m/>
    <m/>
    <m/>
    <m/>
    <m/>
    <m/>
    <m/>
    <m/>
    <m/>
  </r>
  <r>
    <x v="8"/>
    <n v="115424"/>
    <x v="9"/>
    <x v="1"/>
    <x v="71"/>
    <n v="0.51"/>
    <x v="55"/>
    <x v="2"/>
    <m/>
    <m/>
    <m/>
    <m/>
    <m/>
    <m/>
    <m/>
    <m/>
    <m/>
    <m/>
  </r>
  <r>
    <x v="0"/>
    <n v="75381"/>
    <x v="7"/>
    <x v="3"/>
    <x v="39"/>
    <n v="1.39"/>
    <x v="56"/>
    <x v="0"/>
    <m/>
    <m/>
    <m/>
    <m/>
    <m/>
    <m/>
    <m/>
    <m/>
    <m/>
    <m/>
  </r>
  <r>
    <x v="4"/>
    <n v="112146"/>
    <x v="6"/>
    <x v="1"/>
    <x v="56"/>
    <n v="1.1599999999999999"/>
    <x v="23"/>
    <x v="2"/>
    <m/>
    <m/>
    <m/>
    <m/>
    <m/>
    <m/>
    <m/>
    <m/>
    <m/>
    <m/>
  </r>
  <r>
    <x v="19"/>
    <n v="61973"/>
    <x v="5"/>
    <x v="2"/>
    <x v="100"/>
    <n v="0.77"/>
    <x v="79"/>
    <x v="2"/>
    <m/>
    <m/>
    <m/>
    <m/>
    <m/>
    <m/>
    <m/>
    <m/>
    <m/>
    <m/>
  </r>
  <r>
    <x v="3"/>
    <n v="147442"/>
    <x v="28"/>
    <x v="1"/>
    <x v="93"/>
    <n v="1.22"/>
    <x v="65"/>
    <x v="2"/>
    <m/>
    <m/>
    <m/>
    <m/>
    <m/>
    <m/>
    <m/>
    <m/>
    <m/>
    <m/>
  </r>
  <r>
    <x v="15"/>
    <n v="73904"/>
    <x v="2"/>
    <x v="3"/>
    <x v="73"/>
    <n v="0.71"/>
    <x v="42"/>
    <x v="1"/>
    <m/>
    <m/>
    <m/>
    <m/>
    <m/>
    <m/>
    <m/>
    <m/>
    <m/>
    <m/>
  </r>
  <r>
    <x v="10"/>
    <n v="131937"/>
    <x v="19"/>
    <x v="3"/>
    <x v="31"/>
    <n v="0.7"/>
    <x v="87"/>
    <x v="2"/>
    <m/>
    <m/>
    <m/>
    <m/>
    <m/>
    <m/>
    <m/>
    <m/>
    <m/>
    <m/>
  </r>
  <r>
    <x v="13"/>
    <n v="122928"/>
    <x v="6"/>
    <x v="0"/>
    <x v="10"/>
    <n v="0.91"/>
    <x v="79"/>
    <x v="2"/>
    <m/>
    <m/>
    <m/>
    <m/>
    <m/>
    <m/>
    <m/>
    <m/>
    <m/>
    <m/>
  </r>
  <r>
    <x v="4"/>
    <n v="133120"/>
    <x v="15"/>
    <x v="2"/>
    <x v="80"/>
    <n v="1.17"/>
    <x v="71"/>
    <x v="2"/>
    <m/>
    <m/>
    <m/>
    <m/>
    <m/>
    <m/>
    <m/>
    <m/>
    <m/>
    <m/>
  </r>
  <r>
    <x v="12"/>
    <n v="33796"/>
    <x v="22"/>
    <x v="2"/>
    <x v="70"/>
    <n v="1.23"/>
    <x v="86"/>
    <x v="2"/>
    <m/>
    <m/>
    <m/>
    <m/>
    <m/>
    <m/>
    <m/>
    <m/>
    <m/>
    <m/>
  </r>
  <r>
    <x v="11"/>
    <n v="92058"/>
    <x v="14"/>
    <x v="1"/>
    <x v="18"/>
    <n v="0.76"/>
    <x v="12"/>
    <x v="2"/>
    <m/>
    <m/>
    <m/>
    <m/>
    <m/>
    <m/>
    <m/>
    <m/>
    <m/>
    <m/>
  </r>
  <r>
    <x v="13"/>
    <n v="46005"/>
    <x v="0"/>
    <x v="3"/>
    <x v="48"/>
    <n v="1.31"/>
    <x v="68"/>
    <x v="2"/>
    <m/>
    <m/>
    <m/>
    <m/>
    <m/>
    <m/>
    <m/>
    <m/>
    <m/>
    <m/>
  </r>
  <r>
    <x v="0"/>
    <n v="63445"/>
    <x v="29"/>
    <x v="1"/>
    <x v="4"/>
    <n v="0.89"/>
    <x v="81"/>
    <x v="0"/>
    <m/>
    <m/>
    <m/>
    <m/>
    <m/>
    <m/>
    <m/>
    <m/>
    <m/>
    <m/>
  </r>
  <r>
    <x v="12"/>
    <n v="50377"/>
    <x v="24"/>
    <x v="0"/>
    <x v="39"/>
    <n v="1.2"/>
    <x v="71"/>
    <x v="2"/>
    <m/>
    <m/>
    <m/>
    <m/>
    <m/>
    <m/>
    <m/>
    <m/>
    <m/>
    <m/>
  </r>
  <r>
    <x v="14"/>
    <n v="88851"/>
    <x v="24"/>
    <x v="3"/>
    <x v="60"/>
    <n v="1"/>
    <x v="28"/>
    <x v="0"/>
    <m/>
    <m/>
    <m/>
    <m/>
    <m/>
    <m/>
    <m/>
    <m/>
    <m/>
    <m/>
  </r>
  <r>
    <x v="5"/>
    <n v="94127"/>
    <x v="3"/>
    <x v="0"/>
    <x v="0"/>
    <n v="0.92"/>
    <x v="70"/>
    <x v="1"/>
    <m/>
    <m/>
    <m/>
    <m/>
    <m/>
    <m/>
    <m/>
    <m/>
    <m/>
    <m/>
  </r>
  <r>
    <x v="13"/>
    <n v="36703"/>
    <x v="5"/>
    <x v="2"/>
    <x v="29"/>
    <n v="1.24"/>
    <x v="66"/>
    <x v="2"/>
    <m/>
    <m/>
    <m/>
    <m/>
    <m/>
    <m/>
    <m/>
    <m/>
    <m/>
    <m/>
  </r>
  <r>
    <x v="1"/>
    <n v="120027"/>
    <x v="20"/>
    <x v="0"/>
    <x v="85"/>
    <n v="1.07"/>
    <x v="42"/>
    <x v="1"/>
    <m/>
    <m/>
    <m/>
    <m/>
    <m/>
    <m/>
    <m/>
    <m/>
    <m/>
    <m/>
  </r>
  <r>
    <x v="3"/>
    <n v="36384"/>
    <x v="3"/>
    <x v="1"/>
    <x v="100"/>
    <n v="0.56999999999999995"/>
    <x v="36"/>
    <x v="2"/>
    <m/>
    <m/>
    <m/>
    <m/>
    <m/>
    <m/>
    <m/>
    <m/>
    <m/>
    <m/>
  </r>
  <r>
    <x v="17"/>
    <n v="41460"/>
    <x v="12"/>
    <x v="2"/>
    <x v="41"/>
    <n v="1.46"/>
    <x v="38"/>
    <x v="2"/>
    <m/>
    <m/>
    <m/>
    <m/>
    <m/>
    <m/>
    <m/>
    <m/>
    <m/>
    <m/>
  </r>
  <r>
    <x v="3"/>
    <n v="87803"/>
    <x v="14"/>
    <x v="2"/>
    <x v="14"/>
    <n v="0.92"/>
    <x v="14"/>
    <x v="2"/>
    <m/>
    <m/>
    <m/>
    <m/>
    <m/>
    <m/>
    <m/>
    <m/>
    <m/>
    <m/>
  </r>
  <r>
    <x v="15"/>
    <n v="46482"/>
    <x v="14"/>
    <x v="1"/>
    <x v="60"/>
    <n v="1.43"/>
    <x v="63"/>
    <x v="1"/>
    <m/>
    <m/>
    <m/>
    <m/>
    <m/>
    <m/>
    <m/>
    <m/>
    <m/>
    <m/>
  </r>
  <r>
    <x v="9"/>
    <n v="73307"/>
    <x v="1"/>
    <x v="1"/>
    <x v="40"/>
    <n v="0.78"/>
    <x v="0"/>
    <x v="0"/>
    <m/>
    <m/>
    <m/>
    <m/>
    <m/>
    <m/>
    <m/>
    <m/>
    <m/>
    <m/>
  </r>
  <r>
    <x v="13"/>
    <n v="37505"/>
    <x v="9"/>
    <x v="1"/>
    <x v="96"/>
    <n v="1.34"/>
    <x v="48"/>
    <x v="2"/>
    <m/>
    <m/>
    <m/>
    <m/>
    <m/>
    <m/>
    <m/>
    <m/>
    <m/>
    <m/>
  </r>
  <r>
    <x v="9"/>
    <n v="57205"/>
    <x v="26"/>
    <x v="1"/>
    <x v="6"/>
    <n v="1.46"/>
    <x v="62"/>
    <x v="0"/>
    <m/>
    <m/>
    <m/>
    <m/>
    <m/>
    <m/>
    <m/>
    <m/>
    <m/>
    <m/>
  </r>
  <r>
    <x v="10"/>
    <n v="82025"/>
    <x v="26"/>
    <x v="1"/>
    <x v="58"/>
    <n v="0.98"/>
    <x v="26"/>
    <x v="2"/>
    <m/>
    <m/>
    <m/>
    <m/>
    <m/>
    <m/>
    <m/>
    <m/>
    <m/>
    <m/>
  </r>
  <r>
    <x v="11"/>
    <n v="121676"/>
    <x v="20"/>
    <x v="0"/>
    <x v="78"/>
    <n v="0.57999999999999996"/>
    <x v="43"/>
    <x v="2"/>
    <m/>
    <m/>
    <m/>
    <m/>
    <m/>
    <m/>
    <m/>
    <m/>
    <m/>
    <m/>
  </r>
  <r>
    <x v="0"/>
    <n v="145614"/>
    <x v="0"/>
    <x v="2"/>
    <x v="29"/>
    <n v="0.82"/>
    <x v="28"/>
    <x v="0"/>
    <m/>
    <m/>
    <m/>
    <m/>
    <m/>
    <m/>
    <m/>
    <m/>
    <m/>
    <m/>
  </r>
  <r>
    <x v="14"/>
    <n v="124362"/>
    <x v="14"/>
    <x v="2"/>
    <x v="46"/>
    <n v="1.33"/>
    <x v="81"/>
    <x v="0"/>
    <m/>
    <m/>
    <m/>
    <m/>
    <m/>
    <m/>
    <m/>
    <m/>
    <m/>
    <m/>
  </r>
  <r>
    <x v="4"/>
    <n v="133132"/>
    <x v="7"/>
    <x v="3"/>
    <x v="31"/>
    <n v="1.18"/>
    <x v="30"/>
    <x v="2"/>
    <m/>
    <m/>
    <m/>
    <m/>
    <m/>
    <m/>
    <m/>
    <m/>
    <m/>
    <m/>
  </r>
  <r>
    <x v="16"/>
    <n v="133601"/>
    <x v="10"/>
    <x v="0"/>
    <x v="8"/>
    <n v="0.63"/>
    <x v="17"/>
    <x v="0"/>
    <m/>
    <m/>
    <m/>
    <m/>
    <m/>
    <m/>
    <m/>
    <m/>
    <m/>
    <m/>
  </r>
  <r>
    <x v="4"/>
    <n v="32894"/>
    <x v="23"/>
    <x v="3"/>
    <x v="32"/>
    <n v="0.79"/>
    <x v="48"/>
    <x v="2"/>
    <m/>
    <m/>
    <m/>
    <m/>
    <m/>
    <m/>
    <m/>
    <m/>
    <m/>
    <m/>
  </r>
  <r>
    <x v="12"/>
    <n v="65714"/>
    <x v="5"/>
    <x v="2"/>
    <x v="22"/>
    <n v="0.69"/>
    <x v="12"/>
    <x v="2"/>
    <m/>
    <m/>
    <m/>
    <m/>
    <m/>
    <m/>
    <m/>
    <m/>
    <m/>
    <m/>
  </r>
  <r>
    <x v="19"/>
    <n v="110560"/>
    <x v="15"/>
    <x v="3"/>
    <x v="96"/>
    <n v="1.04"/>
    <x v="10"/>
    <x v="2"/>
    <m/>
    <m/>
    <m/>
    <m/>
    <m/>
    <m/>
    <m/>
    <m/>
    <m/>
    <m/>
  </r>
  <r>
    <x v="18"/>
    <n v="115236"/>
    <x v="6"/>
    <x v="2"/>
    <x v="91"/>
    <n v="0.95"/>
    <x v="1"/>
    <x v="1"/>
    <m/>
    <m/>
    <m/>
    <m/>
    <m/>
    <m/>
    <m/>
    <m/>
    <m/>
    <m/>
  </r>
  <r>
    <x v="16"/>
    <n v="36276"/>
    <x v="28"/>
    <x v="0"/>
    <x v="97"/>
    <n v="1.04"/>
    <x v="59"/>
    <x v="0"/>
    <m/>
    <m/>
    <m/>
    <m/>
    <m/>
    <m/>
    <m/>
    <m/>
    <m/>
    <m/>
  </r>
  <r>
    <x v="13"/>
    <n v="111779"/>
    <x v="4"/>
    <x v="3"/>
    <x v="28"/>
    <n v="0.94"/>
    <x v="50"/>
    <x v="2"/>
    <m/>
    <m/>
    <m/>
    <m/>
    <m/>
    <m/>
    <m/>
    <m/>
    <m/>
    <m/>
  </r>
  <r>
    <x v="3"/>
    <n v="44775"/>
    <x v="27"/>
    <x v="2"/>
    <x v="49"/>
    <n v="1.19"/>
    <x v="68"/>
    <x v="2"/>
    <m/>
    <m/>
    <m/>
    <m/>
    <m/>
    <m/>
    <m/>
    <m/>
    <m/>
    <m/>
  </r>
  <r>
    <x v="8"/>
    <n v="140564"/>
    <x v="4"/>
    <x v="3"/>
    <x v="48"/>
    <n v="0.7"/>
    <x v="55"/>
    <x v="2"/>
    <m/>
    <m/>
    <m/>
    <m/>
    <m/>
    <m/>
    <m/>
    <m/>
    <m/>
    <m/>
  </r>
  <r>
    <x v="2"/>
    <n v="108256"/>
    <x v="6"/>
    <x v="0"/>
    <x v="73"/>
    <n v="0.88"/>
    <x v="90"/>
    <x v="0"/>
    <m/>
    <m/>
    <m/>
    <m/>
    <m/>
    <m/>
    <m/>
    <m/>
    <m/>
    <m/>
  </r>
  <r>
    <x v="12"/>
    <n v="117377"/>
    <x v="14"/>
    <x v="3"/>
    <x v="27"/>
    <n v="0.9"/>
    <x v="8"/>
    <x v="2"/>
    <m/>
    <m/>
    <m/>
    <m/>
    <m/>
    <m/>
    <m/>
    <m/>
    <m/>
    <m/>
  </r>
  <r>
    <x v="0"/>
    <n v="39479"/>
    <x v="11"/>
    <x v="3"/>
    <x v="81"/>
    <n v="0.54"/>
    <x v="83"/>
    <x v="0"/>
    <m/>
    <m/>
    <m/>
    <m/>
    <m/>
    <m/>
    <m/>
    <m/>
    <m/>
    <m/>
  </r>
  <r>
    <x v="2"/>
    <n v="130003"/>
    <x v="11"/>
    <x v="2"/>
    <x v="96"/>
    <n v="0.79"/>
    <x v="76"/>
    <x v="0"/>
    <m/>
    <m/>
    <m/>
    <m/>
    <m/>
    <m/>
    <m/>
    <m/>
    <m/>
    <m/>
  </r>
  <r>
    <x v="3"/>
    <n v="128039"/>
    <x v="25"/>
    <x v="1"/>
    <x v="93"/>
    <n v="1.34"/>
    <x v="14"/>
    <x v="2"/>
    <m/>
    <m/>
    <m/>
    <m/>
    <m/>
    <m/>
    <m/>
    <m/>
    <m/>
    <m/>
  </r>
  <r>
    <x v="19"/>
    <n v="55563"/>
    <x v="23"/>
    <x v="3"/>
    <x v="92"/>
    <n v="1.41"/>
    <x v="20"/>
    <x v="2"/>
    <m/>
    <m/>
    <m/>
    <m/>
    <m/>
    <m/>
    <m/>
    <m/>
    <m/>
    <m/>
  </r>
  <r>
    <x v="6"/>
    <n v="57287"/>
    <x v="0"/>
    <x v="0"/>
    <x v="62"/>
    <n v="1.07"/>
    <x v="46"/>
    <x v="2"/>
    <m/>
    <m/>
    <m/>
    <m/>
    <m/>
    <m/>
    <m/>
    <m/>
    <m/>
    <m/>
  </r>
  <r>
    <x v="13"/>
    <n v="70103"/>
    <x v="22"/>
    <x v="1"/>
    <x v="85"/>
    <n v="1.28"/>
    <x v="4"/>
    <x v="2"/>
    <m/>
    <m/>
    <m/>
    <m/>
    <m/>
    <m/>
    <m/>
    <m/>
    <m/>
    <m/>
  </r>
  <r>
    <x v="15"/>
    <n v="126600"/>
    <x v="11"/>
    <x v="0"/>
    <x v="50"/>
    <n v="1.05"/>
    <x v="13"/>
    <x v="1"/>
    <m/>
    <m/>
    <m/>
    <m/>
    <m/>
    <m/>
    <m/>
    <m/>
    <m/>
    <m/>
  </r>
  <r>
    <x v="4"/>
    <n v="57217"/>
    <x v="28"/>
    <x v="0"/>
    <x v="55"/>
    <n v="1.1100000000000001"/>
    <x v="50"/>
    <x v="2"/>
    <m/>
    <m/>
    <m/>
    <m/>
    <m/>
    <m/>
    <m/>
    <m/>
    <m/>
    <m/>
  </r>
  <r>
    <x v="12"/>
    <n v="82216"/>
    <x v="4"/>
    <x v="3"/>
    <x v="28"/>
    <n v="1.19"/>
    <x v="30"/>
    <x v="2"/>
    <m/>
    <m/>
    <m/>
    <m/>
    <m/>
    <m/>
    <m/>
    <m/>
    <m/>
    <m/>
  </r>
  <r>
    <x v="7"/>
    <n v="147063"/>
    <x v="0"/>
    <x v="2"/>
    <x v="52"/>
    <n v="1.35"/>
    <x v="13"/>
    <x v="1"/>
    <m/>
    <m/>
    <m/>
    <m/>
    <m/>
    <m/>
    <m/>
    <m/>
    <m/>
    <m/>
  </r>
  <r>
    <x v="17"/>
    <n v="67631"/>
    <x v="20"/>
    <x v="0"/>
    <x v="49"/>
    <n v="0.99"/>
    <x v="86"/>
    <x v="2"/>
    <m/>
    <m/>
    <m/>
    <m/>
    <m/>
    <m/>
    <m/>
    <m/>
    <m/>
    <m/>
  </r>
  <r>
    <x v="2"/>
    <n v="116425"/>
    <x v="9"/>
    <x v="0"/>
    <x v="94"/>
    <n v="0.83"/>
    <x v="89"/>
    <x v="0"/>
    <m/>
    <m/>
    <m/>
    <m/>
    <m/>
    <m/>
    <m/>
    <m/>
    <m/>
    <m/>
  </r>
  <r>
    <x v="19"/>
    <n v="146598"/>
    <x v="28"/>
    <x v="0"/>
    <x v="98"/>
    <n v="1.17"/>
    <x v="4"/>
    <x v="2"/>
    <m/>
    <m/>
    <m/>
    <m/>
    <m/>
    <m/>
    <m/>
    <m/>
    <m/>
    <m/>
  </r>
  <r>
    <x v="12"/>
    <n v="45597"/>
    <x v="0"/>
    <x v="0"/>
    <x v="66"/>
    <n v="1.1599999999999999"/>
    <x v="4"/>
    <x v="2"/>
    <m/>
    <m/>
    <m/>
    <m/>
    <m/>
    <m/>
    <m/>
    <m/>
    <m/>
    <m/>
  </r>
  <r>
    <x v="3"/>
    <n v="119643"/>
    <x v="21"/>
    <x v="1"/>
    <x v="21"/>
    <n v="0.76"/>
    <x v="31"/>
    <x v="2"/>
    <m/>
    <m/>
    <m/>
    <m/>
    <m/>
    <m/>
    <m/>
    <m/>
    <m/>
    <m/>
  </r>
  <r>
    <x v="2"/>
    <n v="56108"/>
    <x v="0"/>
    <x v="2"/>
    <x v="66"/>
    <n v="0.89"/>
    <x v="39"/>
    <x v="0"/>
    <m/>
    <m/>
    <m/>
    <m/>
    <m/>
    <m/>
    <m/>
    <m/>
    <m/>
    <m/>
  </r>
  <r>
    <x v="12"/>
    <n v="40130"/>
    <x v="6"/>
    <x v="1"/>
    <x v="98"/>
    <n v="1.33"/>
    <x v="53"/>
    <x v="2"/>
    <m/>
    <m/>
    <m/>
    <m/>
    <m/>
    <m/>
    <m/>
    <m/>
    <m/>
    <m/>
  </r>
  <r>
    <x v="18"/>
    <n v="43077"/>
    <x v="22"/>
    <x v="2"/>
    <x v="5"/>
    <n v="0.78"/>
    <x v="19"/>
    <x v="1"/>
    <m/>
    <m/>
    <m/>
    <m/>
    <m/>
    <m/>
    <m/>
    <m/>
    <m/>
    <m/>
  </r>
  <r>
    <x v="13"/>
    <n v="38957"/>
    <x v="7"/>
    <x v="0"/>
    <x v="72"/>
    <n v="1.19"/>
    <x v="30"/>
    <x v="2"/>
    <m/>
    <m/>
    <m/>
    <m/>
    <m/>
    <m/>
    <m/>
    <m/>
    <m/>
    <m/>
  </r>
  <r>
    <x v="8"/>
    <n v="52989"/>
    <x v="1"/>
    <x v="1"/>
    <x v="1"/>
    <n v="0.91"/>
    <x v="64"/>
    <x v="2"/>
    <m/>
    <m/>
    <m/>
    <m/>
    <m/>
    <m/>
    <m/>
    <m/>
    <m/>
    <m/>
  </r>
  <r>
    <x v="19"/>
    <n v="70544"/>
    <x v="14"/>
    <x v="1"/>
    <x v="9"/>
    <n v="1.05"/>
    <x v="11"/>
    <x v="2"/>
    <m/>
    <m/>
    <m/>
    <m/>
    <m/>
    <m/>
    <m/>
    <m/>
    <m/>
    <m/>
  </r>
  <r>
    <x v="2"/>
    <n v="45580"/>
    <x v="21"/>
    <x v="2"/>
    <x v="63"/>
    <n v="0.74"/>
    <x v="76"/>
    <x v="0"/>
    <m/>
    <m/>
    <m/>
    <m/>
    <m/>
    <m/>
    <m/>
    <m/>
    <m/>
    <m/>
  </r>
  <r>
    <x v="10"/>
    <n v="110614"/>
    <x v="2"/>
    <x v="0"/>
    <x v="84"/>
    <n v="1.38"/>
    <x v="12"/>
    <x v="2"/>
    <m/>
    <m/>
    <m/>
    <m/>
    <m/>
    <m/>
    <m/>
    <m/>
    <m/>
    <m/>
  </r>
  <r>
    <x v="6"/>
    <n v="135953"/>
    <x v="13"/>
    <x v="2"/>
    <x v="25"/>
    <n v="1.1100000000000001"/>
    <x v="8"/>
    <x v="2"/>
    <m/>
    <m/>
    <m/>
    <m/>
    <m/>
    <m/>
    <m/>
    <m/>
    <m/>
    <m/>
  </r>
  <r>
    <x v="5"/>
    <n v="111687"/>
    <x v="20"/>
    <x v="2"/>
    <x v="24"/>
    <n v="1.17"/>
    <x v="42"/>
    <x v="1"/>
    <m/>
    <m/>
    <m/>
    <m/>
    <m/>
    <m/>
    <m/>
    <m/>
    <m/>
    <m/>
  </r>
  <r>
    <x v="8"/>
    <n v="147426"/>
    <x v="13"/>
    <x v="3"/>
    <x v="85"/>
    <n v="1.0900000000000001"/>
    <x v="78"/>
    <x v="2"/>
    <m/>
    <m/>
    <m/>
    <m/>
    <m/>
    <m/>
    <m/>
    <m/>
    <m/>
    <m/>
  </r>
  <r>
    <x v="12"/>
    <n v="92778"/>
    <x v="3"/>
    <x v="2"/>
    <x v="38"/>
    <n v="1.18"/>
    <x v="79"/>
    <x v="2"/>
    <m/>
    <m/>
    <m/>
    <m/>
    <m/>
    <m/>
    <m/>
    <m/>
    <m/>
    <m/>
  </r>
  <r>
    <x v="18"/>
    <n v="107863"/>
    <x v="13"/>
    <x v="1"/>
    <x v="39"/>
    <n v="0.98"/>
    <x v="21"/>
    <x v="1"/>
    <m/>
    <m/>
    <m/>
    <m/>
    <m/>
    <m/>
    <m/>
    <m/>
    <m/>
    <m/>
  </r>
  <r>
    <x v="8"/>
    <n v="73622"/>
    <x v="29"/>
    <x v="2"/>
    <x v="66"/>
    <n v="0.55000000000000004"/>
    <x v="8"/>
    <x v="2"/>
    <m/>
    <m/>
    <m/>
    <m/>
    <m/>
    <m/>
    <m/>
    <m/>
    <m/>
    <m/>
  </r>
  <r>
    <x v="2"/>
    <n v="119565"/>
    <x v="10"/>
    <x v="0"/>
    <x v="37"/>
    <n v="1.27"/>
    <x v="39"/>
    <x v="0"/>
    <m/>
    <m/>
    <m/>
    <m/>
    <m/>
    <m/>
    <m/>
    <m/>
    <m/>
    <m/>
  </r>
  <r>
    <x v="11"/>
    <n v="36944"/>
    <x v="12"/>
    <x v="0"/>
    <x v="39"/>
    <n v="0.52"/>
    <x v="43"/>
    <x v="2"/>
    <m/>
    <m/>
    <m/>
    <m/>
    <m/>
    <m/>
    <m/>
    <m/>
    <m/>
    <m/>
  </r>
  <r>
    <x v="5"/>
    <n v="36357"/>
    <x v="9"/>
    <x v="3"/>
    <x v="54"/>
    <n v="0.56999999999999995"/>
    <x v="42"/>
    <x v="1"/>
    <m/>
    <m/>
    <m/>
    <m/>
    <m/>
    <m/>
    <m/>
    <m/>
    <m/>
    <m/>
  </r>
  <r>
    <x v="0"/>
    <n v="130709"/>
    <x v="12"/>
    <x v="3"/>
    <x v="62"/>
    <n v="0.73"/>
    <x v="89"/>
    <x v="0"/>
    <m/>
    <m/>
    <m/>
    <m/>
    <m/>
    <m/>
    <m/>
    <m/>
    <m/>
    <m/>
  </r>
  <r>
    <x v="3"/>
    <n v="133134"/>
    <x v="23"/>
    <x v="2"/>
    <x v="90"/>
    <n v="1.1499999999999999"/>
    <x v="87"/>
    <x v="2"/>
    <m/>
    <m/>
    <m/>
    <m/>
    <m/>
    <m/>
    <m/>
    <m/>
    <m/>
    <m/>
  </r>
  <r>
    <x v="4"/>
    <n v="135383"/>
    <x v="12"/>
    <x v="0"/>
    <x v="3"/>
    <n v="0.54"/>
    <x v="50"/>
    <x v="2"/>
    <m/>
    <m/>
    <m/>
    <m/>
    <m/>
    <m/>
    <m/>
    <m/>
    <m/>
    <m/>
  </r>
  <r>
    <x v="16"/>
    <n v="58212"/>
    <x v="3"/>
    <x v="0"/>
    <x v="7"/>
    <n v="0.79"/>
    <x v="39"/>
    <x v="0"/>
    <m/>
    <m/>
    <m/>
    <m/>
    <m/>
    <m/>
    <m/>
    <m/>
    <m/>
    <m/>
  </r>
  <r>
    <x v="19"/>
    <n v="59210"/>
    <x v="15"/>
    <x v="3"/>
    <x v="0"/>
    <n v="1.1000000000000001"/>
    <x v="14"/>
    <x v="2"/>
    <m/>
    <m/>
    <m/>
    <m/>
    <m/>
    <m/>
    <m/>
    <m/>
    <m/>
    <m/>
  </r>
  <r>
    <x v="6"/>
    <n v="65630"/>
    <x v="8"/>
    <x v="0"/>
    <x v="48"/>
    <n v="0.89"/>
    <x v="3"/>
    <x v="2"/>
    <m/>
    <m/>
    <m/>
    <m/>
    <m/>
    <m/>
    <m/>
    <m/>
    <m/>
    <m/>
  </r>
  <r>
    <x v="8"/>
    <n v="127942"/>
    <x v="1"/>
    <x v="2"/>
    <x v="39"/>
    <n v="1.33"/>
    <x v="11"/>
    <x v="2"/>
    <m/>
    <m/>
    <m/>
    <m/>
    <m/>
    <m/>
    <m/>
    <m/>
    <m/>
    <m/>
  </r>
  <r>
    <x v="13"/>
    <n v="147050"/>
    <x v="28"/>
    <x v="2"/>
    <x v="59"/>
    <n v="1.24"/>
    <x v="6"/>
    <x v="2"/>
    <m/>
    <m/>
    <m/>
    <m/>
    <m/>
    <m/>
    <m/>
    <m/>
    <m/>
    <m/>
  </r>
  <r>
    <x v="3"/>
    <n v="100655"/>
    <x v="23"/>
    <x v="3"/>
    <x v="65"/>
    <n v="1.1499999999999999"/>
    <x v="6"/>
    <x v="2"/>
    <m/>
    <m/>
    <m/>
    <m/>
    <m/>
    <m/>
    <m/>
    <m/>
    <m/>
    <m/>
  </r>
  <r>
    <x v="3"/>
    <n v="52901"/>
    <x v="18"/>
    <x v="0"/>
    <x v="22"/>
    <n v="1.02"/>
    <x v="79"/>
    <x v="2"/>
    <m/>
    <m/>
    <m/>
    <m/>
    <m/>
    <m/>
    <m/>
    <m/>
    <m/>
    <m/>
  </r>
  <r>
    <x v="19"/>
    <n v="63144"/>
    <x v="19"/>
    <x v="1"/>
    <x v="79"/>
    <n v="0.81"/>
    <x v="84"/>
    <x v="2"/>
    <m/>
    <m/>
    <m/>
    <m/>
    <m/>
    <m/>
    <m/>
    <m/>
    <m/>
    <m/>
  </r>
  <r>
    <x v="3"/>
    <n v="44410"/>
    <x v="16"/>
    <x v="3"/>
    <x v="50"/>
    <n v="1.1499999999999999"/>
    <x v="50"/>
    <x v="2"/>
    <m/>
    <m/>
    <m/>
    <m/>
    <m/>
    <m/>
    <m/>
    <m/>
    <m/>
    <m/>
  </r>
  <r>
    <x v="6"/>
    <n v="43785"/>
    <x v="9"/>
    <x v="0"/>
    <x v="38"/>
    <n v="0.5"/>
    <x v="66"/>
    <x v="2"/>
    <m/>
    <m/>
    <m/>
    <m/>
    <m/>
    <m/>
    <m/>
    <m/>
    <m/>
    <m/>
  </r>
  <r>
    <x v="0"/>
    <n v="90037"/>
    <x v="5"/>
    <x v="3"/>
    <x v="6"/>
    <n v="1.48"/>
    <x v="77"/>
    <x v="0"/>
    <m/>
    <m/>
    <m/>
    <m/>
    <m/>
    <m/>
    <m/>
    <m/>
    <m/>
    <m/>
  </r>
  <r>
    <x v="11"/>
    <n v="132424"/>
    <x v="22"/>
    <x v="1"/>
    <x v="73"/>
    <n v="1.0900000000000001"/>
    <x v="3"/>
    <x v="2"/>
    <m/>
    <m/>
    <m/>
    <m/>
    <m/>
    <m/>
    <m/>
    <m/>
    <m/>
    <m/>
  </r>
  <r>
    <x v="14"/>
    <n v="118400"/>
    <x v="7"/>
    <x v="2"/>
    <x v="29"/>
    <n v="1.35"/>
    <x v="9"/>
    <x v="0"/>
    <m/>
    <m/>
    <m/>
    <m/>
    <m/>
    <m/>
    <m/>
    <m/>
    <m/>
    <m/>
  </r>
  <r>
    <x v="1"/>
    <n v="41151"/>
    <x v="4"/>
    <x v="2"/>
    <x v="95"/>
    <n v="0.98"/>
    <x v="61"/>
    <x v="1"/>
    <m/>
    <m/>
    <m/>
    <m/>
    <m/>
    <m/>
    <m/>
    <m/>
    <m/>
    <m/>
  </r>
  <r>
    <x v="6"/>
    <n v="56257"/>
    <x v="21"/>
    <x v="3"/>
    <x v="14"/>
    <n v="1.04"/>
    <x v="64"/>
    <x v="2"/>
    <m/>
    <m/>
    <m/>
    <m/>
    <m/>
    <m/>
    <m/>
    <m/>
    <m/>
    <m/>
  </r>
  <r>
    <x v="18"/>
    <n v="136933"/>
    <x v="28"/>
    <x v="3"/>
    <x v="37"/>
    <n v="0.97"/>
    <x v="21"/>
    <x v="1"/>
    <m/>
    <m/>
    <m/>
    <m/>
    <m/>
    <m/>
    <m/>
    <m/>
    <m/>
    <m/>
  </r>
  <r>
    <x v="11"/>
    <n v="50705"/>
    <x v="12"/>
    <x v="1"/>
    <x v="31"/>
    <n v="1.32"/>
    <x v="38"/>
    <x v="2"/>
    <m/>
    <m/>
    <m/>
    <m/>
    <m/>
    <m/>
    <m/>
    <m/>
    <m/>
    <m/>
  </r>
  <r>
    <x v="13"/>
    <n v="123064"/>
    <x v="10"/>
    <x v="1"/>
    <x v="28"/>
    <n v="1.33"/>
    <x v="50"/>
    <x v="2"/>
    <m/>
    <m/>
    <m/>
    <m/>
    <m/>
    <m/>
    <m/>
    <m/>
    <m/>
    <m/>
  </r>
  <r>
    <x v="11"/>
    <n v="77089"/>
    <x v="19"/>
    <x v="3"/>
    <x v="100"/>
    <n v="1.07"/>
    <x v="53"/>
    <x v="2"/>
    <m/>
    <m/>
    <m/>
    <m/>
    <m/>
    <m/>
    <m/>
    <m/>
    <m/>
    <m/>
  </r>
  <r>
    <x v="4"/>
    <n v="76978"/>
    <x v="16"/>
    <x v="2"/>
    <x v="40"/>
    <n v="1.34"/>
    <x v="14"/>
    <x v="2"/>
    <m/>
    <m/>
    <m/>
    <m/>
    <m/>
    <m/>
    <m/>
    <m/>
    <m/>
    <m/>
  </r>
  <r>
    <x v="13"/>
    <n v="62235"/>
    <x v="22"/>
    <x v="3"/>
    <x v="88"/>
    <n v="1.1299999999999999"/>
    <x v="22"/>
    <x v="2"/>
    <m/>
    <m/>
    <m/>
    <m/>
    <m/>
    <m/>
    <m/>
    <m/>
    <m/>
    <m/>
  </r>
  <r>
    <x v="15"/>
    <n v="43739"/>
    <x v="25"/>
    <x v="1"/>
    <x v="56"/>
    <n v="0.69"/>
    <x v="41"/>
    <x v="1"/>
    <m/>
    <m/>
    <m/>
    <m/>
    <m/>
    <m/>
    <m/>
    <m/>
    <m/>
    <m/>
  </r>
  <r>
    <x v="13"/>
    <n v="96321"/>
    <x v="2"/>
    <x v="3"/>
    <x v="46"/>
    <n v="0.71"/>
    <x v="4"/>
    <x v="2"/>
    <m/>
    <m/>
    <m/>
    <m/>
    <m/>
    <m/>
    <m/>
    <m/>
    <m/>
    <m/>
  </r>
  <r>
    <x v="3"/>
    <n v="94314"/>
    <x v="26"/>
    <x v="3"/>
    <x v="54"/>
    <n v="0.92"/>
    <x v="48"/>
    <x v="2"/>
    <m/>
    <m/>
    <m/>
    <m/>
    <m/>
    <m/>
    <m/>
    <m/>
    <m/>
    <m/>
  </r>
  <r>
    <x v="16"/>
    <n v="72229"/>
    <x v="7"/>
    <x v="2"/>
    <x v="33"/>
    <n v="1.47"/>
    <x v="51"/>
    <x v="0"/>
    <m/>
    <m/>
    <m/>
    <m/>
    <m/>
    <m/>
    <m/>
    <m/>
    <m/>
    <m/>
  </r>
  <r>
    <x v="17"/>
    <n v="121842"/>
    <x v="23"/>
    <x v="0"/>
    <x v="14"/>
    <n v="1.42"/>
    <x v="12"/>
    <x v="2"/>
    <m/>
    <m/>
    <m/>
    <m/>
    <m/>
    <m/>
    <m/>
    <m/>
    <m/>
    <m/>
  </r>
  <r>
    <x v="0"/>
    <n v="55564"/>
    <x v="15"/>
    <x v="2"/>
    <x v="39"/>
    <n v="1.02"/>
    <x v="51"/>
    <x v="0"/>
    <m/>
    <m/>
    <m/>
    <m/>
    <m/>
    <m/>
    <m/>
    <m/>
    <m/>
    <m/>
  </r>
  <r>
    <x v="11"/>
    <n v="35555"/>
    <x v="21"/>
    <x v="3"/>
    <x v="13"/>
    <n v="0.88"/>
    <x v="84"/>
    <x v="2"/>
    <m/>
    <m/>
    <m/>
    <m/>
    <m/>
    <m/>
    <m/>
    <m/>
    <m/>
    <m/>
  </r>
  <r>
    <x v="13"/>
    <n v="116134"/>
    <x v="10"/>
    <x v="1"/>
    <x v="32"/>
    <n v="1.25"/>
    <x v="3"/>
    <x v="2"/>
    <m/>
    <m/>
    <m/>
    <m/>
    <m/>
    <m/>
    <m/>
    <m/>
    <m/>
    <m/>
  </r>
  <r>
    <x v="0"/>
    <n v="79326"/>
    <x v="28"/>
    <x v="1"/>
    <x v="77"/>
    <n v="0.62"/>
    <x v="76"/>
    <x v="0"/>
    <m/>
    <m/>
    <m/>
    <m/>
    <m/>
    <m/>
    <m/>
    <m/>
    <m/>
    <m/>
  </r>
  <r>
    <x v="4"/>
    <n v="114141"/>
    <x v="4"/>
    <x v="0"/>
    <x v="45"/>
    <n v="0.79"/>
    <x v="30"/>
    <x v="2"/>
    <m/>
    <m/>
    <m/>
    <m/>
    <m/>
    <m/>
    <m/>
    <m/>
    <m/>
    <m/>
  </r>
  <r>
    <x v="17"/>
    <n v="65120"/>
    <x v="16"/>
    <x v="3"/>
    <x v="0"/>
    <n v="0.98"/>
    <x v="48"/>
    <x v="2"/>
    <m/>
    <m/>
    <m/>
    <m/>
    <m/>
    <m/>
    <m/>
    <m/>
    <m/>
    <m/>
  </r>
  <r>
    <x v="5"/>
    <n v="115317"/>
    <x v="24"/>
    <x v="0"/>
    <x v="32"/>
    <n v="1.33"/>
    <x v="5"/>
    <x v="1"/>
    <m/>
    <m/>
    <m/>
    <m/>
    <m/>
    <m/>
    <m/>
    <m/>
    <m/>
    <m/>
  </r>
  <r>
    <x v="15"/>
    <n v="115564"/>
    <x v="16"/>
    <x v="1"/>
    <x v="13"/>
    <n v="1.3"/>
    <x v="7"/>
    <x v="1"/>
    <m/>
    <m/>
    <m/>
    <m/>
    <m/>
    <m/>
    <m/>
    <m/>
    <m/>
    <m/>
  </r>
  <r>
    <x v="10"/>
    <n v="35504"/>
    <x v="29"/>
    <x v="3"/>
    <x v="69"/>
    <n v="1.29"/>
    <x v="14"/>
    <x v="2"/>
    <m/>
    <m/>
    <m/>
    <m/>
    <m/>
    <m/>
    <m/>
    <m/>
    <m/>
    <m/>
  </r>
  <r>
    <x v="11"/>
    <n v="63489"/>
    <x v="1"/>
    <x v="1"/>
    <x v="64"/>
    <n v="1.1100000000000001"/>
    <x v="72"/>
    <x v="2"/>
    <m/>
    <m/>
    <m/>
    <m/>
    <m/>
    <m/>
    <m/>
    <m/>
    <m/>
    <m/>
  </r>
  <r>
    <x v="7"/>
    <n v="135390"/>
    <x v="17"/>
    <x v="1"/>
    <x v="15"/>
    <n v="1.39"/>
    <x v="5"/>
    <x v="1"/>
    <m/>
    <m/>
    <m/>
    <m/>
    <m/>
    <m/>
    <m/>
    <m/>
    <m/>
    <m/>
  </r>
  <r>
    <x v="7"/>
    <n v="36902"/>
    <x v="3"/>
    <x v="0"/>
    <x v="67"/>
    <n v="0.82"/>
    <x v="19"/>
    <x v="1"/>
    <m/>
    <m/>
    <m/>
    <m/>
    <m/>
    <m/>
    <m/>
    <m/>
    <m/>
    <m/>
  </r>
  <r>
    <x v="16"/>
    <n v="77373"/>
    <x v="12"/>
    <x v="2"/>
    <x v="95"/>
    <n v="0.64"/>
    <x v="39"/>
    <x v="0"/>
    <m/>
    <m/>
    <m/>
    <m/>
    <m/>
    <m/>
    <m/>
    <m/>
    <m/>
    <m/>
  </r>
  <r>
    <x v="7"/>
    <n v="57309"/>
    <x v="28"/>
    <x v="1"/>
    <x v="26"/>
    <n v="0.63"/>
    <x v="13"/>
    <x v="1"/>
    <m/>
    <m/>
    <m/>
    <m/>
    <m/>
    <m/>
    <m/>
    <m/>
    <m/>
    <m/>
  </r>
  <r>
    <x v="5"/>
    <n v="104010"/>
    <x v="28"/>
    <x v="0"/>
    <x v="89"/>
    <n v="0.98"/>
    <x v="54"/>
    <x v="1"/>
    <m/>
    <m/>
    <m/>
    <m/>
    <m/>
    <m/>
    <m/>
    <m/>
    <m/>
    <m/>
  </r>
  <r>
    <x v="12"/>
    <n v="68011"/>
    <x v="15"/>
    <x v="0"/>
    <x v="7"/>
    <n v="1.08"/>
    <x v="14"/>
    <x v="2"/>
    <m/>
    <m/>
    <m/>
    <m/>
    <m/>
    <m/>
    <m/>
    <m/>
    <m/>
    <m/>
  </r>
  <r>
    <x v="17"/>
    <n v="51460"/>
    <x v="18"/>
    <x v="2"/>
    <x v="48"/>
    <n v="1.46"/>
    <x v="66"/>
    <x v="2"/>
    <m/>
    <m/>
    <m/>
    <m/>
    <m/>
    <m/>
    <m/>
    <m/>
    <m/>
    <m/>
  </r>
  <r>
    <x v="13"/>
    <n v="125076"/>
    <x v="27"/>
    <x v="2"/>
    <x v="28"/>
    <n v="0.52"/>
    <x v="72"/>
    <x v="2"/>
    <m/>
    <m/>
    <m/>
    <m/>
    <m/>
    <m/>
    <m/>
    <m/>
    <m/>
    <m/>
  </r>
  <r>
    <x v="9"/>
    <n v="45281"/>
    <x v="13"/>
    <x v="2"/>
    <x v="54"/>
    <n v="0.77"/>
    <x v="24"/>
    <x v="0"/>
    <m/>
    <m/>
    <m/>
    <m/>
    <m/>
    <m/>
    <m/>
    <m/>
    <m/>
    <m/>
  </r>
  <r>
    <x v="9"/>
    <n v="67038"/>
    <x v="20"/>
    <x v="1"/>
    <x v="76"/>
    <n v="1.36"/>
    <x v="62"/>
    <x v="0"/>
    <m/>
    <m/>
    <m/>
    <m/>
    <m/>
    <m/>
    <m/>
    <m/>
    <m/>
    <m/>
  </r>
  <r>
    <x v="2"/>
    <n v="143472"/>
    <x v="7"/>
    <x v="3"/>
    <x v="61"/>
    <n v="1.3"/>
    <x v="2"/>
    <x v="0"/>
    <m/>
    <m/>
    <m/>
    <m/>
    <m/>
    <m/>
    <m/>
    <m/>
    <m/>
    <m/>
  </r>
  <r>
    <x v="3"/>
    <n v="54192"/>
    <x v="22"/>
    <x v="2"/>
    <x v="27"/>
    <n v="0.64"/>
    <x v="14"/>
    <x v="2"/>
    <m/>
    <m/>
    <m/>
    <m/>
    <m/>
    <m/>
    <m/>
    <m/>
    <m/>
    <m/>
  </r>
  <r>
    <x v="3"/>
    <n v="138614"/>
    <x v="12"/>
    <x v="0"/>
    <x v="34"/>
    <n v="1.07"/>
    <x v="31"/>
    <x v="2"/>
    <m/>
    <m/>
    <m/>
    <m/>
    <m/>
    <m/>
    <m/>
    <m/>
    <m/>
    <m/>
  </r>
  <r>
    <x v="6"/>
    <n v="124500"/>
    <x v="9"/>
    <x v="0"/>
    <x v="97"/>
    <n v="1.18"/>
    <x v="57"/>
    <x v="2"/>
    <m/>
    <m/>
    <m/>
    <m/>
    <m/>
    <m/>
    <m/>
    <m/>
    <m/>
    <m/>
  </r>
  <r>
    <x v="5"/>
    <n v="90486"/>
    <x v="18"/>
    <x v="0"/>
    <x v="1"/>
    <n v="0.99"/>
    <x v="1"/>
    <x v="1"/>
    <m/>
    <m/>
    <m/>
    <m/>
    <m/>
    <m/>
    <m/>
    <m/>
    <m/>
    <m/>
  </r>
  <r>
    <x v="14"/>
    <n v="44142"/>
    <x v="25"/>
    <x v="0"/>
    <x v="28"/>
    <n v="1.27"/>
    <x v="44"/>
    <x v="0"/>
    <m/>
    <m/>
    <m/>
    <m/>
    <m/>
    <m/>
    <m/>
    <m/>
    <m/>
    <m/>
  </r>
  <r>
    <x v="16"/>
    <n v="121168"/>
    <x v="17"/>
    <x v="1"/>
    <x v="18"/>
    <n v="1.1599999999999999"/>
    <x v="81"/>
    <x v="0"/>
    <m/>
    <m/>
    <m/>
    <m/>
    <m/>
    <m/>
    <m/>
    <m/>
    <m/>
    <m/>
  </r>
  <r>
    <x v="3"/>
    <n v="34461"/>
    <x v="19"/>
    <x v="0"/>
    <x v="50"/>
    <n v="1.27"/>
    <x v="65"/>
    <x v="2"/>
    <m/>
    <m/>
    <m/>
    <m/>
    <m/>
    <m/>
    <m/>
    <m/>
    <m/>
    <m/>
  </r>
  <r>
    <x v="17"/>
    <n v="41591"/>
    <x v="18"/>
    <x v="1"/>
    <x v="55"/>
    <n v="1.39"/>
    <x v="11"/>
    <x v="2"/>
    <m/>
    <m/>
    <m/>
    <m/>
    <m/>
    <m/>
    <m/>
    <m/>
    <m/>
    <m/>
  </r>
  <r>
    <x v="15"/>
    <n v="58465"/>
    <x v="24"/>
    <x v="2"/>
    <x v="75"/>
    <n v="0.87"/>
    <x v="7"/>
    <x v="1"/>
    <m/>
    <m/>
    <m/>
    <m/>
    <m/>
    <m/>
    <m/>
    <m/>
    <m/>
    <m/>
  </r>
  <r>
    <x v="11"/>
    <n v="89973"/>
    <x v="14"/>
    <x v="2"/>
    <x v="44"/>
    <n v="1.18"/>
    <x v="11"/>
    <x v="2"/>
    <m/>
    <m/>
    <m/>
    <m/>
    <m/>
    <m/>
    <m/>
    <m/>
    <m/>
    <m/>
  </r>
  <r>
    <x v="9"/>
    <n v="134615"/>
    <x v="11"/>
    <x v="0"/>
    <x v="60"/>
    <n v="1.18"/>
    <x v="67"/>
    <x v="0"/>
    <m/>
    <m/>
    <m/>
    <m/>
    <m/>
    <m/>
    <m/>
    <m/>
    <m/>
    <m/>
  </r>
  <r>
    <x v="0"/>
    <n v="81469"/>
    <x v="29"/>
    <x v="0"/>
    <x v="74"/>
    <n v="0.55000000000000004"/>
    <x v="9"/>
    <x v="0"/>
    <m/>
    <m/>
    <m/>
    <m/>
    <m/>
    <m/>
    <m/>
    <m/>
    <m/>
    <m/>
  </r>
  <r>
    <x v="19"/>
    <n v="105764"/>
    <x v="3"/>
    <x v="0"/>
    <x v="63"/>
    <n v="1.02"/>
    <x v="65"/>
    <x v="2"/>
    <m/>
    <m/>
    <m/>
    <m/>
    <m/>
    <m/>
    <m/>
    <m/>
    <m/>
    <m/>
  </r>
  <r>
    <x v="8"/>
    <n v="50543"/>
    <x v="29"/>
    <x v="0"/>
    <x v="57"/>
    <n v="1.1299999999999999"/>
    <x v="25"/>
    <x v="2"/>
    <m/>
    <m/>
    <m/>
    <m/>
    <m/>
    <m/>
    <m/>
    <m/>
    <m/>
    <m/>
  </r>
  <r>
    <x v="11"/>
    <n v="36086"/>
    <x v="4"/>
    <x v="1"/>
    <x v="26"/>
    <n v="0.62"/>
    <x v="36"/>
    <x v="2"/>
    <m/>
    <m/>
    <m/>
    <m/>
    <m/>
    <m/>
    <m/>
    <m/>
    <m/>
    <m/>
  </r>
  <r>
    <x v="18"/>
    <n v="65906"/>
    <x v="17"/>
    <x v="3"/>
    <x v="26"/>
    <n v="0.7"/>
    <x v="41"/>
    <x v="1"/>
    <m/>
    <m/>
    <m/>
    <m/>
    <m/>
    <m/>
    <m/>
    <m/>
    <m/>
    <m/>
  </r>
  <r>
    <x v="16"/>
    <n v="70527"/>
    <x v="1"/>
    <x v="3"/>
    <x v="57"/>
    <n v="1.3"/>
    <x v="24"/>
    <x v="0"/>
    <m/>
    <m/>
    <m/>
    <m/>
    <m/>
    <m/>
    <m/>
    <m/>
    <m/>
    <m/>
  </r>
  <r>
    <x v="17"/>
    <n v="91894"/>
    <x v="4"/>
    <x v="1"/>
    <x v="16"/>
    <n v="0.72"/>
    <x v="55"/>
    <x v="2"/>
    <m/>
    <m/>
    <m/>
    <m/>
    <m/>
    <m/>
    <m/>
    <m/>
    <m/>
    <m/>
  </r>
  <r>
    <x v="19"/>
    <n v="78145"/>
    <x v="5"/>
    <x v="3"/>
    <x v="25"/>
    <n v="1.23"/>
    <x v="66"/>
    <x v="2"/>
    <m/>
    <m/>
    <m/>
    <m/>
    <m/>
    <m/>
    <m/>
    <m/>
    <m/>
    <m/>
  </r>
  <r>
    <x v="3"/>
    <n v="95056"/>
    <x v="10"/>
    <x v="3"/>
    <x v="82"/>
    <n v="1.31"/>
    <x v="66"/>
    <x v="2"/>
    <m/>
    <m/>
    <m/>
    <m/>
    <m/>
    <m/>
    <m/>
    <m/>
    <m/>
    <m/>
  </r>
  <r>
    <x v="0"/>
    <n v="135949"/>
    <x v="29"/>
    <x v="3"/>
    <x v="90"/>
    <n v="1.41"/>
    <x v="90"/>
    <x v="0"/>
    <m/>
    <m/>
    <m/>
    <m/>
    <m/>
    <m/>
    <m/>
    <m/>
    <m/>
    <m/>
  </r>
  <r>
    <x v="9"/>
    <n v="78793"/>
    <x v="25"/>
    <x v="1"/>
    <x v="84"/>
    <n v="1.44"/>
    <x v="40"/>
    <x v="0"/>
    <m/>
    <m/>
    <m/>
    <m/>
    <m/>
    <m/>
    <m/>
    <m/>
    <m/>
    <m/>
  </r>
  <r>
    <x v="10"/>
    <n v="81380"/>
    <x v="27"/>
    <x v="2"/>
    <x v="60"/>
    <n v="1.31"/>
    <x v="68"/>
    <x v="2"/>
    <m/>
    <m/>
    <m/>
    <m/>
    <m/>
    <m/>
    <m/>
    <m/>
    <m/>
    <m/>
  </r>
  <r>
    <x v="0"/>
    <n v="33827"/>
    <x v="26"/>
    <x v="2"/>
    <x v="31"/>
    <n v="0.75"/>
    <x v="60"/>
    <x v="0"/>
    <m/>
    <m/>
    <m/>
    <m/>
    <m/>
    <m/>
    <m/>
    <m/>
    <m/>
    <m/>
  </r>
  <r>
    <x v="11"/>
    <n v="103038"/>
    <x v="0"/>
    <x v="2"/>
    <x v="97"/>
    <n v="0.61"/>
    <x v="20"/>
    <x v="2"/>
    <m/>
    <m/>
    <m/>
    <m/>
    <m/>
    <m/>
    <m/>
    <m/>
    <m/>
    <m/>
  </r>
  <r>
    <x v="17"/>
    <n v="122276"/>
    <x v="16"/>
    <x v="1"/>
    <x v="96"/>
    <n v="1.1200000000000001"/>
    <x v="53"/>
    <x v="2"/>
    <m/>
    <m/>
    <m/>
    <m/>
    <m/>
    <m/>
    <m/>
    <m/>
    <m/>
    <m/>
  </r>
  <r>
    <x v="16"/>
    <n v="89309"/>
    <x v="0"/>
    <x v="3"/>
    <x v="55"/>
    <n v="1.33"/>
    <x v="2"/>
    <x v="0"/>
    <m/>
    <m/>
    <m/>
    <m/>
    <m/>
    <m/>
    <m/>
    <m/>
    <m/>
    <m/>
  </r>
  <r>
    <x v="4"/>
    <n v="57891"/>
    <x v="9"/>
    <x v="2"/>
    <x v="38"/>
    <n v="1.34"/>
    <x v="20"/>
    <x v="2"/>
    <m/>
    <m/>
    <m/>
    <m/>
    <m/>
    <m/>
    <m/>
    <m/>
    <m/>
    <m/>
  </r>
  <r>
    <x v="15"/>
    <n v="61766"/>
    <x v="12"/>
    <x v="3"/>
    <x v="25"/>
    <n v="1.23"/>
    <x v="75"/>
    <x v="1"/>
    <m/>
    <m/>
    <m/>
    <m/>
    <m/>
    <m/>
    <m/>
    <m/>
    <m/>
    <m/>
  </r>
  <r>
    <x v="19"/>
    <n v="87657"/>
    <x v="17"/>
    <x v="0"/>
    <x v="98"/>
    <n v="0.77"/>
    <x v="64"/>
    <x v="2"/>
    <m/>
    <m/>
    <m/>
    <m/>
    <m/>
    <m/>
    <m/>
    <m/>
    <m/>
    <m/>
  </r>
  <r>
    <x v="2"/>
    <n v="48476"/>
    <x v="8"/>
    <x v="2"/>
    <x v="18"/>
    <n v="1.1200000000000001"/>
    <x v="62"/>
    <x v="0"/>
    <m/>
    <m/>
    <m/>
    <m/>
    <m/>
    <m/>
    <m/>
    <m/>
    <m/>
    <m/>
  </r>
  <r>
    <x v="14"/>
    <n v="121860"/>
    <x v="20"/>
    <x v="1"/>
    <x v="77"/>
    <n v="0.56000000000000005"/>
    <x v="90"/>
    <x v="0"/>
    <m/>
    <m/>
    <m/>
    <m/>
    <m/>
    <m/>
    <m/>
    <m/>
    <m/>
    <m/>
  </r>
  <r>
    <x v="12"/>
    <n v="125798"/>
    <x v="21"/>
    <x v="3"/>
    <x v="78"/>
    <n v="0.81"/>
    <x v="10"/>
    <x v="2"/>
    <m/>
    <m/>
    <m/>
    <m/>
    <m/>
    <m/>
    <m/>
    <m/>
    <m/>
    <m/>
  </r>
  <r>
    <x v="4"/>
    <n v="138695"/>
    <x v="6"/>
    <x v="0"/>
    <x v="27"/>
    <n v="1.41"/>
    <x v="43"/>
    <x v="2"/>
    <m/>
    <m/>
    <m/>
    <m/>
    <m/>
    <m/>
    <m/>
    <m/>
    <m/>
    <m/>
  </r>
  <r>
    <x v="1"/>
    <n v="69802"/>
    <x v="10"/>
    <x v="3"/>
    <x v="68"/>
    <n v="0.85"/>
    <x v="27"/>
    <x v="1"/>
    <m/>
    <m/>
    <m/>
    <m/>
    <m/>
    <m/>
    <m/>
    <m/>
    <m/>
    <m/>
  </r>
  <r>
    <x v="8"/>
    <n v="86832"/>
    <x v="17"/>
    <x v="0"/>
    <x v="49"/>
    <n v="0.77"/>
    <x v="48"/>
    <x v="2"/>
    <m/>
    <m/>
    <m/>
    <m/>
    <m/>
    <m/>
    <m/>
    <m/>
    <m/>
    <m/>
  </r>
  <r>
    <x v="8"/>
    <n v="143959"/>
    <x v="9"/>
    <x v="1"/>
    <x v="2"/>
    <n v="1"/>
    <x v="48"/>
    <x v="2"/>
    <m/>
    <m/>
    <m/>
    <m/>
    <m/>
    <m/>
    <m/>
    <m/>
    <m/>
    <m/>
  </r>
  <r>
    <x v="2"/>
    <n v="61709"/>
    <x v="4"/>
    <x v="2"/>
    <x v="1"/>
    <n v="1.39"/>
    <x v="76"/>
    <x v="0"/>
    <m/>
    <m/>
    <m/>
    <m/>
    <m/>
    <m/>
    <m/>
    <m/>
    <m/>
    <m/>
  </r>
  <r>
    <x v="12"/>
    <n v="43669"/>
    <x v="7"/>
    <x v="3"/>
    <x v="86"/>
    <n v="1.07"/>
    <x v="45"/>
    <x v="2"/>
    <m/>
    <m/>
    <m/>
    <m/>
    <m/>
    <m/>
    <m/>
    <m/>
    <m/>
    <m/>
  </r>
  <r>
    <x v="19"/>
    <n v="61142"/>
    <x v="17"/>
    <x v="3"/>
    <x v="45"/>
    <n v="1.03"/>
    <x v="64"/>
    <x v="2"/>
    <m/>
    <m/>
    <m/>
    <m/>
    <m/>
    <m/>
    <m/>
    <m/>
    <m/>
    <m/>
  </r>
  <r>
    <x v="16"/>
    <n v="111396"/>
    <x v="10"/>
    <x v="3"/>
    <x v="52"/>
    <n v="1.35"/>
    <x v="32"/>
    <x v="0"/>
    <m/>
    <m/>
    <m/>
    <m/>
    <m/>
    <m/>
    <m/>
    <m/>
    <m/>
    <m/>
  </r>
  <r>
    <x v="3"/>
    <n v="50852"/>
    <x v="19"/>
    <x v="1"/>
    <x v="14"/>
    <n v="0.67"/>
    <x v="57"/>
    <x v="2"/>
    <m/>
    <m/>
    <m/>
    <m/>
    <m/>
    <m/>
    <m/>
    <m/>
    <m/>
    <m/>
  </r>
  <r>
    <x v="6"/>
    <n v="99191"/>
    <x v="25"/>
    <x v="0"/>
    <x v="5"/>
    <n v="0.89"/>
    <x v="66"/>
    <x v="2"/>
    <m/>
    <m/>
    <m/>
    <m/>
    <m/>
    <m/>
    <m/>
    <m/>
    <m/>
    <m/>
  </r>
  <r>
    <x v="3"/>
    <n v="69537"/>
    <x v="15"/>
    <x v="0"/>
    <x v="47"/>
    <n v="0.87"/>
    <x v="10"/>
    <x v="2"/>
    <m/>
    <m/>
    <m/>
    <m/>
    <m/>
    <m/>
    <m/>
    <m/>
    <m/>
    <m/>
  </r>
  <r>
    <x v="16"/>
    <n v="65629"/>
    <x v="23"/>
    <x v="0"/>
    <x v="86"/>
    <n v="1.18"/>
    <x v="77"/>
    <x v="0"/>
    <m/>
    <m/>
    <m/>
    <m/>
    <m/>
    <m/>
    <m/>
    <m/>
    <m/>
    <m/>
  </r>
  <r>
    <x v="3"/>
    <n v="39597"/>
    <x v="12"/>
    <x v="0"/>
    <x v="75"/>
    <n v="1.1299999999999999"/>
    <x v="84"/>
    <x v="2"/>
    <m/>
    <m/>
    <m/>
    <m/>
    <m/>
    <m/>
    <m/>
    <m/>
    <m/>
    <m/>
  </r>
  <r>
    <x v="9"/>
    <n v="34096"/>
    <x v="21"/>
    <x v="0"/>
    <x v="73"/>
    <n v="0.83"/>
    <x v="39"/>
    <x v="0"/>
    <m/>
    <m/>
    <m/>
    <m/>
    <m/>
    <m/>
    <m/>
    <m/>
    <m/>
    <m/>
  </r>
  <r>
    <x v="16"/>
    <n v="63434"/>
    <x v="9"/>
    <x v="0"/>
    <x v="50"/>
    <n v="0.96"/>
    <x v="80"/>
    <x v="0"/>
    <m/>
    <m/>
    <m/>
    <m/>
    <m/>
    <m/>
    <m/>
    <m/>
    <m/>
    <m/>
  </r>
  <r>
    <x v="10"/>
    <n v="81358"/>
    <x v="12"/>
    <x v="3"/>
    <x v="75"/>
    <n v="0.73"/>
    <x v="53"/>
    <x v="2"/>
    <m/>
    <m/>
    <m/>
    <m/>
    <m/>
    <m/>
    <m/>
    <m/>
    <m/>
    <m/>
  </r>
  <r>
    <x v="19"/>
    <n v="80626"/>
    <x v="12"/>
    <x v="0"/>
    <x v="55"/>
    <n v="0.92"/>
    <x v="20"/>
    <x v="2"/>
    <m/>
    <m/>
    <m/>
    <m/>
    <m/>
    <m/>
    <m/>
    <m/>
    <m/>
    <m/>
  </r>
  <r>
    <x v="14"/>
    <n v="59638"/>
    <x v="4"/>
    <x v="1"/>
    <x v="1"/>
    <n v="0.9"/>
    <x v="44"/>
    <x v="0"/>
    <m/>
    <m/>
    <m/>
    <m/>
    <m/>
    <m/>
    <m/>
    <m/>
    <m/>
    <m/>
  </r>
  <r>
    <x v="8"/>
    <n v="30030"/>
    <x v="10"/>
    <x v="3"/>
    <x v="85"/>
    <n v="0.88"/>
    <x v="49"/>
    <x v="2"/>
    <m/>
    <m/>
    <m/>
    <m/>
    <m/>
    <m/>
    <m/>
    <m/>
    <m/>
    <m/>
  </r>
  <r>
    <x v="10"/>
    <n v="145156"/>
    <x v="9"/>
    <x v="3"/>
    <x v="61"/>
    <n v="0.54"/>
    <x v="25"/>
    <x v="2"/>
    <m/>
    <m/>
    <m/>
    <m/>
    <m/>
    <m/>
    <m/>
    <m/>
    <m/>
    <m/>
  </r>
  <r>
    <x v="5"/>
    <n v="88717"/>
    <x v="16"/>
    <x v="0"/>
    <x v="64"/>
    <n v="1.39"/>
    <x v="34"/>
    <x v="1"/>
    <m/>
    <m/>
    <m/>
    <m/>
    <m/>
    <m/>
    <m/>
    <m/>
    <m/>
    <m/>
  </r>
  <r>
    <x v="2"/>
    <n v="68746"/>
    <x v="14"/>
    <x v="1"/>
    <x v="77"/>
    <n v="1.18"/>
    <x v="28"/>
    <x v="0"/>
    <m/>
    <m/>
    <m/>
    <m/>
    <m/>
    <m/>
    <m/>
    <m/>
    <m/>
    <m/>
  </r>
  <r>
    <x v="10"/>
    <n v="83207"/>
    <x v="23"/>
    <x v="0"/>
    <x v="97"/>
    <n v="0.62"/>
    <x v="36"/>
    <x v="2"/>
    <m/>
    <m/>
    <m/>
    <m/>
    <m/>
    <m/>
    <m/>
    <m/>
    <m/>
    <m/>
  </r>
  <r>
    <x v="7"/>
    <n v="138109"/>
    <x v="17"/>
    <x v="0"/>
    <x v="31"/>
    <n v="1.02"/>
    <x v="63"/>
    <x v="1"/>
    <m/>
    <m/>
    <m/>
    <m/>
    <m/>
    <m/>
    <m/>
    <m/>
    <m/>
    <m/>
  </r>
  <r>
    <x v="1"/>
    <n v="86834"/>
    <x v="13"/>
    <x v="1"/>
    <x v="38"/>
    <n v="0.67"/>
    <x v="37"/>
    <x v="1"/>
    <m/>
    <m/>
    <m/>
    <m/>
    <m/>
    <m/>
    <m/>
    <m/>
    <m/>
    <m/>
  </r>
  <r>
    <x v="19"/>
    <n v="133988"/>
    <x v="16"/>
    <x v="0"/>
    <x v="0"/>
    <n v="0.84"/>
    <x v="49"/>
    <x v="2"/>
    <m/>
    <m/>
    <m/>
    <m/>
    <m/>
    <m/>
    <m/>
    <m/>
    <m/>
    <m/>
  </r>
  <r>
    <x v="0"/>
    <n v="145064"/>
    <x v="2"/>
    <x v="2"/>
    <x v="66"/>
    <n v="1.28"/>
    <x v="80"/>
    <x v="0"/>
    <m/>
    <m/>
    <m/>
    <m/>
    <m/>
    <m/>
    <m/>
    <m/>
    <m/>
    <m/>
  </r>
  <r>
    <x v="0"/>
    <n v="106620"/>
    <x v="26"/>
    <x v="3"/>
    <x v="65"/>
    <n v="1.07"/>
    <x v="89"/>
    <x v="0"/>
    <m/>
    <m/>
    <m/>
    <m/>
    <m/>
    <m/>
    <m/>
    <m/>
    <m/>
    <m/>
  </r>
  <r>
    <x v="14"/>
    <n v="80942"/>
    <x v="17"/>
    <x v="0"/>
    <x v="87"/>
    <n v="0.72"/>
    <x v="73"/>
    <x v="0"/>
    <m/>
    <m/>
    <m/>
    <m/>
    <m/>
    <m/>
    <m/>
    <m/>
    <m/>
    <m/>
  </r>
  <r>
    <x v="9"/>
    <n v="133274"/>
    <x v="9"/>
    <x v="1"/>
    <x v="61"/>
    <n v="1"/>
    <x v="9"/>
    <x v="0"/>
    <m/>
    <m/>
    <m/>
    <m/>
    <m/>
    <m/>
    <m/>
    <m/>
    <m/>
    <m/>
  </r>
  <r>
    <x v="14"/>
    <n v="49826"/>
    <x v="10"/>
    <x v="0"/>
    <x v="89"/>
    <n v="0.99"/>
    <x v="0"/>
    <x v="0"/>
    <m/>
    <m/>
    <m/>
    <m/>
    <m/>
    <m/>
    <m/>
    <m/>
    <m/>
    <m/>
  </r>
  <r>
    <x v="14"/>
    <n v="97116"/>
    <x v="27"/>
    <x v="1"/>
    <x v="93"/>
    <n v="0.56000000000000005"/>
    <x v="9"/>
    <x v="0"/>
    <m/>
    <m/>
    <m/>
    <m/>
    <m/>
    <m/>
    <m/>
    <m/>
    <m/>
    <m/>
  </r>
  <r>
    <x v="12"/>
    <n v="136030"/>
    <x v="28"/>
    <x v="3"/>
    <x v="11"/>
    <n v="1.38"/>
    <x v="31"/>
    <x v="2"/>
    <m/>
    <m/>
    <m/>
    <m/>
    <m/>
    <m/>
    <m/>
    <m/>
    <m/>
    <m/>
  </r>
  <r>
    <x v="2"/>
    <n v="33388"/>
    <x v="23"/>
    <x v="1"/>
    <x v="48"/>
    <n v="0.79"/>
    <x v="81"/>
    <x v="0"/>
    <m/>
    <m/>
    <m/>
    <m/>
    <m/>
    <m/>
    <m/>
    <m/>
    <m/>
    <m/>
  </r>
  <r>
    <x v="3"/>
    <n v="58797"/>
    <x v="17"/>
    <x v="0"/>
    <x v="51"/>
    <n v="0.64"/>
    <x v="30"/>
    <x v="2"/>
    <m/>
    <m/>
    <m/>
    <m/>
    <m/>
    <m/>
    <m/>
    <m/>
    <m/>
    <m/>
  </r>
  <r>
    <x v="5"/>
    <n v="129508"/>
    <x v="16"/>
    <x v="2"/>
    <x v="12"/>
    <n v="1.1599999999999999"/>
    <x v="21"/>
    <x v="1"/>
    <m/>
    <m/>
    <m/>
    <m/>
    <m/>
    <m/>
    <m/>
    <m/>
    <m/>
    <m/>
  </r>
  <r>
    <x v="17"/>
    <n v="54996"/>
    <x v="7"/>
    <x v="3"/>
    <x v="55"/>
    <n v="0.96"/>
    <x v="6"/>
    <x v="2"/>
    <m/>
    <m/>
    <m/>
    <m/>
    <m/>
    <m/>
    <m/>
    <m/>
    <m/>
    <m/>
  </r>
  <r>
    <x v="10"/>
    <n v="136165"/>
    <x v="27"/>
    <x v="1"/>
    <x v="61"/>
    <n v="0.62"/>
    <x v="4"/>
    <x v="2"/>
    <m/>
    <m/>
    <m/>
    <m/>
    <m/>
    <m/>
    <m/>
    <m/>
    <m/>
    <m/>
  </r>
  <r>
    <x v="18"/>
    <n v="83986"/>
    <x v="13"/>
    <x v="2"/>
    <x v="29"/>
    <n v="1.43"/>
    <x v="42"/>
    <x v="1"/>
    <m/>
    <m/>
    <m/>
    <m/>
    <m/>
    <m/>
    <m/>
    <m/>
    <m/>
    <m/>
  </r>
  <r>
    <x v="5"/>
    <n v="126681"/>
    <x v="17"/>
    <x v="2"/>
    <x v="62"/>
    <n v="0.96"/>
    <x v="13"/>
    <x v="1"/>
    <m/>
    <m/>
    <m/>
    <m/>
    <m/>
    <m/>
    <m/>
    <m/>
    <m/>
    <m/>
  </r>
  <r>
    <x v="19"/>
    <n v="148083"/>
    <x v="29"/>
    <x v="2"/>
    <x v="13"/>
    <n v="0.51"/>
    <x v="8"/>
    <x v="2"/>
    <m/>
    <m/>
    <m/>
    <m/>
    <m/>
    <m/>
    <m/>
    <m/>
    <m/>
    <m/>
  </r>
  <r>
    <x v="7"/>
    <n v="145915"/>
    <x v="3"/>
    <x v="3"/>
    <x v="36"/>
    <n v="0.59"/>
    <x v="34"/>
    <x v="1"/>
    <m/>
    <m/>
    <m/>
    <m/>
    <m/>
    <m/>
    <m/>
    <m/>
    <m/>
    <m/>
  </r>
  <r>
    <x v="16"/>
    <n v="45002"/>
    <x v="22"/>
    <x v="1"/>
    <x v="89"/>
    <n v="0.75"/>
    <x v="9"/>
    <x v="0"/>
    <m/>
    <m/>
    <m/>
    <m/>
    <m/>
    <m/>
    <m/>
    <m/>
    <m/>
    <m/>
  </r>
  <r>
    <x v="19"/>
    <n v="90587"/>
    <x v="8"/>
    <x v="2"/>
    <x v="64"/>
    <n v="1.2"/>
    <x v="53"/>
    <x v="2"/>
    <m/>
    <m/>
    <m/>
    <m/>
    <m/>
    <m/>
    <m/>
    <m/>
    <m/>
    <m/>
  </r>
  <r>
    <x v="2"/>
    <n v="117927"/>
    <x v="6"/>
    <x v="0"/>
    <x v="68"/>
    <n v="0.67"/>
    <x v="59"/>
    <x v="0"/>
    <m/>
    <m/>
    <m/>
    <m/>
    <m/>
    <m/>
    <m/>
    <m/>
    <m/>
    <m/>
  </r>
  <r>
    <x v="13"/>
    <n v="111301"/>
    <x v="14"/>
    <x v="3"/>
    <x v="67"/>
    <n v="0.55000000000000004"/>
    <x v="78"/>
    <x v="2"/>
    <m/>
    <m/>
    <m/>
    <m/>
    <m/>
    <m/>
    <m/>
    <m/>
    <m/>
    <m/>
  </r>
  <r>
    <x v="1"/>
    <n v="138560"/>
    <x v="28"/>
    <x v="0"/>
    <x v="77"/>
    <n v="0.66"/>
    <x v="37"/>
    <x v="1"/>
    <m/>
    <m/>
    <m/>
    <m/>
    <m/>
    <m/>
    <m/>
    <m/>
    <m/>
    <m/>
  </r>
  <r>
    <x v="5"/>
    <n v="113092"/>
    <x v="6"/>
    <x v="2"/>
    <x v="79"/>
    <n v="1.01"/>
    <x v="75"/>
    <x v="1"/>
    <m/>
    <m/>
    <m/>
    <m/>
    <m/>
    <m/>
    <m/>
    <m/>
    <m/>
    <m/>
  </r>
  <r>
    <x v="15"/>
    <n v="41430"/>
    <x v="3"/>
    <x v="1"/>
    <x v="66"/>
    <n v="0.69"/>
    <x v="74"/>
    <x v="1"/>
    <m/>
    <m/>
    <m/>
    <m/>
    <m/>
    <m/>
    <m/>
    <m/>
    <m/>
    <m/>
  </r>
  <r>
    <x v="9"/>
    <n v="39349"/>
    <x v="22"/>
    <x v="2"/>
    <x v="43"/>
    <n v="1.33"/>
    <x v="77"/>
    <x v="0"/>
    <m/>
    <m/>
    <m/>
    <m/>
    <m/>
    <m/>
    <m/>
    <m/>
    <m/>
    <m/>
  </r>
  <r>
    <x v="9"/>
    <n v="61658"/>
    <x v="26"/>
    <x v="0"/>
    <x v="79"/>
    <n v="0.54"/>
    <x v="76"/>
    <x v="0"/>
    <m/>
    <m/>
    <m/>
    <m/>
    <m/>
    <m/>
    <m/>
    <m/>
    <m/>
    <m/>
  </r>
  <r>
    <x v="10"/>
    <n v="39106"/>
    <x v="4"/>
    <x v="1"/>
    <x v="90"/>
    <n v="1.45"/>
    <x v="57"/>
    <x v="2"/>
    <m/>
    <m/>
    <m/>
    <m/>
    <m/>
    <m/>
    <m/>
    <m/>
    <m/>
    <m/>
  </r>
  <r>
    <x v="14"/>
    <n v="97792"/>
    <x v="28"/>
    <x v="1"/>
    <x v="23"/>
    <n v="1.28"/>
    <x v="2"/>
    <x v="0"/>
    <m/>
    <m/>
    <m/>
    <m/>
    <m/>
    <m/>
    <m/>
    <m/>
    <m/>
    <m/>
  </r>
  <r>
    <x v="1"/>
    <n v="39788"/>
    <x v="8"/>
    <x v="1"/>
    <x v="45"/>
    <n v="0.72"/>
    <x v="70"/>
    <x v="1"/>
    <m/>
    <m/>
    <m/>
    <m/>
    <m/>
    <m/>
    <m/>
    <m/>
    <m/>
    <m/>
  </r>
  <r>
    <x v="0"/>
    <n v="88215"/>
    <x v="22"/>
    <x v="1"/>
    <x v="80"/>
    <n v="0.78"/>
    <x v="44"/>
    <x v="0"/>
    <m/>
    <m/>
    <m/>
    <m/>
    <m/>
    <m/>
    <m/>
    <m/>
    <m/>
    <m/>
  </r>
  <r>
    <x v="3"/>
    <n v="87487"/>
    <x v="23"/>
    <x v="1"/>
    <x v="11"/>
    <n v="1.1200000000000001"/>
    <x v="55"/>
    <x v="2"/>
    <m/>
    <m/>
    <m/>
    <m/>
    <m/>
    <m/>
    <m/>
    <m/>
    <m/>
    <m/>
  </r>
  <r>
    <x v="6"/>
    <n v="85016"/>
    <x v="8"/>
    <x v="2"/>
    <x v="29"/>
    <n v="1.49"/>
    <x v="84"/>
    <x v="2"/>
    <m/>
    <m/>
    <m/>
    <m/>
    <m/>
    <m/>
    <m/>
    <m/>
    <m/>
    <m/>
  </r>
  <r>
    <x v="17"/>
    <n v="38701"/>
    <x v="23"/>
    <x v="2"/>
    <x v="86"/>
    <n v="1.0900000000000001"/>
    <x v="3"/>
    <x v="2"/>
    <m/>
    <m/>
    <m/>
    <m/>
    <m/>
    <m/>
    <m/>
    <m/>
    <m/>
    <m/>
  </r>
  <r>
    <x v="18"/>
    <n v="145571"/>
    <x v="21"/>
    <x v="2"/>
    <x v="53"/>
    <n v="0.56999999999999995"/>
    <x v="70"/>
    <x v="1"/>
    <m/>
    <m/>
    <m/>
    <m/>
    <m/>
    <m/>
    <m/>
    <m/>
    <m/>
    <m/>
  </r>
  <r>
    <x v="3"/>
    <n v="106733"/>
    <x v="21"/>
    <x v="2"/>
    <x v="37"/>
    <n v="0.6"/>
    <x v="6"/>
    <x v="2"/>
    <m/>
    <m/>
    <m/>
    <m/>
    <m/>
    <m/>
    <m/>
    <m/>
    <m/>
    <m/>
  </r>
  <r>
    <x v="5"/>
    <n v="128725"/>
    <x v="16"/>
    <x v="0"/>
    <x v="81"/>
    <n v="0.96"/>
    <x v="13"/>
    <x v="1"/>
    <m/>
    <m/>
    <m/>
    <m/>
    <m/>
    <m/>
    <m/>
    <m/>
    <m/>
    <m/>
  </r>
  <r>
    <x v="3"/>
    <n v="112669"/>
    <x v="12"/>
    <x v="2"/>
    <x v="73"/>
    <n v="0.63"/>
    <x v="57"/>
    <x v="2"/>
    <m/>
    <m/>
    <m/>
    <m/>
    <m/>
    <m/>
    <m/>
    <m/>
    <m/>
    <m/>
  </r>
  <r>
    <x v="6"/>
    <n v="79755"/>
    <x v="5"/>
    <x v="2"/>
    <x v="0"/>
    <n v="1.1399999999999999"/>
    <x v="48"/>
    <x v="2"/>
    <m/>
    <m/>
    <m/>
    <m/>
    <m/>
    <m/>
    <m/>
    <m/>
    <m/>
    <m/>
  </r>
  <r>
    <x v="8"/>
    <n v="80636"/>
    <x v="23"/>
    <x v="1"/>
    <x v="80"/>
    <n v="1.42"/>
    <x v="84"/>
    <x v="2"/>
    <m/>
    <m/>
    <m/>
    <m/>
    <m/>
    <m/>
    <m/>
    <m/>
    <m/>
    <m/>
  </r>
  <r>
    <x v="4"/>
    <n v="52437"/>
    <x v="4"/>
    <x v="0"/>
    <x v="6"/>
    <n v="1.18"/>
    <x v="23"/>
    <x v="2"/>
    <m/>
    <m/>
    <m/>
    <m/>
    <m/>
    <m/>
    <m/>
    <m/>
    <m/>
    <m/>
  </r>
  <r>
    <x v="16"/>
    <n v="119128"/>
    <x v="15"/>
    <x v="0"/>
    <x v="44"/>
    <n v="1.5"/>
    <x v="44"/>
    <x v="0"/>
    <m/>
    <m/>
    <m/>
    <m/>
    <m/>
    <m/>
    <m/>
    <m/>
    <m/>
    <m/>
  </r>
  <r>
    <x v="10"/>
    <n v="36210"/>
    <x v="21"/>
    <x v="2"/>
    <x v="49"/>
    <n v="1.04"/>
    <x v="22"/>
    <x v="2"/>
    <m/>
    <m/>
    <m/>
    <m/>
    <m/>
    <m/>
    <m/>
    <m/>
    <m/>
    <m/>
  </r>
  <r>
    <x v="9"/>
    <n v="88880"/>
    <x v="26"/>
    <x v="1"/>
    <x v="71"/>
    <n v="1.18"/>
    <x v="60"/>
    <x v="0"/>
    <m/>
    <m/>
    <m/>
    <m/>
    <m/>
    <m/>
    <m/>
    <m/>
    <m/>
    <m/>
  </r>
  <r>
    <x v="6"/>
    <n v="72428"/>
    <x v="10"/>
    <x v="3"/>
    <x v="53"/>
    <n v="0.99"/>
    <x v="25"/>
    <x v="2"/>
    <m/>
    <m/>
    <m/>
    <m/>
    <m/>
    <m/>
    <m/>
    <m/>
    <m/>
    <m/>
  </r>
  <r>
    <x v="18"/>
    <n v="42199"/>
    <x v="24"/>
    <x v="3"/>
    <x v="36"/>
    <n v="0.99"/>
    <x v="75"/>
    <x v="1"/>
    <m/>
    <m/>
    <m/>
    <m/>
    <m/>
    <m/>
    <m/>
    <m/>
    <m/>
    <m/>
  </r>
  <r>
    <x v="3"/>
    <n v="95109"/>
    <x v="21"/>
    <x v="2"/>
    <x v="54"/>
    <n v="1.1599999999999999"/>
    <x v="45"/>
    <x v="2"/>
    <m/>
    <m/>
    <m/>
    <m/>
    <m/>
    <m/>
    <m/>
    <m/>
    <m/>
    <m/>
  </r>
  <r>
    <x v="19"/>
    <n v="30448"/>
    <x v="21"/>
    <x v="1"/>
    <x v="16"/>
    <n v="1.24"/>
    <x v="46"/>
    <x v="2"/>
    <m/>
    <m/>
    <m/>
    <m/>
    <m/>
    <m/>
    <m/>
    <m/>
    <m/>
    <m/>
  </r>
  <r>
    <x v="16"/>
    <n v="91638"/>
    <x v="0"/>
    <x v="1"/>
    <x v="13"/>
    <n v="0.61"/>
    <x v="62"/>
    <x v="0"/>
    <m/>
    <m/>
    <m/>
    <m/>
    <m/>
    <m/>
    <m/>
    <m/>
    <m/>
    <m/>
  </r>
  <r>
    <x v="9"/>
    <n v="79584"/>
    <x v="13"/>
    <x v="3"/>
    <x v="18"/>
    <n v="0.84"/>
    <x v="76"/>
    <x v="0"/>
    <m/>
    <m/>
    <m/>
    <m/>
    <m/>
    <m/>
    <m/>
    <m/>
    <m/>
    <m/>
  </r>
  <r>
    <x v="2"/>
    <n v="134065"/>
    <x v="12"/>
    <x v="1"/>
    <x v="64"/>
    <n v="0.93"/>
    <x v="39"/>
    <x v="0"/>
    <m/>
    <m/>
    <m/>
    <m/>
    <m/>
    <m/>
    <m/>
    <m/>
    <m/>
    <m/>
  </r>
  <r>
    <x v="17"/>
    <n v="61474"/>
    <x v="6"/>
    <x v="2"/>
    <x v="26"/>
    <n v="0.56000000000000005"/>
    <x v="71"/>
    <x v="2"/>
    <m/>
    <m/>
    <m/>
    <m/>
    <m/>
    <m/>
    <m/>
    <m/>
    <m/>
    <m/>
  </r>
  <r>
    <x v="2"/>
    <n v="101864"/>
    <x v="29"/>
    <x v="2"/>
    <x v="39"/>
    <n v="1.41"/>
    <x v="35"/>
    <x v="0"/>
    <m/>
    <m/>
    <m/>
    <m/>
    <m/>
    <m/>
    <m/>
    <m/>
    <m/>
    <m/>
  </r>
  <r>
    <x v="16"/>
    <n v="40496"/>
    <x v="0"/>
    <x v="1"/>
    <x v="2"/>
    <n v="1.19"/>
    <x v="73"/>
    <x v="0"/>
    <m/>
    <m/>
    <m/>
    <m/>
    <m/>
    <m/>
    <m/>
    <m/>
    <m/>
    <m/>
  </r>
  <r>
    <x v="1"/>
    <n v="45285"/>
    <x v="10"/>
    <x v="2"/>
    <x v="14"/>
    <n v="0.99"/>
    <x v="75"/>
    <x v="1"/>
    <m/>
    <m/>
    <m/>
    <m/>
    <m/>
    <m/>
    <m/>
    <m/>
    <m/>
    <m/>
  </r>
  <r>
    <x v="14"/>
    <n v="53929"/>
    <x v="6"/>
    <x v="1"/>
    <x v="15"/>
    <n v="1.47"/>
    <x v="17"/>
    <x v="0"/>
    <m/>
    <m/>
    <m/>
    <m/>
    <m/>
    <m/>
    <m/>
    <m/>
    <m/>
    <m/>
  </r>
  <r>
    <x v="6"/>
    <n v="90993"/>
    <x v="25"/>
    <x v="0"/>
    <x v="14"/>
    <n v="0.97"/>
    <x v="22"/>
    <x v="2"/>
    <m/>
    <m/>
    <m/>
    <m/>
    <m/>
    <m/>
    <m/>
    <m/>
    <m/>
    <m/>
  </r>
  <r>
    <x v="14"/>
    <n v="115059"/>
    <x v="23"/>
    <x v="0"/>
    <x v="72"/>
    <n v="0.51"/>
    <x v="89"/>
    <x v="0"/>
    <m/>
    <m/>
    <m/>
    <m/>
    <m/>
    <m/>
    <m/>
    <m/>
    <m/>
    <m/>
  </r>
  <r>
    <x v="16"/>
    <n v="84853"/>
    <x v="15"/>
    <x v="3"/>
    <x v="59"/>
    <n v="0.73"/>
    <x v="80"/>
    <x v="0"/>
    <m/>
    <m/>
    <m/>
    <m/>
    <m/>
    <m/>
    <m/>
    <m/>
    <m/>
    <m/>
  </r>
  <r>
    <x v="10"/>
    <n v="84566"/>
    <x v="15"/>
    <x v="3"/>
    <x v="11"/>
    <n v="1.04"/>
    <x v="57"/>
    <x v="2"/>
    <m/>
    <m/>
    <m/>
    <m/>
    <m/>
    <m/>
    <m/>
    <m/>
    <m/>
    <m/>
  </r>
  <r>
    <x v="10"/>
    <n v="89930"/>
    <x v="11"/>
    <x v="3"/>
    <x v="69"/>
    <n v="1.35"/>
    <x v="4"/>
    <x v="2"/>
    <m/>
    <m/>
    <m/>
    <m/>
    <m/>
    <m/>
    <m/>
    <m/>
    <m/>
    <m/>
  </r>
  <r>
    <x v="1"/>
    <n v="75357"/>
    <x v="10"/>
    <x v="1"/>
    <x v="64"/>
    <n v="0.95"/>
    <x v="85"/>
    <x v="1"/>
    <m/>
    <m/>
    <m/>
    <m/>
    <m/>
    <m/>
    <m/>
    <m/>
    <m/>
    <m/>
  </r>
  <r>
    <x v="2"/>
    <n v="102730"/>
    <x v="20"/>
    <x v="1"/>
    <x v="33"/>
    <n v="0.74"/>
    <x v="58"/>
    <x v="2"/>
    <m/>
    <m/>
    <m/>
    <m/>
    <m/>
    <m/>
    <m/>
    <m/>
    <m/>
    <m/>
  </r>
  <r>
    <x v="9"/>
    <n v="73200"/>
    <x v="14"/>
    <x v="0"/>
    <x v="73"/>
    <n v="1.2"/>
    <x v="17"/>
    <x v="0"/>
    <m/>
    <m/>
    <m/>
    <m/>
    <m/>
    <m/>
    <m/>
    <m/>
    <m/>
    <m/>
  </r>
  <r>
    <x v="10"/>
    <n v="84887"/>
    <x v="27"/>
    <x v="3"/>
    <x v="62"/>
    <n v="0.92"/>
    <x v="79"/>
    <x v="2"/>
    <m/>
    <m/>
    <m/>
    <m/>
    <m/>
    <m/>
    <m/>
    <m/>
    <m/>
    <m/>
  </r>
  <r>
    <x v="18"/>
    <n v="34008"/>
    <x v="17"/>
    <x v="2"/>
    <x v="67"/>
    <n v="0.91"/>
    <x v="88"/>
    <x v="1"/>
    <m/>
    <m/>
    <m/>
    <m/>
    <m/>
    <m/>
    <m/>
    <m/>
    <m/>
    <m/>
  </r>
  <r>
    <x v="13"/>
    <n v="138321"/>
    <x v="18"/>
    <x v="1"/>
    <x v="50"/>
    <n v="1.04"/>
    <x v="65"/>
    <x v="2"/>
    <m/>
    <m/>
    <m/>
    <m/>
    <m/>
    <m/>
    <m/>
    <m/>
    <m/>
    <m/>
  </r>
  <r>
    <x v="13"/>
    <n v="105328"/>
    <x v="22"/>
    <x v="2"/>
    <x v="2"/>
    <n v="0.9"/>
    <x v="33"/>
    <x v="2"/>
    <m/>
    <m/>
    <m/>
    <m/>
    <m/>
    <m/>
    <m/>
    <m/>
    <m/>
    <m/>
  </r>
  <r>
    <x v="7"/>
    <n v="105755"/>
    <x v="9"/>
    <x v="2"/>
    <x v="31"/>
    <n v="0.84"/>
    <x v="85"/>
    <x v="1"/>
    <m/>
    <m/>
    <m/>
    <m/>
    <m/>
    <m/>
    <m/>
    <m/>
    <m/>
    <m/>
  </r>
  <r>
    <x v="8"/>
    <n v="42430"/>
    <x v="0"/>
    <x v="0"/>
    <x v="34"/>
    <n v="0.65"/>
    <x v="66"/>
    <x v="2"/>
    <m/>
    <m/>
    <m/>
    <m/>
    <m/>
    <m/>
    <m/>
    <m/>
    <m/>
    <m/>
  </r>
  <r>
    <x v="6"/>
    <n v="67088"/>
    <x v="4"/>
    <x v="0"/>
    <x v="3"/>
    <n v="0.91"/>
    <x v="64"/>
    <x v="2"/>
    <m/>
    <m/>
    <m/>
    <m/>
    <m/>
    <m/>
    <m/>
    <m/>
    <m/>
    <m/>
  </r>
  <r>
    <x v="6"/>
    <n v="31312"/>
    <x v="10"/>
    <x v="0"/>
    <x v="25"/>
    <n v="1.29"/>
    <x v="57"/>
    <x v="2"/>
    <m/>
    <m/>
    <m/>
    <m/>
    <m/>
    <m/>
    <m/>
    <m/>
    <m/>
    <m/>
  </r>
  <r>
    <x v="9"/>
    <n v="33914"/>
    <x v="26"/>
    <x v="3"/>
    <x v="39"/>
    <n v="1.48"/>
    <x v="90"/>
    <x v="0"/>
    <m/>
    <m/>
    <m/>
    <m/>
    <m/>
    <m/>
    <m/>
    <m/>
    <m/>
    <m/>
  </r>
  <r>
    <x v="12"/>
    <n v="74181"/>
    <x v="20"/>
    <x v="0"/>
    <x v="72"/>
    <n v="0.52"/>
    <x v="84"/>
    <x v="2"/>
    <m/>
    <m/>
    <m/>
    <m/>
    <m/>
    <m/>
    <m/>
    <m/>
    <m/>
    <m/>
  </r>
  <r>
    <x v="12"/>
    <n v="72734"/>
    <x v="14"/>
    <x v="1"/>
    <x v="78"/>
    <n v="0.5"/>
    <x v="87"/>
    <x v="2"/>
    <m/>
    <m/>
    <m/>
    <m/>
    <m/>
    <m/>
    <m/>
    <m/>
    <m/>
    <m/>
  </r>
  <r>
    <x v="10"/>
    <n v="59319"/>
    <x v="27"/>
    <x v="0"/>
    <x v="63"/>
    <n v="1.1000000000000001"/>
    <x v="26"/>
    <x v="2"/>
    <m/>
    <m/>
    <m/>
    <m/>
    <m/>
    <m/>
    <m/>
    <m/>
    <m/>
    <m/>
  </r>
  <r>
    <x v="15"/>
    <n v="108806"/>
    <x v="28"/>
    <x v="2"/>
    <x v="87"/>
    <n v="0.54"/>
    <x v="5"/>
    <x v="1"/>
    <m/>
    <m/>
    <m/>
    <m/>
    <m/>
    <m/>
    <m/>
    <m/>
    <m/>
    <m/>
  </r>
  <r>
    <x v="13"/>
    <n v="110296"/>
    <x v="0"/>
    <x v="3"/>
    <x v="16"/>
    <n v="0.52"/>
    <x v="3"/>
    <x v="2"/>
    <m/>
    <m/>
    <m/>
    <m/>
    <m/>
    <m/>
    <m/>
    <m/>
    <m/>
    <m/>
  </r>
  <r>
    <x v="2"/>
    <n v="140979"/>
    <x v="4"/>
    <x v="1"/>
    <x v="78"/>
    <n v="1.04"/>
    <x v="73"/>
    <x v="0"/>
    <m/>
    <m/>
    <m/>
    <m/>
    <m/>
    <m/>
    <m/>
    <m/>
    <m/>
    <m/>
  </r>
  <r>
    <x v="1"/>
    <n v="147083"/>
    <x v="10"/>
    <x v="1"/>
    <x v="50"/>
    <n v="1.4"/>
    <x v="42"/>
    <x v="1"/>
    <m/>
    <m/>
    <m/>
    <m/>
    <m/>
    <m/>
    <m/>
    <m/>
    <m/>
    <m/>
  </r>
  <r>
    <x v="3"/>
    <n v="120236"/>
    <x v="16"/>
    <x v="0"/>
    <x v="13"/>
    <n v="0.83"/>
    <x v="33"/>
    <x v="2"/>
    <m/>
    <m/>
    <m/>
    <m/>
    <m/>
    <m/>
    <m/>
    <m/>
    <m/>
    <m/>
  </r>
  <r>
    <x v="12"/>
    <n v="89550"/>
    <x v="16"/>
    <x v="3"/>
    <x v="100"/>
    <n v="0.75"/>
    <x v="86"/>
    <x v="2"/>
    <m/>
    <m/>
    <m/>
    <m/>
    <m/>
    <m/>
    <m/>
    <m/>
    <m/>
    <m/>
  </r>
  <r>
    <x v="14"/>
    <n v="63867"/>
    <x v="9"/>
    <x v="3"/>
    <x v="56"/>
    <n v="1.1499999999999999"/>
    <x v="32"/>
    <x v="0"/>
    <m/>
    <m/>
    <m/>
    <m/>
    <m/>
    <m/>
    <m/>
    <m/>
    <m/>
    <m/>
  </r>
  <r>
    <x v="15"/>
    <n v="132922"/>
    <x v="23"/>
    <x v="3"/>
    <x v="91"/>
    <n v="1.39"/>
    <x v="16"/>
    <x v="1"/>
    <m/>
    <m/>
    <m/>
    <m/>
    <m/>
    <m/>
    <m/>
    <m/>
    <m/>
    <m/>
  </r>
  <r>
    <x v="4"/>
    <n v="134242"/>
    <x v="24"/>
    <x v="2"/>
    <x v="13"/>
    <n v="0.65"/>
    <x v="3"/>
    <x v="2"/>
    <m/>
    <m/>
    <m/>
    <m/>
    <m/>
    <m/>
    <m/>
    <m/>
    <m/>
    <m/>
  </r>
  <r>
    <x v="10"/>
    <n v="72408"/>
    <x v="12"/>
    <x v="3"/>
    <x v="37"/>
    <n v="0.99"/>
    <x v="20"/>
    <x v="2"/>
    <m/>
    <m/>
    <m/>
    <m/>
    <m/>
    <m/>
    <m/>
    <m/>
    <m/>
    <m/>
  </r>
  <r>
    <x v="7"/>
    <n v="146199"/>
    <x v="27"/>
    <x v="0"/>
    <x v="66"/>
    <n v="1.1599999999999999"/>
    <x v="42"/>
    <x v="1"/>
    <m/>
    <m/>
    <m/>
    <m/>
    <m/>
    <m/>
    <m/>
    <m/>
    <m/>
    <m/>
  </r>
  <r>
    <x v="17"/>
    <n v="122864"/>
    <x v="6"/>
    <x v="1"/>
    <x v="1"/>
    <n v="1.38"/>
    <x v="49"/>
    <x v="2"/>
    <m/>
    <m/>
    <m/>
    <m/>
    <m/>
    <m/>
    <m/>
    <m/>
    <m/>
    <m/>
  </r>
  <r>
    <x v="7"/>
    <n v="63791"/>
    <x v="20"/>
    <x v="3"/>
    <x v="32"/>
    <n v="0.65"/>
    <x v="5"/>
    <x v="1"/>
    <m/>
    <m/>
    <m/>
    <m/>
    <m/>
    <m/>
    <m/>
    <m/>
    <m/>
    <m/>
  </r>
  <r>
    <x v="9"/>
    <n v="70840"/>
    <x v="25"/>
    <x v="0"/>
    <x v="49"/>
    <n v="0.93"/>
    <x v="28"/>
    <x v="0"/>
    <m/>
    <m/>
    <m/>
    <m/>
    <m/>
    <m/>
    <m/>
    <m/>
    <m/>
    <m/>
  </r>
  <r>
    <x v="15"/>
    <n v="87796"/>
    <x v="9"/>
    <x v="2"/>
    <x v="26"/>
    <n v="1.0900000000000001"/>
    <x v="18"/>
    <x v="1"/>
    <m/>
    <m/>
    <m/>
    <m/>
    <m/>
    <m/>
    <m/>
    <m/>
    <m/>
    <m/>
  </r>
  <r>
    <x v="5"/>
    <n v="126747"/>
    <x v="7"/>
    <x v="3"/>
    <x v="46"/>
    <n v="1.32"/>
    <x v="54"/>
    <x v="1"/>
    <m/>
    <m/>
    <m/>
    <m/>
    <m/>
    <m/>
    <m/>
    <m/>
    <m/>
    <m/>
  </r>
  <r>
    <x v="16"/>
    <n v="126409"/>
    <x v="25"/>
    <x v="0"/>
    <x v="24"/>
    <n v="1.22"/>
    <x v="73"/>
    <x v="0"/>
    <m/>
    <m/>
    <m/>
    <m/>
    <m/>
    <m/>
    <m/>
    <m/>
    <m/>
    <m/>
  </r>
  <r>
    <x v="8"/>
    <n v="60740"/>
    <x v="28"/>
    <x v="1"/>
    <x v="75"/>
    <n v="1.43"/>
    <x v="86"/>
    <x v="2"/>
    <m/>
    <m/>
    <m/>
    <m/>
    <m/>
    <m/>
    <m/>
    <m/>
    <m/>
    <m/>
  </r>
  <r>
    <x v="1"/>
    <n v="108275"/>
    <x v="4"/>
    <x v="2"/>
    <x v="30"/>
    <n v="0.87"/>
    <x v="5"/>
    <x v="1"/>
    <m/>
    <m/>
    <m/>
    <m/>
    <m/>
    <m/>
    <m/>
    <m/>
    <m/>
    <m/>
  </r>
  <r>
    <x v="14"/>
    <n v="32570"/>
    <x v="16"/>
    <x v="3"/>
    <x v="33"/>
    <n v="0.67"/>
    <x v="39"/>
    <x v="0"/>
    <m/>
    <m/>
    <m/>
    <m/>
    <m/>
    <m/>
    <m/>
    <m/>
    <m/>
    <m/>
  </r>
  <r>
    <x v="14"/>
    <n v="80258"/>
    <x v="7"/>
    <x v="3"/>
    <x v="7"/>
    <n v="0.91"/>
    <x v="51"/>
    <x v="0"/>
    <m/>
    <m/>
    <m/>
    <m/>
    <m/>
    <m/>
    <m/>
    <m/>
    <m/>
    <m/>
  </r>
  <r>
    <x v="12"/>
    <n v="34970"/>
    <x v="8"/>
    <x v="3"/>
    <x v="25"/>
    <n v="0.99"/>
    <x v="79"/>
    <x v="2"/>
    <m/>
    <m/>
    <m/>
    <m/>
    <m/>
    <m/>
    <m/>
    <m/>
    <m/>
    <m/>
  </r>
  <r>
    <x v="0"/>
    <n v="35973"/>
    <x v="23"/>
    <x v="2"/>
    <x v="10"/>
    <n v="1.45"/>
    <x v="56"/>
    <x v="0"/>
    <m/>
    <m/>
    <m/>
    <m/>
    <m/>
    <m/>
    <m/>
    <m/>
    <m/>
    <m/>
  </r>
  <r>
    <x v="8"/>
    <n v="101126"/>
    <x v="22"/>
    <x v="2"/>
    <x v="11"/>
    <n v="0.55000000000000004"/>
    <x v="10"/>
    <x v="2"/>
    <m/>
    <m/>
    <m/>
    <m/>
    <m/>
    <m/>
    <m/>
    <m/>
    <m/>
    <m/>
  </r>
  <r>
    <x v="12"/>
    <n v="123686"/>
    <x v="16"/>
    <x v="3"/>
    <x v="67"/>
    <n v="0.9"/>
    <x v="58"/>
    <x v="2"/>
    <m/>
    <m/>
    <m/>
    <m/>
    <m/>
    <m/>
    <m/>
    <m/>
    <m/>
    <m/>
  </r>
  <r>
    <x v="4"/>
    <n v="39421"/>
    <x v="26"/>
    <x v="0"/>
    <x v="67"/>
    <n v="0.91"/>
    <x v="43"/>
    <x v="2"/>
    <m/>
    <m/>
    <m/>
    <m/>
    <m/>
    <m/>
    <m/>
    <m/>
    <m/>
    <m/>
  </r>
  <r>
    <x v="16"/>
    <n v="119894"/>
    <x v="3"/>
    <x v="3"/>
    <x v="12"/>
    <n v="1.17"/>
    <x v="67"/>
    <x v="0"/>
    <m/>
    <m/>
    <m/>
    <m/>
    <m/>
    <m/>
    <m/>
    <m/>
    <m/>
    <m/>
  </r>
  <r>
    <x v="5"/>
    <n v="78448"/>
    <x v="15"/>
    <x v="2"/>
    <x v="74"/>
    <n v="0.57999999999999996"/>
    <x v="16"/>
    <x v="1"/>
    <m/>
    <m/>
    <m/>
    <m/>
    <m/>
    <m/>
    <m/>
    <m/>
    <m/>
    <m/>
  </r>
  <r>
    <x v="6"/>
    <n v="86686"/>
    <x v="17"/>
    <x v="2"/>
    <x v="25"/>
    <n v="0.83"/>
    <x v="25"/>
    <x v="2"/>
    <m/>
    <m/>
    <m/>
    <m/>
    <m/>
    <m/>
    <m/>
    <m/>
    <m/>
    <m/>
  </r>
  <r>
    <x v="15"/>
    <n v="111319"/>
    <x v="8"/>
    <x v="3"/>
    <x v="77"/>
    <n v="1.18"/>
    <x v="42"/>
    <x v="1"/>
    <m/>
    <m/>
    <m/>
    <m/>
    <m/>
    <m/>
    <m/>
    <m/>
    <m/>
    <m/>
  </r>
  <r>
    <x v="10"/>
    <n v="44363"/>
    <x v="12"/>
    <x v="1"/>
    <x v="14"/>
    <n v="0.74"/>
    <x v="53"/>
    <x v="2"/>
    <m/>
    <m/>
    <m/>
    <m/>
    <m/>
    <m/>
    <m/>
    <m/>
    <m/>
    <m/>
  </r>
  <r>
    <x v="12"/>
    <n v="61325"/>
    <x v="6"/>
    <x v="0"/>
    <x v="73"/>
    <n v="0.94"/>
    <x v="65"/>
    <x v="2"/>
    <m/>
    <m/>
    <m/>
    <m/>
    <m/>
    <m/>
    <m/>
    <m/>
    <m/>
    <m/>
  </r>
  <r>
    <x v="13"/>
    <n v="110296"/>
    <x v="16"/>
    <x v="1"/>
    <x v="98"/>
    <n v="1.23"/>
    <x v="36"/>
    <x v="2"/>
    <m/>
    <m/>
    <m/>
    <m/>
    <m/>
    <m/>
    <m/>
    <m/>
    <m/>
    <m/>
  </r>
  <r>
    <x v="13"/>
    <n v="123909"/>
    <x v="15"/>
    <x v="1"/>
    <x v="57"/>
    <n v="0.56000000000000005"/>
    <x v="78"/>
    <x v="2"/>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AACF4-3485-47D4-A549-2B55207CA1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4" firstHeaderRow="0" firstDataRow="1" firstDataCol="0"/>
  <pivotFields count="18">
    <pivotField showAll="0" measureFilter="1" sortType="descending">
      <items count="21">
        <item x="5"/>
        <item x="17"/>
        <item x="2"/>
        <item x="9"/>
        <item x="12"/>
        <item x="15"/>
        <item x="4"/>
        <item x="13"/>
        <item x="8"/>
        <item x="11"/>
        <item x="19"/>
        <item x="6"/>
        <item x="18"/>
        <item x="1"/>
        <item x="14"/>
        <item x="0"/>
        <item x="3"/>
        <item x="7"/>
        <item x="16"/>
        <item x="1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dataField="1"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Automation_Probability_2030" fld="6" baseField="0" baseItem="0"/>
    <dataField name="Sum of Average_Salary" fld="1"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D5860F-5B47-4AB2-AB35-A564D6D8C3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H36:I42" firstHeaderRow="1" firstDataRow="1" firstDataCol="1"/>
  <pivotFields count="18">
    <pivotField axis="axisRow" showAll="0" measureFilter="1" countASubtotal="1">
      <items count="21">
        <item x="5"/>
        <item x="17"/>
        <item x="2"/>
        <item x="9"/>
        <item x="12"/>
        <item x="15"/>
        <item x="4"/>
        <item x="13"/>
        <item x="8"/>
        <item x="11"/>
        <item x="19"/>
        <item x="6"/>
        <item x="18"/>
        <item x="1"/>
        <item x="14"/>
        <item x="0"/>
        <item x="3"/>
        <item x="7"/>
        <item x="16"/>
        <item x="10"/>
        <item t="countA"/>
      </items>
    </pivotField>
    <pivotField showAll="0"/>
    <pivotField showAll="0"/>
    <pivotField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dataField="1"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6">
    <i>
      <x v="2"/>
    </i>
    <i>
      <x v="3"/>
    </i>
    <i>
      <x v="14"/>
    </i>
    <i>
      <x v="15"/>
    </i>
    <i>
      <x v="18"/>
    </i>
    <i t="grand">
      <x/>
    </i>
  </rowItems>
  <colItems count="1">
    <i/>
  </colItems>
  <dataFields count="1">
    <dataField name="Sum of Automation_Probability_2030" fld="6" baseField="0" baseItem="14"/>
  </dataFields>
  <chartFormats count="2">
    <chartFormat chart="14" format="1"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187C9-6303-4E3F-8863-1EA56F5CD3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8">
    <pivotField axis="axisRow" showAll="0" measureFilter="1" sortType="descending">
      <items count="21">
        <item x="5"/>
        <item x="17"/>
        <item x="2"/>
        <item x="9"/>
        <item x="12"/>
        <item x="15"/>
        <item x="4"/>
        <item x="13"/>
        <item x="8"/>
        <item x="11"/>
        <item x="19"/>
        <item x="6"/>
        <item x="18"/>
        <item x="1"/>
        <item x="14"/>
        <item x="0"/>
        <item x="3"/>
        <item x="7"/>
        <item x="16"/>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dataField="1"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11">
    <i>
      <x v="14"/>
    </i>
    <i>
      <x v="2"/>
    </i>
    <i>
      <x v="15"/>
    </i>
    <i>
      <x v="18"/>
    </i>
    <i>
      <x v="3"/>
    </i>
    <i>
      <x v="16"/>
    </i>
    <i>
      <x v="7"/>
    </i>
    <i>
      <x v="4"/>
    </i>
    <i>
      <x v="19"/>
    </i>
    <i>
      <x v="8"/>
    </i>
    <i t="grand">
      <x/>
    </i>
  </rowItems>
  <colItems count="1">
    <i/>
  </colItems>
  <dataFields count="1">
    <dataField name="Sum of Automation_Probability_2030" fld="6"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0C01F7-8DBC-4B18-B1BF-91DB78CA568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H5:AI14" firstHeaderRow="1" firstDataRow="1" firstDataCol="1"/>
  <pivotFields count="18">
    <pivotField axis="axisRow" showAll="0" measureFilter="1" sortType="descending" countASubtotal="1">
      <items count="21">
        <item x="10"/>
        <item x="16"/>
        <item x="7"/>
        <item x="3"/>
        <item x="0"/>
        <item x="14"/>
        <item x="1"/>
        <item x="18"/>
        <item x="6"/>
        <item x="19"/>
        <item x="11"/>
        <item x="8"/>
        <item x="13"/>
        <item x="4"/>
        <item x="15"/>
        <item x="12"/>
        <item x="9"/>
        <item x="2"/>
        <item x="17"/>
        <item x="5"/>
        <item t="countA"/>
      </items>
      <autoSortScope>
        <pivotArea dataOnly="0" outline="0" fieldPosition="0">
          <references count="1">
            <reference field="4294967294" count="1" selected="0">
              <x v="0"/>
            </reference>
          </references>
        </pivotArea>
      </autoSortScope>
    </pivotField>
    <pivotField showAll="0"/>
    <pivotField showAll="0">
      <items count="31">
        <item x="12"/>
        <item x="0"/>
        <item x="9"/>
        <item x="27"/>
        <item x="15"/>
        <item x="19"/>
        <item x="6"/>
        <item x="4"/>
        <item x="20"/>
        <item x="1"/>
        <item x="11"/>
        <item x="17"/>
        <item x="25"/>
        <item x="28"/>
        <item x="13"/>
        <item x="29"/>
        <item x="3"/>
        <item x="7"/>
        <item x="5"/>
        <item x="26"/>
        <item x="10"/>
        <item x="18"/>
        <item x="16"/>
        <item x="8"/>
        <item x="22"/>
        <item x="21"/>
        <item x="23"/>
        <item x="2"/>
        <item x="14"/>
        <item x="24"/>
        <item t="default"/>
      </items>
    </pivotField>
    <pivotField showAll="0">
      <items count="5">
        <item x="3"/>
        <item x="2"/>
        <item x="0"/>
        <item x="1"/>
        <item t="default"/>
      </items>
    </pivotField>
    <pivotField dataField="1"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9">
    <i>
      <x v="3"/>
    </i>
    <i>
      <x v="15"/>
    </i>
    <i>
      <x v="12"/>
    </i>
    <i>
      <x v="2"/>
    </i>
    <i>
      <x v="1"/>
    </i>
    <i>
      <x/>
    </i>
    <i>
      <x v="4"/>
    </i>
    <i>
      <x v="17"/>
    </i>
    <i t="grand">
      <x/>
    </i>
  </rowItems>
  <colItems count="1">
    <i/>
  </colItems>
  <dataFields count="1">
    <dataField name="Sum of AI_Exposure_Index" fld="4" baseField="0" baseItem="12"/>
  </dataFields>
  <chartFormats count="3">
    <chartFormat chart="31"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0"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B29A75-2145-498E-8875-4C820B8C56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T5:U11" firstHeaderRow="1" firstDataRow="1" firstDataCol="1"/>
  <pivotFields count="18">
    <pivotField showAll="0" countASubtotal="1">
      <items count="21">
        <item x="5"/>
        <item x="17"/>
        <item x="2"/>
        <item x="9"/>
        <item x="12"/>
        <item x="15"/>
        <item x="4"/>
        <item x="13"/>
        <item x="8"/>
        <item x="11"/>
        <item x="19"/>
        <item x="6"/>
        <item x="18"/>
        <item x="1"/>
        <item x="14"/>
        <item x="0"/>
        <item x="3"/>
        <item x="7"/>
        <item x="16"/>
        <item x="10"/>
        <item t="countA"/>
      </items>
    </pivotField>
    <pivotField dataField="1" showAll="0"/>
    <pivotField axis="axisRow" showAll="0" measureFilter="1" sortType="descending">
      <items count="31">
        <item x="12"/>
        <item x="0"/>
        <item x="9"/>
        <item x="27"/>
        <item x="15"/>
        <item x="19"/>
        <item x="6"/>
        <item x="4"/>
        <item x="20"/>
        <item x="1"/>
        <item x="11"/>
        <item x="17"/>
        <item x="25"/>
        <item x="28"/>
        <item x="13"/>
        <item x="29"/>
        <item x="3"/>
        <item x="7"/>
        <item x="5"/>
        <item x="26"/>
        <item x="10"/>
        <item x="18"/>
        <item x="16"/>
        <item x="8"/>
        <item x="22"/>
        <item x="21"/>
        <item x="23"/>
        <item x="2"/>
        <item x="14"/>
        <item x="24"/>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6">
    <i>
      <x v="6"/>
    </i>
    <i>
      <x v="15"/>
    </i>
    <i>
      <x v="2"/>
    </i>
    <i>
      <x v="17"/>
    </i>
    <i>
      <x v="13"/>
    </i>
    <i t="grand">
      <x/>
    </i>
  </rowItems>
  <colItems count="1">
    <i/>
  </colItems>
  <dataFields count="1">
    <dataField name="Average of Average_Salary" fld="1" subtotal="average" baseField="2" baseItem="0"/>
  </dataFields>
  <chartFormats count="2">
    <chartFormat chart="16"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A2A21A-A2F6-4ED8-BDEA-6DE47E028CBD}" name="PivotTable9"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43">
  <location ref="AA5:AB36" firstHeaderRow="1" firstDataRow="1" firstDataCol="1"/>
  <pivotFields count="18">
    <pivotField showAll="0" countASubtotal="1">
      <items count="21">
        <item x="5"/>
        <item x="17"/>
        <item x="2"/>
        <item x="9"/>
        <item x="12"/>
        <item x="15"/>
        <item x="4"/>
        <item x="13"/>
        <item x="8"/>
        <item x="11"/>
        <item x="19"/>
        <item x="6"/>
        <item x="18"/>
        <item x="1"/>
        <item x="14"/>
        <item x="0"/>
        <item x="3"/>
        <item x="7"/>
        <item x="16"/>
        <item x="10"/>
        <item t="countA"/>
      </items>
    </pivotField>
    <pivotField dataField="1" showAll="0"/>
    <pivotField axis="axisRow" showAll="0">
      <items count="31">
        <item x="12"/>
        <item x="0"/>
        <item x="9"/>
        <item x="27"/>
        <item x="15"/>
        <item x="19"/>
        <item x="6"/>
        <item x="4"/>
        <item x="20"/>
        <item x="1"/>
        <item x="11"/>
        <item x="17"/>
        <item x="25"/>
        <item x="28"/>
        <item x="13"/>
        <item x="29"/>
        <item x="3"/>
        <item x="7"/>
        <item x="5"/>
        <item x="26"/>
        <item x="10"/>
        <item x="18"/>
        <item x="16"/>
        <item x="8"/>
        <item x="22"/>
        <item x="21"/>
        <item x="23"/>
        <item x="2"/>
        <item x="14"/>
        <item x="24"/>
        <item t="default"/>
      </items>
    </pivotField>
    <pivotField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Average_Salary" fld="1" subtotal="average" baseField="2" baseItem="0"/>
  </dataFields>
  <chartFormats count="2">
    <chartFormat chart="28" format="4"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4CF9EC-6B0D-4D71-AA01-621DAC34736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R53:AV85" firstHeaderRow="1" firstDataRow="2" firstDataCol="1"/>
  <pivotFields count="18">
    <pivotField dataField="1" showAll="0" countASubtotal="1">
      <items count="21">
        <item x="5"/>
        <item x="17"/>
        <item x="2"/>
        <item x="9"/>
        <item x="12"/>
        <item x="15"/>
        <item x="4"/>
        <item x="13"/>
        <item x="8"/>
        <item x="11"/>
        <item x="19"/>
        <item x="6"/>
        <item x="18"/>
        <item x="1"/>
        <item x="14"/>
        <item x="0"/>
        <item x="3"/>
        <item x="7"/>
        <item x="16"/>
        <item x="10"/>
        <item t="countA"/>
      </items>
    </pivotField>
    <pivotField showAll="0"/>
    <pivotField axis="axisRow" showAll="0">
      <items count="31">
        <item x="24"/>
        <item x="14"/>
        <item x="2"/>
        <item x="23"/>
        <item x="21"/>
        <item x="22"/>
        <item x="8"/>
        <item x="16"/>
        <item x="18"/>
        <item x="10"/>
        <item x="26"/>
        <item x="5"/>
        <item x="7"/>
        <item x="3"/>
        <item x="29"/>
        <item x="13"/>
        <item x="28"/>
        <item x="25"/>
        <item x="17"/>
        <item x="11"/>
        <item x="1"/>
        <item x="20"/>
        <item x="4"/>
        <item x="6"/>
        <item x="19"/>
        <item x="15"/>
        <item x="27"/>
        <item x="9"/>
        <item x="0"/>
        <item x="12"/>
        <item t="default"/>
      </items>
    </pivotField>
    <pivotField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axis="axisCol"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7"/>
  </colFields>
  <colItems count="4">
    <i>
      <x/>
    </i>
    <i>
      <x v="1"/>
    </i>
    <i>
      <x v="2"/>
    </i>
    <i t="grand">
      <x/>
    </i>
  </colItems>
  <dataFields count="1">
    <dataField name="Count of Job_Title" fld="0" subtotal="count" baseField="0" baseItem="0"/>
  </dataFields>
  <chartFormats count="6">
    <chartFormat chart="26" format="0" series="1">
      <pivotArea type="data" outline="0" fieldPosition="0">
        <references count="2">
          <reference field="4294967294" count="1" selected="0">
            <x v="0"/>
          </reference>
          <reference field="7" count="1" selected="0">
            <x v="0"/>
          </reference>
        </references>
      </pivotArea>
    </chartFormat>
    <chartFormat chart="26" format="1" series="1">
      <pivotArea type="data" outline="0" fieldPosition="0">
        <references count="2">
          <reference field="4294967294" count="1" selected="0">
            <x v="0"/>
          </reference>
          <reference field="7" count="1" selected="0">
            <x v="1"/>
          </reference>
        </references>
      </pivotArea>
    </chartFormat>
    <chartFormat chart="26" format="2" series="1">
      <pivotArea type="data" outline="0" fieldPosition="0">
        <references count="2">
          <reference field="4294967294" count="1" selected="0">
            <x v="0"/>
          </reference>
          <reference field="7" count="1" selected="0">
            <x v="2"/>
          </reference>
        </references>
      </pivotArea>
    </chartFormat>
    <chartFormat chart="30" format="6" series="1">
      <pivotArea type="data" outline="0" fieldPosition="0">
        <references count="2">
          <reference field="4294967294" count="1" selected="0">
            <x v="0"/>
          </reference>
          <reference field="7" count="1" selected="0">
            <x v="0"/>
          </reference>
        </references>
      </pivotArea>
    </chartFormat>
    <chartFormat chart="30" format="7" series="1">
      <pivotArea type="data" outline="0" fieldPosition="0">
        <references count="2">
          <reference field="4294967294" count="1" selected="0">
            <x v="0"/>
          </reference>
          <reference field="7" count="1" selected="0">
            <x v="1"/>
          </reference>
        </references>
      </pivotArea>
    </chartFormat>
    <chartFormat chart="30"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F20526-DF8C-454D-B759-3C152E4CA2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T20:AU24" firstHeaderRow="1" firstDataRow="1" firstDataCol="1"/>
  <pivotFields count="18">
    <pivotField showAll="0" countASubtotal="1">
      <items count="21">
        <item x="5"/>
        <item x="17"/>
        <item x="2"/>
        <item x="9"/>
        <item x="12"/>
        <item x="15"/>
        <item x="4"/>
        <item x="13"/>
        <item x="8"/>
        <item x="11"/>
        <item x="19"/>
        <item x="6"/>
        <item x="18"/>
        <item x="1"/>
        <item x="14"/>
        <item x="0"/>
        <item x="3"/>
        <item x="7"/>
        <item x="16"/>
        <item x="10"/>
        <item t="countA"/>
      </items>
    </pivotField>
    <pivotField showAll="0"/>
    <pivotField showAll="0"/>
    <pivotField showAll="0">
      <items count="5">
        <item x="3"/>
        <item x="2"/>
        <item x="0"/>
        <item x="1"/>
        <item t="default"/>
      </items>
    </pivotField>
    <pivotField dataField="1"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axis="axisRow"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AI_Exposure_Index" fld="4" subtotal="average" baseField="7" baseItem="0"/>
  </dataFields>
  <chartFormats count="3">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62E55D-9529-4F5E-8284-B327FB2355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7:B41" firstHeaderRow="1" firstDataRow="1" firstDataCol="1"/>
  <pivotFields count="18">
    <pivotField dataField="1" showAll="0" countASubtotal="1">
      <items count="21">
        <item x="5"/>
        <item x="17"/>
        <item x="2"/>
        <item x="9"/>
        <item x="12"/>
        <item x="15"/>
        <item x="4"/>
        <item x="13"/>
        <item x="8"/>
        <item x="11"/>
        <item x="19"/>
        <item x="6"/>
        <item x="18"/>
        <item x="1"/>
        <item x="14"/>
        <item x="0"/>
        <item x="3"/>
        <item x="7"/>
        <item x="16"/>
        <item x="10"/>
        <item t="countA"/>
      </items>
    </pivotField>
    <pivotField showAll="0"/>
    <pivotField showAll="0">
      <items count="31">
        <item x="24"/>
        <item x="14"/>
        <item x="2"/>
        <item x="23"/>
        <item x="21"/>
        <item x="22"/>
        <item x="8"/>
        <item x="16"/>
        <item x="18"/>
        <item x="10"/>
        <item x="26"/>
        <item x="5"/>
        <item x="7"/>
        <item x="3"/>
        <item x="29"/>
        <item x="13"/>
        <item x="28"/>
        <item x="25"/>
        <item x="17"/>
        <item x="11"/>
        <item x="1"/>
        <item x="20"/>
        <item x="4"/>
        <item x="6"/>
        <item x="19"/>
        <item x="15"/>
        <item x="27"/>
        <item x="9"/>
        <item x="0"/>
        <item x="12"/>
        <item t="default"/>
      </items>
    </pivotField>
    <pivotField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axis="axisRow"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Job_Title" fld="0" subtotal="count" baseField="0" baseItem="0"/>
  </dataFields>
  <chartFormats count="12">
    <chartFormat chart="8"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7" count="1" selected="0">
            <x v="0"/>
          </reference>
        </references>
      </pivotArea>
    </chartFormat>
    <chartFormat chart="16" format="16">
      <pivotArea type="data" outline="0" fieldPosition="0">
        <references count="2">
          <reference field="4294967294" count="1" selected="0">
            <x v="0"/>
          </reference>
          <reference field="7" count="1" selected="0">
            <x v="1"/>
          </reference>
        </references>
      </pivotArea>
    </chartFormat>
    <chartFormat chart="16" format="1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202F83-E8A3-473A-9110-B17458FC99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5:R10" firstHeaderRow="1" firstDataRow="1" firstDataCol="1"/>
  <pivotFields count="18">
    <pivotField showAll="0" countASubtotal="1">
      <items count="21">
        <item x="5"/>
        <item x="17"/>
        <item x="2"/>
        <item x="9"/>
        <item x="12"/>
        <item x="15"/>
        <item x="4"/>
        <item x="13"/>
        <item x="8"/>
        <item x="11"/>
        <item x="19"/>
        <item x="6"/>
        <item x="18"/>
        <item x="1"/>
        <item x="14"/>
        <item x="0"/>
        <item x="3"/>
        <item x="7"/>
        <item x="16"/>
        <item x="10"/>
        <item t="countA"/>
      </items>
    </pivotField>
    <pivotField showAll="0"/>
    <pivotField showAll="0"/>
    <pivotField axis="axisRow"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dataField="1"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Average of Automation_Probability_2030" fld="6" subtotal="average" baseField="3" baseItem="0"/>
  </dataField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1F6A53-3D62-467D-B7DB-964CD29873C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T28:X34" firstHeaderRow="1" firstDataRow="2" firstDataCol="1"/>
  <pivotFields count="18">
    <pivotField dataField="1" showAll="0" countASubtotal="1">
      <items count="21">
        <item x="5"/>
        <item x="17"/>
        <item x="2"/>
        <item x="9"/>
        <item x="12"/>
        <item x="15"/>
        <item x="4"/>
        <item x="13"/>
        <item x="8"/>
        <item x="11"/>
        <item x="19"/>
        <item x="6"/>
        <item x="18"/>
        <item x="1"/>
        <item x="14"/>
        <item x="0"/>
        <item x="3"/>
        <item x="7"/>
        <item x="16"/>
        <item x="10"/>
        <item t="countA"/>
      </items>
    </pivotField>
    <pivotField showAll="0"/>
    <pivotField showAll="0">
      <items count="31">
        <item x="12"/>
        <item x="0"/>
        <item x="9"/>
        <item x="27"/>
        <item x="15"/>
        <item x="19"/>
        <item x="6"/>
        <item x="4"/>
        <item x="20"/>
        <item x="1"/>
        <item x="11"/>
        <item x="17"/>
        <item x="25"/>
        <item x="28"/>
        <item x="13"/>
        <item x="29"/>
        <item x="3"/>
        <item x="7"/>
        <item x="5"/>
        <item x="26"/>
        <item x="10"/>
        <item x="18"/>
        <item x="16"/>
        <item x="8"/>
        <item x="22"/>
        <item x="21"/>
        <item x="23"/>
        <item x="2"/>
        <item x="14"/>
        <item x="24"/>
        <item t="default"/>
      </items>
    </pivotField>
    <pivotField axis="axisRow" showAll="0">
      <items count="5">
        <item x="3"/>
        <item x="2"/>
        <item x="0"/>
        <item x="1"/>
        <item t="default"/>
      </items>
    </pivotField>
    <pivotField showAll="0">
      <items count="102">
        <item x="83"/>
        <item x="9"/>
        <item x="88"/>
        <item x="45"/>
        <item x="80"/>
        <item x="81"/>
        <item x="54"/>
        <item x="42"/>
        <item x="21"/>
        <item x="19"/>
        <item x="23"/>
        <item x="46"/>
        <item x="69"/>
        <item x="63"/>
        <item x="84"/>
        <item x="61"/>
        <item x="24"/>
        <item x="17"/>
        <item x="0"/>
        <item x="32"/>
        <item x="7"/>
        <item x="37"/>
        <item x="20"/>
        <item x="53"/>
        <item x="77"/>
        <item x="85"/>
        <item x="12"/>
        <item x="74"/>
        <item x="66"/>
        <item x="5"/>
        <item x="8"/>
        <item x="78"/>
        <item x="62"/>
        <item x="64"/>
        <item x="94"/>
        <item x="89"/>
        <item x="87"/>
        <item x="31"/>
        <item x="33"/>
        <item x="3"/>
        <item x="40"/>
        <item x="79"/>
        <item x="60"/>
        <item x="41"/>
        <item x="90"/>
        <item x="100"/>
        <item x="76"/>
        <item x="59"/>
        <item x="48"/>
        <item x="28"/>
        <item x="10"/>
        <item x="97"/>
        <item x="4"/>
        <item x="75"/>
        <item x="50"/>
        <item x="18"/>
        <item x="30"/>
        <item x="95"/>
        <item x="68"/>
        <item x="55"/>
        <item x="49"/>
        <item x="44"/>
        <item x="1"/>
        <item x="52"/>
        <item x="73"/>
        <item x="14"/>
        <item x="58"/>
        <item x="6"/>
        <item x="11"/>
        <item x="57"/>
        <item x="26"/>
        <item x="43"/>
        <item x="92"/>
        <item x="71"/>
        <item x="22"/>
        <item x="56"/>
        <item x="72"/>
        <item x="34"/>
        <item x="70"/>
        <item x="65"/>
        <item x="93"/>
        <item x="91"/>
        <item x="29"/>
        <item x="51"/>
        <item x="36"/>
        <item x="67"/>
        <item x="2"/>
        <item x="39"/>
        <item x="82"/>
        <item x="13"/>
        <item x="86"/>
        <item x="25"/>
        <item x="96"/>
        <item x="27"/>
        <item x="16"/>
        <item x="98"/>
        <item x="47"/>
        <item x="15"/>
        <item x="35"/>
        <item x="38"/>
        <item x="99"/>
        <item t="default"/>
      </items>
    </pivotField>
    <pivotField showAll="0"/>
    <pivotField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axis="axisCol" showAll="0" countASubtotal="1">
      <items count="4">
        <item x="0"/>
        <item x="1"/>
        <item x="2"/>
        <item t="countA"/>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7"/>
  </colFields>
  <colItems count="4">
    <i>
      <x/>
    </i>
    <i>
      <x v="1"/>
    </i>
    <i>
      <x v="2"/>
    </i>
    <i t="grand">
      <x/>
    </i>
  </colItems>
  <dataFields count="1">
    <dataField name="Count of Job_Title" fld="0" subtotal="count" baseField="0" baseItem="0"/>
  </dataFields>
  <chartFormats count="6">
    <chartFormat chart="20" format="0" series="1">
      <pivotArea type="data" outline="0" fieldPosition="0">
        <references count="2">
          <reference field="4294967294" count="1" selected="0">
            <x v="0"/>
          </reference>
          <reference field="7" count="1" selected="0">
            <x v="0"/>
          </reference>
        </references>
      </pivotArea>
    </chartFormat>
    <chartFormat chart="20" format="1" series="1">
      <pivotArea type="data" outline="0" fieldPosition="0">
        <references count="2">
          <reference field="4294967294" count="1" selected="0">
            <x v="0"/>
          </reference>
          <reference field="7" count="1" selected="0">
            <x v="1"/>
          </reference>
        </references>
      </pivotArea>
    </chartFormat>
    <chartFormat chart="20" format="2" series="1">
      <pivotArea type="data" outline="0" fieldPosition="0">
        <references count="2">
          <reference field="4294967294" count="1" selected="0">
            <x v="0"/>
          </reference>
          <reference field="7" count="1" selected="0">
            <x v="2"/>
          </reference>
        </references>
      </pivotArea>
    </chartFormat>
    <chartFormat chart="26" format="5" series="1">
      <pivotArea type="data" outline="0" fieldPosition="0">
        <references count="2">
          <reference field="4294967294" count="1" selected="0">
            <x v="0"/>
          </reference>
          <reference field="7" count="1" selected="0">
            <x v="0"/>
          </reference>
        </references>
      </pivotArea>
    </chartFormat>
    <chartFormat chart="26" format="6" series="1">
      <pivotArea type="data" outline="0" fieldPosition="0">
        <references count="2">
          <reference field="4294967294" count="1" selected="0">
            <x v="0"/>
          </reference>
          <reference field="7" count="1" selected="0">
            <x v="1"/>
          </reference>
        </references>
      </pivotArea>
    </chartFormat>
    <chartFormat chart="26" format="7"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D6178E-63D0-4D16-9204-6FEB888546DF}" autoFormatId="16" applyNumberFormats="0" applyBorderFormats="0" applyFontFormats="0" applyPatternFormats="0" applyAlignmentFormats="0" applyWidthHeightFormats="0">
  <queryTableRefresh nextId="19">
    <queryTableFields count="18">
      <queryTableField id="1" name="Job_Title" tableColumnId="1"/>
      <queryTableField id="2" name="Average_Salary" tableColumnId="2"/>
      <queryTableField id="3" name="Years_Experience" tableColumnId="3"/>
      <queryTableField id="4" name="Education_Level" tableColumnId="4"/>
      <queryTableField id="5" name="AI_Exposure_Index" tableColumnId="5"/>
      <queryTableField id="6" name="Tech_Growth_Factor" tableColumnId="6"/>
      <queryTableField id="7" name="Automation_Probability_2030" tableColumnId="7"/>
      <queryTableField id="8" name="Risk_Category" tableColumnId="8"/>
      <queryTableField id="9" name="Skill_1" tableColumnId="9"/>
      <queryTableField id="10" name="Skill_2" tableColumnId="10"/>
      <queryTableField id="11" name="Skill_3" tableColumnId="11"/>
      <queryTableField id="12" name="Skill_4" tableColumnId="12"/>
      <queryTableField id="13" name="Skill_5" tableColumnId="13"/>
      <queryTableField id="14" name="Skill_6" tableColumnId="14"/>
      <queryTableField id="15" name="Skill_7" tableColumnId="15"/>
      <queryTableField id="16" name="Skill_8" tableColumnId="16"/>
      <queryTableField id="17" name="Skill_9" tableColumnId="17"/>
      <queryTableField id="18" name="Skill_1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Experience" xr10:uid="{8BB72303-AA02-4DF0-A45A-A27E1F6519CA}" sourceName="Years_Experience">
  <pivotTables>
    <pivotTable tabId="3" name="PivotTable4"/>
  </pivotTables>
  <data>
    <tabular pivotCacheId="594186052">
      <items count="30">
        <i x="24" s="1"/>
        <i x="14" s="1"/>
        <i x="2" s="1"/>
        <i x="23" s="1"/>
        <i x="21" s="1"/>
        <i x="22" s="1"/>
        <i x="8" s="1"/>
        <i x="16" s="1"/>
        <i x="18" s="1"/>
        <i x="10" s="1"/>
        <i x="26" s="1"/>
        <i x="5" s="1"/>
        <i x="7" s="1"/>
        <i x="3" s="1"/>
        <i x="29" s="1"/>
        <i x="13" s="1"/>
        <i x="28" s="1"/>
        <i x="25" s="1"/>
        <i x="17" s="1"/>
        <i x="11" s="1"/>
        <i x="1" s="1"/>
        <i x="20" s="1"/>
        <i x="4" s="1"/>
        <i x="6" s="1"/>
        <i x="19" s="1"/>
        <i x="15" s="1"/>
        <i x="27" s="1"/>
        <i x="9" s="1"/>
        <i x="0"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583CD83C-3B1F-4F9B-B2E7-B0A40C996A36}" sourceName="Education_Level">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s>
  <data>
    <tabular pivotCacheId="594186052">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EF4E2172-0CD0-4313-93CB-1B661ABD6992}" sourceName="Risk_Category">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s>
  <data>
    <tabular pivotCacheId="59418605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Exposure_Index" xr10:uid="{E558A9BE-8E48-4BE1-9477-AB9010823263}" sourceName="AI_Exposure_Index">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594186052">
      <items count="101">
        <i x="83" s="1"/>
        <i x="9" s="1"/>
        <i x="88" s="1"/>
        <i x="45" s="1"/>
        <i x="80" s="1"/>
        <i x="81" s="1"/>
        <i x="54" s="1"/>
        <i x="42" s="1"/>
        <i x="21" s="1"/>
        <i x="19" s="1"/>
        <i x="23" s="1"/>
        <i x="46" s="1"/>
        <i x="69" s="1"/>
        <i x="63" s="1"/>
        <i x="84" s="1"/>
        <i x="61" s="1"/>
        <i x="24" s="1"/>
        <i x="17" s="1"/>
        <i x="0" s="1"/>
        <i x="32" s="1"/>
        <i x="7" s="1"/>
        <i x="37" s="1"/>
        <i x="20" s="1"/>
        <i x="53" s="1"/>
        <i x="77" s="1"/>
        <i x="85" s="1"/>
        <i x="12" s="1"/>
        <i x="74" s="1"/>
        <i x="66" s="1"/>
        <i x="5" s="1"/>
        <i x="8" s="1"/>
        <i x="78" s="1"/>
        <i x="62" s="1"/>
        <i x="64" s="1"/>
        <i x="94" s="1"/>
        <i x="89" s="1"/>
        <i x="87" s="1"/>
        <i x="31" s="1"/>
        <i x="33" s="1"/>
        <i x="3" s="1"/>
        <i x="40" s="1"/>
        <i x="79" s="1"/>
        <i x="60" s="1"/>
        <i x="41" s="1"/>
        <i x="90" s="1"/>
        <i x="100" s="1"/>
        <i x="76" s="1"/>
        <i x="59" s="1"/>
        <i x="48" s="1"/>
        <i x="28" s="1"/>
        <i x="10" s="1"/>
        <i x="97" s="1"/>
        <i x="4" s="1"/>
        <i x="75" s="1"/>
        <i x="50" s="1"/>
        <i x="18" s="1"/>
        <i x="30" s="1"/>
        <i x="95" s="1"/>
        <i x="68" s="1"/>
        <i x="55" s="1"/>
        <i x="49" s="1"/>
        <i x="44" s="1"/>
        <i x="1" s="1"/>
        <i x="52" s="1"/>
        <i x="73" s="1"/>
        <i x="14" s="1"/>
        <i x="58" s="1"/>
        <i x="6" s="1"/>
        <i x="11" s="1"/>
        <i x="57" s="1"/>
        <i x="26" s="1"/>
        <i x="43" s="1"/>
        <i x="92" s="1"/>
        <i x="71" s="1"/>
        <i x="22" s="1"/>
        <i x="56" s="1"/>
        <i x="72" s="1"/>
        <i x="34" s="1"/>
        <i x="70" s="1"/>
        <i x="65" s="1"/>
        <i x="93" s="1"/>
        <i x="91" s="1"/>
        <i x="29" s="1"/>
        <i x="51" s="1"/>
        <i x="36" s="1"/>
        <i x="67" s="1"/>
        <i x="2" s="1"/>
        <i x="39" s="1"/>
        <i x="82" s="1"/>
        <i x="13" s="1"/>
        <i x="86" s="1"/>
        <i x="25" s="1"/>
        <i x="96" s="1"/>
        <i x="27" s="1"/>
        <i x="16" s="1"/>
        <i x="98" s="1"/>
        <i x="47" s="1"/>
        <i x="15" s="1"/>
        <i x="35" s="1"/>
        <i x="38" s="1"/>
        <i x="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_Experience" xr10:uid="{2E8AF91F-D816-4127-8C39-BA972D9353E0}" cache="Slicer_Years_Experience" caption="Years_Experience" rowHeight="249088"/>
  <slicer name="Education_Level" xr10:uid="{C2D70CF8-418F-48C3-8AA3-D2F23B3F54C7}" cache="Slicer_Education_Level" caption="Education_Level" rowHeight="249088"/>
  <slicer name="Risk_Category" xr10:uid="{9D56DBCB-A77B-4DC3-A740-5E5430E9ECDB}" cache="Slicer_Risk_Category" caption="Risk_Category" rowHeight="249088"/>
  <slicer name="Risk_Category 1" xr10:uid="{62E4B390-14A0-4D54-8DFA-3F373190D120}" cache="Slicer_Risk_Category" caption="Risk_Category" rowHeight="249088"/>
  <slicer name="AI_Exposure_Index" xr10:uid="{ECE36A5A-E6B8-4586-B00B-CFA20A6D9EED}" cache="Slicer_AI_Exposure_Index" caption="AI_Exposure_Index" startItem="94" rowHeight="2490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1" xr10:uid="{3195D25C-24F9-4345-ADB0-A0A57C45952D}" cache="Slicer_Education_Level" caption="Education_Level" rowHeight="249088"/>
  <slicer name="Risk_Category 2" xr10:uid="{F51E64CD-48AA-4A06-A2E4-2D6B1F241325}" cache="Slicer_Risk_Category" caption="Risk_Category" rowHeight="249088"/>
  <slicer name="AI_Exposure_Index 1" xr10:uid="{57D6C7AE-3FAB-4CCC-9A20-7E583B52C894}" cache="Slicer_AI_Exposure_Index" caption="AI_Exposure_Index" startItem="93" rowHeight="2490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45413-4F64-45A8-9BA1-EAAE710C0B1C}" name="AI_Impact_on_Jobs_2030" displayName="AI_Impact_on_Jobs_2030" ref="A1:R3001" tableType="queryTable" totalsRowShown="0">
  <autoFilter ref="A1:R3001" xr:uid="{34A45413-4F64-45A8-9BA1-EAAE710C0B1C}"/>
  <tableColumns count="18">
    <tableColumn id="1" xr3:uid="{EF2AE945-FC95-4B73-905E-9EE99389404A}" uniqueName="1" name="Job_Title" queryTableFieldId="1" dataDxfId="11"/>
    <tableColumn id="2" xr3:uid="{F1FF0554-5139-4A66-BDF2-81CFD3C72847}" uniqueName="2" name="Average_Salary" queryTableFieldId="2"/>
    <tableColumn id="3" xr3:uid="{2ED49A1F-6A99-4407-AF90-FE525C7C6F9B}" uniqueName="3" name="Years_Experience" queryTableFieldId="3"/>
    <tableColumn id="4" xr3:uid="{270B2BC4-174B-4B05-A4E4-24755816B208}" uniqueName="4" name="Education_Level" queryTableFieldId="4" dataDxfId="10"/>
    <tableColumn id="5" xr3:uid="{0098E3BF-64FC-44B1-B3A7-BF970E641B0E}" uniqueName="5" name="AI_Exposure_Index" queryTableFieldId="5"/>
    <tableColumn id="6" xr3:uid="{7614CE61-496A-4B68-B993-1788E86E939A}" uniqueName="6" name="Tech_Growth_Factor" queryTableFieldId="6"/>
    <tableColumn id="7" xr3:uid="{76F55353-4049-47EA-BA72-C30988789260}" uniqueName="7" name="Automation_Probability_2030" queryTableFieldId="7"/>
    <tableColumn id="8" xr3:uid="{42BFD156-17FB-49F3-8E54-FAFD28ABA6B9}" uniqueName="8" name="Risk_Category" queryTableFieldId="8" dataDxfId="9"/>
    <tableColumn id="9" xr3:uid="{4572758B-4FB1-4389-A60A-C55FC0530297}" uniqueName="9" name="Column1" queryTableFieldId="9"/>
    <tableColumn id="10" xr3:uid="{F8F8F49C-CC42-4FF7-B1FF-E4AF3B3F78E7}" uniqueName="10" name="Column2" queryTableFieldId="10"/>
    <tableColumn id="11" xr3:uid="{8BFC36D4-E738-447A-A6B1-8BA4B8CF1187}" uniqueName="11" name="Column3" queryTableFieldId="11"/>
    <tableColumn id="12" xr3:uid="{46376F98-7360-46F0-A305-E4C272A827DC}" uniqueName="12" name="Column4" queryTableFieldId="12"/>
    <tableColumn id="13" xr3:uid="{3B857DA4-2541-42D1-A372-19AE46013E9D}" uniqueName="13" name="Column5" queryTableFieldId="13"/>
    <tableColumn id="14" xr3:uid="{DA72F858-350D-4A26-92C7-4800279CAF20}" uniqueName="14" name="Column6" queryTableFieldId="14"/>
    <tableColumn id="15" xr3:uid="{01FC79F8-5209-4739-B464-D32D9F6DD84F}" uniqueName="15" name="Column7" queryTableFieldId="15"/>
    <tableColumn id="16" xr3:uid="{946C9926-8D45-402D-AA2D-D3B89D1CF1AE}" uniqueName="16" name="Column8" queryTableFieldId="16"/>
    <tableColumn id="17" xr3:uid="{2D319010-3615-4E70-9251-BE4E1A6C8617}" uniqueName="17" name="Column9" queryTableFieldId="17"/>
    <tableColumn id="18" xr3:uid="{92B08438-24DD-40BF-8111-B402DA4F13EB}" uniqueName="18" name="Column10"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47D60E-971D-4E96-98B2-3DF6CC729552}" name="Table2" displayName="Table2" ref="U8:AE11" totalsRowShown="0">
  <autoFilter ref="U8:AE11" xr:uid="{1447D60E-971D-4E96-98B2-3DF6CC729552}"/>
  <tableColumns count="11">
    <tableColumn id="1" xr3:uid="{6DFF5EB7-6C11-4542-BE98-7EDD2BF5BACE}" name="avg(avg_salry)"/>
    <tableColumn id="3" xr3:uid="{14721B20-B3FC-4CE9-AE30-CF7101A3C7F5}" name="avg aut risk"/>
    <tableColumn id="4" xr3:uid="{7A8539F6-1EA6-42BA-94E5-0FA789F46621}" name="max salry" dataDxfId="8">
      <calculatedColumnFormula>MAX(B2,AI_Impact_on_Jobs_2030[Average_Salary])</calculatedColumnFormula>
    </tableColumn>
    <tableColumn id="5" xr3:uid="{E7D6250F-E21A-4823-A32E-1EDC8C7A151F}" name="max autmtn risk" dataDxfId="7">
      <calculatedColumnFormula>MAX(G2,AI_Impact_on_Jobs_2030[Automation_Probability_2030])</calculatedColumnFormula>
    </tableColumn>
    <tableColumn id="6" xr3:uid="{D3632FE0-B6E0-4931-8A94-F63EF7796ED5}" name="avg tech grrowth" dataDxfId="6">
      <calculatedColumnFormula>AVERAGE(F2,AI_Impact_on_Jobs_2030[Tech_Growth_Factor])</calculatedColumnFormula>
    </tableColumn>
    <tableColumn id="7" xr3:uid="{9EAEEB76-E49D-46F0-A953-70A29B7156AC}" name="count of high risk job" dataDxfId="5">
      <calculatedColumnFormula>COUNTIF(AI_Impact_on_Jobs_2030[[#All],[Risk_Category]],"High")</calculatedColumnFormula>
    </tableColumn>
    <tableColumn id="8" xr3:uid="{ED41158C-C90C-4145-BA87-DA9D75AD8C02}" name="med" dataDxfId="4">
      <calculatedColumnFormula>COUNTIF(AI_Impact_on_Jobs_2030[Risk_Category],"Medium")</calculatedColumnFormula>
    </tableColumn>
    <tableColumn id="9" xr3:uid="{E87D7312-57DF-44C1-A160-1C780F423A8D}" name="low" dataDxfId="3">
      <calculatedColumnFormula>COUNTIF(AI_Impact_on_Jobs_2030[Risk_Category],"Low")</calculatedColumnFormula>
    </tableColumn>
    <tableColumn id="10" xr3:uid="{203B1620-8AF7-4BFC-BFF7-5614227618AC}" name="avd_exp" dataDxfId="2">
      <calculatedColumnFormula>AVERAGE(AI_Impact_on_Jobs_2030[Years_Experience])</calculatedColumnFormula>
    </tableColumn>
    <tableColumn id="11" xr3:uid="{FBF6666E-20DF-464C-A826-49EBE5EE3184}" name="avg ai_expos index" dataDxfId="1">
      <calculatedColumnFormula>AVERAGE(AI_Impact_on_Jobs_2030[AI_Exposure_Index])</calculatedColumnFormula>
    </tableColumn>
    <tableColumn id="12" xr3:uid="{7C093124-4CF2-4130-A22D-FB8FC7AA0C51}" name="fast growing tech factor" dataDxfId="0">
      <calculatedColumnFormula>MAX(AI_Impact_on_Jobs_2030[Tech_Growth_Factor])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8563-F56E-4C52-A7E1-38C7564F2ACF}">
  <dimension ref="A3:AV85"/>
  <sheetViews>
    <sheetView topLeftCell="A11" zoomScale="85" workbookViewId="0">
      <selection activeCell="H37" sqref="H37:H41"/>
      <pivotSelection pane="bottomRight" showHeader="1" activeRow="36" activeCol="7" click="1" r:id="rId2">
        <pivotArea dataOnly="0" labelOnly="1" fieldPosition="0">
          <references count="1">
            <reference field="0" count="0"/>
          </references>
        </pivotArea>
      </pivotSelection>
    </sheetView>
  </sheetViews>
  <sheetFormatPr defaultRowHeight="14.3" x14ac:dyDescent="0.25"/>
  <cols>
    <col min="1" max="1" width="18.125" bestFit="1" customWidth="1"/>
    <col min="2" max="2" width="32.875" bestFit="1" customWidth="1"/>
    <col min="3" max="3" width="21.625" bestFit="1" customWidth="1"/>
    <col min="8" max="8" width="18.125" bestFit="1" customWidth="1"/>
    <col min="9" max="9" width="32.875" bestFit="1" customWidth="1"/>
    <col min="10" max="10" width="25" bestFit="1" customWidth="1"/>
    <col min="17" max="17" width="13.125" bestFit="1" customWidth="1"/>
    <col min="18" max="18" width="36" bestFit="1" customWidth="1"/>
    <col min="19" max="19" width="33.125" bestFit="1" customWidth="1"/>
    <col min="20" max="20" width="16" bestFit="1" customWidth="1"/>
    <col min="21" max="21" width="16.25" bestFit="1" customWidth="1"/>
    <col min="22" max="22" width="4.25" bestFit="1" customWidth="1"/>
    <col min="23" max="23" width="7.75" bestFit="1" customWidth="1"/>
    <col min="24" max="24" width="10.75" bestFit="1" customWidth="1"/>
    <col min="27" max="27" width="10.75" bestFit="1" customWidth="1"/>
    <col min="28" max="28" width="23.75" bestFit="1" customWidth="1"/>
    <col min="29" max="29" width="23.25" bestFit="1" customWidth="1"/>
    <col min="30" max="33" width="5" bestFit="1" customWidth="1"/>
    <col min="34" max="34" width="18.125" bestFit="1" customWidth="1"/>
    <col min="35" max="35" width="23.5" bestFit="1" customWidth="1"/>
    <col min="36" max="37" width="5" bestFit="1" customWidth="1"/>
    <col min="38" max="38" width="4" bestFit="1" customWidth="1"/>
    <col min="39" max="43" width="5" bestFit="1" customWidth="1"/>
    <col min="44" max="44" width="16" bestFit="1" customWidth="1"/>
    <col min="45" max="45" width="16.25" bestFit="1" customWidth="1"/>
    <col min="46" max="46" width="13.125" bestFit="1" customWidth="1"/>
    <col min="47" max="47" width="26.625" bestFit="1" customWidth="1"/>
    <col min="48" max="48" width="10.75" bestFit="1" customWidth="1"/>
    <col min="49" max="56" width="5.125" bestFit="1" customWidth="1"/>
    <col min="57" max="57" width="4.125" bestFit="1" customWidth="1"/>
    <col min="58" max="66" width="5.125" bestFit="1" customWidth="1"/>
    <col min="67" max="67" width="4.125" bestFit="1" customWidth="1"/>
    <col min="68" max="76" width="5.125" bestFit="1" customWidth="1"/>
    <col min="77" max="77" width="4.125" bestFit="1" customWidth="1"/>
    <col min="78" max="86" width="5.125" bestFit="1" customWidth="1"/>
    <col min="87" max="87" width="4.125" bestFit="1" customWidth="1"/>
    <col min="88" max="96" width="5.125" bestFit="1" customWidth="1"/>
    <col min="97" max="97" width="4.125" bestFit="1" customWidth="1"/>
    <col min="98" max="106" width="5.125" bestFit="1" customWidth="1"/>
    <col min="107" max="107" width="4.125" bestFit="1" customWidth="1"/>
    <col min="108" max="116" width="5.125" bestFit="1" customWidth="1"/>
    <col min="117" max="117" width="4.125" bestFit="1" customWidth="1"/>
    <col min="118" max="126" width="5.125" bestFit="1" customWidth="1"/>
    <col min="127" max="127" width="4.125" bestFit="1" customWidth="1"/>
    <col min="128" max="136" width="5.125" bestFit="1" customWidth="1"/>
    <col min="137" max="137" width="4.125" bestFit="1" customWidth="1"/>
    <col min="138" max="146" width="5.125" bestFit="1" customWidth="1"/>
    <col min="147" max="147" width="2" bestFit="1" customWidth="1"/>
    <col min="148" max="148" width="10.75" bestFit="1" customWidth="1"/>
  </cols>
  <sheetData>
    <row r="3" spans="1:35" x14ac:dyDescent="0.25">
      <c r="A3" s="1" t="s">
        <v>56</v>
      </c>
      <c r="B3" t="s">
        <v>58</v>
      </c>
      <c r="H3" t="s">
        <v>58</v>
      </c>
      <c r="I3" t="s">
        <v>59</v>
      </c>
    </row>
    <row r="4" spans="1:35" x14ac:dyDescent="0.25">
      <c r="A4" s="2" t="s">
        <v>29</v>
      </c>
      <c r="B4">
        <v>129.37999999999997</v>
      </c>
      <c r="H4">
        <v>1504.5099999999989</v>
      </c>
      <c r="I4">
        <v>268116837</v>
      </c>
    </row>
    <row r="5" spans="1:35" x14ac:dyDescent="0.25">
      <c r="A5" s="2" t="s">
        <v>14</v>
      </c>
      <c r="B5">
        <v>128.84999999999997</v>
      </c>
      <c r="Q5" s="1" t="s">
        <v>56</v>
      </c>
      <c r="R5" t="s">
        <v>63</v>
      </c>
      <c r="T5" s="1" t="s">
        <v>56</v>
      </c>
      <c r="U5" t="s">
        <v>64</v>
      </c>
      <c r="AB5" t="s">
        <v>64</v>
      </c>
      <c r="AH5" s="1" t="s">
        <v>56</v>
      </c>
      <c r="AI5" t="s">
        <v>60</v>
      </c>
    </row>
    <row r="6" spans="1:35" x14ac:dyDescent="0.25">
      <c r="A6" s="2" t="s">
        <v>8</v>
      </c>
      <c r="B6">
        <v>128.29</v>
      </c>
      <c r="H6">
        <v>1504.5099999999989</v>
      </c>
      <c r="I6">
        <v>268116837</v>
      </c>
      <c r="Q6" s="2" t="s">
        <v>28</v>
      </c>
      <c r="R6">
        <v>0.50035294117647022</v>
      </c>
      <c r="T6" s="2">
        <v>23</v>
      </c>
      <c r="U6">
        <v>96669.989795918373</v>
      </c>
      <c r="AA6" s="2">
        <v>29</v>
      </c>
      <c r="AB6">
        <v>89059.64347826087</v>
      </c>
      <c r="AH6" s="2" t="s">
        <v>16</v>
      </c>
      <c r="AI6">
        <v>89.760000000000034</v>
      </c>
    </row>
    <row r="7" spans="1:35" x14ac:dyDescent="0.25">
      <c r="A7" s="2" t="s">
        <v>31</v>
      </c>
      <c r="B7">
        <v>125.25000000000001</v>
      </c>
      <c r="Q7" s="2" t="s">
        <v>15</v>
      </c>
      <c r="R7">
        <v>0.50905612244897902</v>
      </c>
      <c r="T7" s="2">
        <v>14</v>
      </c>
      <c r="U7">
        <v>96270.876288659798</v>
      </c>
      <c r="AA7" s="2">
        <v>28</v>
      </c>
      <c r="AB7">
        <v>89474.532710280371</v>
      </c>
      <c r="AH7" s="2" t="s">
        <v>26</v>
      </c>
      <c r="AI7">
        <v>85.650000000000034</v>
      </c>
    </row>
    <row r="8" spans="1:35" x14ac:dyDescent="0.25">
      <c r="A8" s="2" t="s">
        <v>23</v>
      </c>
      <c r="B8">
        <v>109.76</v>
      </c>
      <c r="Q8" s="2" t="s">
        <v>9</v>
      </c>
      <c r="R8">
        <v>0.49563265306122434</v>
      </c>
      <c r="T8" s="2">
        <v>27</v>
      </c>
      <c r="U8">
        <v>95458.236842105267</v>
      </c>
      <c r="AA8" s="2">
        <v>27</v>
      </c>
      <c r="AB8">
        <v>95458.236842105267</v>
      </c>
      <c r="AH8" s="2" t="s">
        <v>27</v>
      </c>
      <c r="AI8">
        <v>84.329999999999941</v>
      </c>
    </row>
    <row r="9" spans="1:35" x14ac:dyDescent="0.25">
      <c r="A9" s="2" t="s">
        <v>16</v>
      </c>
      <c r="B9">
        <v>89.02000000000001</v>
      </c>
      <c r="Q9" s="2" t="s">
        <v>12</v>
      </c>
      <c r="R9">
        <v>0.50048882681564233</v>
      </c>
      <c r="T9" s="2">
        <v>12</v>
      </c>
      <c r="U9">
        <v>95311.61538461539</v>
      </c>
      <c r="AA9" s="2">
        <v>26</v>
      </c>
      <c r="AB9">
        <v>90221.971698113208</v>
      </c>
      <c r="AH9" s="2" t="s">
        <v>21</v>
      </c>
      <c r="AI9">
        <v>82.55</v>
      </c>
    </row>
    <row r="10" spans="1:35" x14ac:dyDescent="0.25">
      <c r="A10" s="2" t="s">
        <v>27</v>
      </c>
      <c r="B10">
        <v>84.639999999999958</v>
      </c>
      <c r="Q10" s="2" t="s">
        <v>57</v>
      </c>
      <c r="R10">
        <v>0.5015033333333333</v>
      </c>
      <c r="T10" s="2">
        <v>16</v>
      </c>
      <c r="U10">
        <v>93827.270270270266</v>
      </c>
      <c r="AA10" s="2">
        <v>25</v>
      </c>
      <c r="AB10">
        <v>85540.717171717173</v>
      </c>
      <c r="AH10" s="2" t="s">
        <v>31</v>
      </c>
      <c r="AI10">
        <v>79.57999999999997</v>
      </c>
    </row>
    <row r="11" spans="1:35" x14ac:dyDescent="0.25">
      <c r="A11" s="2" t="s">
        <v>26</v>
      </c>
      <c r="B11">
        <v>82.880000000000024</v>
      </c>
      <c r="T11" s="2" t="s">
        <v>57</v>
      </c>
      <c r="U11">
        <v>95464.495107632087</v>
      </c>
      <c r="AA11" s="2">
        <v>24</v>
      </c>
      <c r="AB11">
        <v>86462.22891566265</v>
      </c>
      <c r="AH11" s="2" t="s">
        <v>24</v>
      </c>
      <c r="AI11">
        <v>79.490000000000023</v>
      </c>
    </row>
    <row r="12" spans="1:35" x14ac:dyDescent="0.25">
      <c r="A12" s="2" t="s">
        <v>24</v>
      </c>
      <c r="B12">
        <v>82.229999999999961</v>
      </c>
      <c r="AA12" s="2">
        <v>23</v>
      </c>
      <c r="AB12">
        <v>96669.989795918373</v>
      </c>
      <c r="AH12" s="2" t="s">
        <v>8</v>
      </c>
      <c r="AI12">
        <v>79.30999999999996</v>
      </c>
    </row>
    <row r="13" spans="1:35" x14ac:dyDescent="0.25">
      <c r="A13" s="2" t="s">
        <v>22</v>
      </c>
      <c r="B13">
        <v>77.05</v>
      </c>
      <c r="AA13" s="2">
        <v>22</v>
      </c>
      <c r="AB13">
        <v>89898.020202020198</v>
      </c>
      <c r="AH13" s="2" t="s">
        <v>14</v>
      </c>
      <c r="AI13">
        <v>78.750000000000014</v>
      </c>
    </row>
    <row r="14" spans="1:35" x14ac:dyDescent="0.25">
      <c r="A14" s="2" t="s">
        <v>57</v>
      </c>
      <c r="B14">
        <v>1037.3499999999999</v>
      </c>
      <c r="AA14" s="2">
        <v>21</v>
      </c>
      <c r="AB14">
        <v>88694.123966942148</v>
      </c>
      <c r="AH14" s="2" t="s">
        <v>57</v>
      </c>
      <c r="AI14">
        <v>659.41999999999871</v>
      </c>
    </row>
    <row r="15" spans="1:35" x14ac:dyDescent="0.25">
      <c r="AA15" s="2">
        <v>20</v>
      </c>
      <c r="AB15">
        <v>85467.777777777781</v>
      </c>
    </row>
    <row r="16" spans="1:35" x14ac:dyDescent="0.25">
      <c r="AA16" s="2">
        <v>19</v>
      </c>
      <c r="AB16">
        <v>88638.074468085106</v>
      </c>
    </row>
    <row r="17" spans="20:47" x14ac:dyDescent="0.25">
      <c r="AA17" s="2">
        <v>18</v>
      </c>
      <c r="AB17">
        <v>87098.056603773584</v>
      </c>
    </row>
    <row r="18" spans="20:47" x14ac:dyDescent="0.25">
      <c r="AA18" s="2">
        <v>17</v>
      </c>
      <c r="AB18">
        <v>81039.822784810123</v>
      </c>
    </row>
    <row r="19" spans="20:47" x14ac:dyDescent="0.25">
      <c r="AA19" s="2">
        <v>16</v>
      </c>
      <c r="AB19">
        <v>93827.270270270266</v>
      </c>
    </row>
    <row r="20" spans="20:47" x14ac:dyDescent="0.25">
      <c r="AA20" s="2">
        <v>15</v>
      </c>
      <c r="AB20">
        <v>91810.704081632648</v>
      </c>
      <c r="AT20" s="1" t="s">
        <v>56</v>
      </c>
      <c r="AU20" t="s">
        <v>62</v>
      </c>
    </row>
    <row r="21" spans="20:47" x14ac:dyDescent="0.25">
      <c r="AA21" s="2">
        <v>14</v>
      </c>
      <c r="AB21">
        <v>96270.876288659798</v>
      </c>
      <c r="AT21" s="2" t="s">
        <v>10</v>
      </c>
      <c r="AU21">
        <v>0.50985135135135184</v>
      </c>
    </row>
    <row r="22" spans="20:47" x14ac:dyDescent="0.25">
      <c r="AA22" s="2">
        <v>13</v>
      </c>
      <c r="AB22">
        <v>93486.703296703301</v>
      </c>
      <c r="AT22" s="2" t="s">
        <v>13</v>
      </c>
      <c r="AU22">
        <v>0.49604871447902543</v>
      </c>
    </row>
    <row r="23" spans="20:47" x14ac:dyDescent="0.25">
      <c r="AA23" s="2">
        <v>12</v>
      </c>
      <c r="AB23">
        <v>95311.61538461539</v>
      </c>
      <c r="AT23" s="2" t="s">
        <v>17</v>
      </c>
      <c r="AU23">
        <v>0.49965811965811935</v>
      </c>
    </row>
    <row r="24" spans="20:47" x14ac:dyDescent="0.25">
      <c r="AA24" s="2">
        <v>11</v>
      </c>
      <c r="AB24">
        <v>88173.429824561405</v>
      </c>
      <c r="AT24" s="2" t="s">
        <v>57</v>
      </c>
      <c r="AU24">
        <v>0.50128333333333419</v>
      </c>
    </row>
    <row r="25" spans="20:47" x14ac:dyDescent="0.25">
      <c r="AA25" s="2">
        <v>10</v>
      </c>
      <c r="AB25">
        <v>84428.647058823524</v>
      </c>
    </row>
    <row r="26" spans="20:47" x14ac:dyDescent="0.25">
      <c r="AA26" s="2">
        <v>9</v>
      </c>
      <c r="AB26">
        <v>88725.834951456316</v>
      </c>
    </row>
    <row r="27" spans="20:47" x14ac:dyDescent="0.25">
      <c r="AA27" s="2">
        <v>8</v>
      </c>
      <c r="AB27">
        <v>89819.084210526315</v>
      </c>
    </row>
    <row r="28" spans="20:47" x14ac:dyDescent="0.25">
      <c r="T28" s="1" t="s">
        <v>61</v>
      </c>
      <c r="U28" s="1" t="s">
        <v>65</v>
      </c>
      <c r="AA28" s="2">
        <v>7</v>
      </c>
      <c r="AB28">
        <v>87371.647058823524</v>
      </c>
    </row>
    <row r="29" spans="20:47" x14ac:dyDescent="0.25">
      <c r="T29" s="1" t="s">
        <v>56</v>
      </c>
      <c r="U29" t="s">
        <v>10</v>
      </c>
      <c r="V29" t="s">
        <v>13</v>
      </c>
      <c r="W29" t="s">
        <v>17</v>
      </c>
      <c r="X29" t="s">
        <v>57</v>
      </c>
      <c r="AA29" s="2">
        <v>6</v>
      </c>
      <c r="AB29">
        <v>84251.377777777772</v>
      </c>
    </row>
    <row r="30" spans="20:47" x14ac:dyDescent="0.25">
      <c r="T30" s="2" t="s">
        <v>28</v>
      </c>
      <c r="U30">
        <v>188</v>
      </c>
      <c r="V30">
        <v>190</v>
      </c>
      <c r="W30">
        <v>387</v>
      </c>
      <c r="X30">
        <v>765</v>
      </c>
      <c r="AA30" s="2">
        <v>5</v>
      </c>
      <c r="AB30">
        <v>84829.15625</v>
      </c>
    </row>
    <row r="31" spans="20:47" x14ac:dyDescent="0.25">
      <c r="T31" s="2" t="s">
        <v>15</v>
      </c>
      <c r="U31">
        <v>187</v>
      </c>
      <c r="V31">
        <v>182</v>
      </c>
      <c r="W31">
        <v>415</v>
      </c>
      <c r="X31">
        <v>784</v>
      </c>
      <c r="AA31" s="2">
        <v>4</v>
      </c>
      <c r="AB31">
        <v>91138.864077669903</v>
      </c>
    </row>
    <row r="32" spans="20:47" x14ac:dyDescent="0.25">
      <c r="T32" s="2" t="s">
        <v>9</v>
      </c>
      <c r="U32">
        <v>188</v>
      </c>
      <c r="V32">
        <v>188</v>
      </c>
      <c r="W32">
        <v>359</v>
      </c>
      <c r="X32">
        <v>735</v>
      </c>
      <c r="AA32" s="2">
        <v>3</v>
      </c>
      <c r="AB32">
        <v>83886.110091743118</v>
      </c>
    </row>
    <row r="33" spans="1:35" x14ac:dyDescent="0.25">
      <c r="T33" s="2" t="s">
        <v>12</v>
      </c>
      <c r="U33">
        <v>177</v>
      </c>
      <c r="V33">
        <v>179</v>
      </c>
      <c r="W33">
        <v>360</v>
      </c>
      <c r="X33">
        <v>716</v>
      </c>
      <c r="AA33" s="2">
        <v>2</v>
      </c>
      <c r="AB33">
        <v>93614.842696629217</v>
      </c>
    </row>
    <row r="34" spans="1:35" x14ac:dyDescent="0.25">
      <c r="T34" s="2" t="s">
        <v>57</v>
      </c>
      <c r="U34">
        <v>740</v>
      </c>
      <c r="V34">
        <v>739</v>
      </c>
      <c r="W34">
        <v>1521</v>
      </c>
      <c r="X34">
        <v>3000</v>
      </c>
      <c r="AA34" s="2">
        <v>1</v>
      </c>
      <c r="AB34">
        <v>89240.45</v>
      </c>
    </row>
    <row r="35" spans="1:35" x14ac:dyDescent="0.25">
      <c r="AA35" s="2">
        <v>0</v>
      </c>
      <c r="AB35">
        <v>89339.969387755104</v>
      </c>
    </row>
    <row r="36" spans="1:35" x14ac:dyDescent="0.25">
      <c r="H36" s="1" t="s">
        <v>56</v>
      </c>
      <c r="I36" t="s">
        <v>58</v>
      </c>
      <c r="AA36" s="2" t="s">
        <v>57</v>
      </c>
      <c r="AB36">
        <v>89372.278999999995</v>
      </c>
      <c r="AH36" s="5"/>
    </row>
    <row r="37" spans="1:35" x14ac:dyDescent="0.25">
      <c r="A37" s="1" t="s">
        <v>56</v>
      </c>
      <c r="B37" t="s">
        <v>61</v>
      </c>
      <c r="H37" s="2" t="s">
        <v>14</v>
      </c>
      <c r="I37">
        <v>128.84999999999997</v>
      </c>
    </row>
    <row r="38" spans="1:35" x14ac:dyDescent="0.25">
      <c r="A38" s="2" t="s">
        <v>10</v>
      </c>
      <c r="B38">
        <v>740</v>
      </c>
      <c r="H38" s="2" t="s">
        <v>23</v>
      </c>
      <c r="I38">
        <v>109.76</v>
      </c>
    </row>
    <row r="39" spans="1:35" x14ac:dyDescent="0.25">
      <c r="A39" s="2" t="s">
        <v>13</v>
      </c>
      <c r="B39">
        <v>739</v>
      </c>
      <c r="H39" s="2" t="s">
        <v>29</v>
      </c>
      <c r="I39">
        <v>129.37999999999997</v>
      </c>
    </row>
    <row r="40" spans="1:35" x14ac:dyDescent="0.25">
      <c r="A40" s="2" t="s">
        <v>17</v>
      </c>
      <c r="B40">
        <v>1521</v>
      </c>
      <c r="H40" s="2" t="s">
        <v>8</v>
      </c>
      <c r="I40">
        <v>128.29</v>
      </c>
    </row>
    <row r="41" spans="1:35" x14ac:dyDescent="0.25">
      <c r="A41" s="2" t="s">
        <v>57</v>
      </c>
      <c r="B41">
        <v>3000</v>
      </c>
      <c r="H41" s="2" t="s">
        <v>31</v>
      </c>
      <c r="I41">
        <v>125.25000000000001</v>
      </c>
    </row>
    <row r="42" spans="1:35" x14ac:dyDescent="0.25">
      <c r="H42" s="2" t="s">
        <v>57</v>
      </c>
      <c r="I42">
        <v>621.52999999999986</v>
      </c>
      <c r="AI42" s="2"/>
    </row>
    <row r="43" spans="1:35" x14ac:dyDescent="0.25">
      <c r="AI43" s="2"/>
    </row>
    <row r="44" spans="1:35" x14ac:dyDescent="0.25">
      <c r="AI44" s="2"/>
    </row>
    <row r="45" spans="1:35" x14ac:dyDescent="0.25">
      <c r="AI45" s="2"/>
    </row>
    <row r="46" spans="1:35" x14ac:dyDescent="0.25">
      <c r="AI46" s="2"/>
    </row>
    <row r="53" spans="44:48" x14ac:dyDescent="0.25">
      <c r="AR53" s="1" t="s">
        <v>61</v>
      </c>
      <c r="AS53" s="1" t="s">
        <v>65</v>
      </c>
    </row>
    <row r="54" spans="44:48" x14ac:dyDescent="0.25">
      <c r="AR54" s="1" t="s">
        <v>56</v>
      </c>
      <c r="AS54" t="s">
        <v>10</v>
      </c>
      <c r="AT54" t="s">
        <v>13</v>
      </c>
      <c r="AU54" t="s">
        <v>17</v>
      </c>
      <c r="AV54" t="s">
        <v>57</v>
      </c>
    </row>
    <row r="55" spans="44:48" x14ac:dyDescent="0.25">
      <c r="AR55" s="2">
        <v>0</v>
      </c>
      <c r="AS55">
        <v>27</v>
      </c>
      <c r="AT55">
        <v>26</v>
      </c>
      <c r="AU55">
        <v>45</v>
      </c>
      <c r="AV55">
        <v>98</v>
      </c>
    </row>
    <row r="56" spans="44:48" x14ac:dyDescent="0.25">
      <c r="AR56" s="2">
        <v>1</v>
      </c>
      <c r="AS56">
        <v>31</v>
      </c>
      <c r="AT56">
        <v>26</v>
      </c>
      <c r="AU56">
        <v>43</v>
      </c>
      <c r="AV56">
        <v>100</v>
      </c>
    </row>
    <row r="57" spans="44:48" x14ac:dyDescent="0.25">
      <c r="AR57" s="2">
        <v>2</v>
      </c>
      <c r="AS57">
        <v>21</v>
      </c>
      <c r="AT57">
        <v>24</v>
      </c>
      <c r="AU57">
        <v>44</v>
      </c>
      <c r="AV57">
        <v>89</v>
      </c>
    </row>
    <row r="58" spans="44:48" x14ac:dyDescent="0.25">
      <c r="AR58" s="2">
        <v>3</v>
      </c>
      <c r="AS58">
        <v>26</v>
      </c>
      <c r="AT58">
        <v>21</v>
      </c>
      <c r="AU58">
        <v>62</v>
      </c>
      <c r="AV58">
        <v>109</v>
      </c>
    </row>
    <row r="59" spans="44:48" x14ac:dyDescent="0.25">
      <c r="AR59" s="2">
        <v>4</v>
      </c>
      <c r="AS59">
        <v>25</v>
      </c>
      <c r="AT59">
        <v>17</v>
      </c>
      <c r="AU59">
        <v>61</v>
      </c>
      <c r="AV59">
        <v>103</v>
      </c>
    </row>
    <row r="60" spans="44:48" x14ac:dyDescent="0.25">
      <c r="AR60" s="2">
        <v>5</v>
      </c>
      <c r="AS60">
        <v>27</v>
      </c>
      <c r="AT60">
        <v>21</v>
      </c>
      <c r="AU60">
        <v>48</v>
      </c>
      <c r="AV60">
        <v>96</v>
      </c>
    </row>
    <row r="61" spans="44:48" x14ac:dyDescent="0.25">
      <c r="AR61" s="2">
        <v>6</v>
      </c>
      <c r="AS61">
        <v>26</v>
      </c>
      <c r="AT61">
        <v>14</v>
      </c>
      <c r="AU61">
        <v>50</v>
      </c>
      <c r="AV61">
        <v>90</v>
      </c>
    </row>
    <row r="62" spans="44:48" x14ac:dyDescent="0.25">
      <c r="AR62" s="2">
        <v>7</v>
      </c>
      <c r="AS62">
        <v>19</v>
      </c>
      <c r="AT62">
        <v>28</v>
      </c>
      <c r="AU62">
        <v>55</v>
      </c>
      <c r="AV62">
        <v>102</v>
      </c>
    </row>
    <row r="63" spans="44:48" x14ac:dyDescent="0.25">
      <c r="AR63" s="2">
        <v>8</v>
      </c>
      <c r="AS63">
        <v>23</v>
      </c>
      <c r="AT63">
        <v>20</v>
      </c>
      <c r="AU63">
        <v>52</v>
      </c>
      <c r="AV63">
        <v>95</v>
      </c>
    </row>
    <row r="64" spans="44:48" x14ac:dyDescent="0.25">
      <c r="AR64" s="2">
        <v>9</v>
      </c>
      <c r="AS64">
        <v>30</v>
      </c>
      <c r="AT64">
        <v>31</v>
      </c>
      <c r="AU64">
        <v>42</v>
      </c>
      <c r="AV64">
        <v>103</v>
      </c>
    </row>
    <row r="65" spans="44:48" x14ac:dyDescent="0.25">
      <c r="AR65" s="2">
        <v>10</v>
      </c>
      <c r="AS65">
        <v>25</v>
      </c>
      <c r="AT65">
        <v>21</v>
      </c>
      <c r="AU65">
        <v>56</v>
      </c>
      <c r="AV65">
        <v>102</v>
      </c>
    </row>
    <row r="66" spans="44:48" x14ac:dyDescent="0.25">
      <c r="AR66" s="2">
        <v>11</v>
      </c>
      <c r="AS66">
        <v>25</v>
      </c>
      <c r="AT66">
        <v>34</v>
      </c>
      <c r="AU66">
        <v>55</v>
      </c>
      <c r="AV66">
        <v>114</v>
      </c>
    </row>
    <row r="67" spans="44:48" x14ac:dyDescent="0.25">
      <c r="AR67" s="2">
        <v>12</v>
      </c>
      <c r="AS67">
        <v>20</v>
      </c>
      <c r="AT67">
        <v>27</v>
      </c>
      <c r="AU67">
        <v>44</v>
      </c>
      <c r="AV67">
        <v>91</v>
      </c>
    </row>
    <row r="68" spans="44:48" x14ac:dyDescent="0.25">
      <c r="AR68" s="2">
        <v>13</v>
      </c>
      <c r="AS68">
        <v>19</v>
      </c>
      <c r="AT68">
        <v>25</v>
      </c>
      <c r="AU68">
        <v>47</v>
      </c>
      <c r="AV68">
        <v>91</v>
      </c>
    </row>
    <row r="69" spans="44:48" x14ac:dyDescent="0.25">
      <c r="AR69" s="2">
        <v>14</v>
      </c>
      <c r="AS69">
        <v>18</v>
      </c>
      <c r="AT69">
        <v>25</v>
      </c>
      <c r="AU69">
        <v>54</v>
      </c>
      <c r="AV69">
        <v>97</v>
      </c>
    </row>
    <row r="70" spans="44:48" x14ac:dyDescent="0.25">
      <c r="AR70" s="2">
        <v>15</v>
      </c>
      <c r="AS70">
        <v>26</v>
      </c>
      <c r="AT70">
        <v>27</v>
      </c>
      <c r="AU70">
        <v>45</v>
      </c>
      <c r="AV70">
        <v>98</v>
      </c>
    </row>
    <row r="71" spans="44:48" x14ac:dyDescent="0.25">
      <c r="AR71" s="2">
        <v>16</v>
      </c>
      <c r="AS71">
        <v>37</v>
      </c>
      <c r="AT71">
        <v>26</v>
      </c>
      <c r="AU71">
        <v>48</v>
      </c>
      <c r="AV71">
        <v>111</v>
      </c>
    </row>
    <row r="72" spans="44:48" x14ac:dyDescent="0.25">
      <c r="AR72" s="2">
        <v>17</v>
      </c>
      <c r="AS72">
        <v>15</v>
      </c>
      <c r="AT72">
        <v>21</v>
      </c>
      <c r="AU72">
        <v>43</v>
      </c>
      <c r="AV72">
        <v>79</v>
      </c>
    </row>
    <row r="73" spans="44:48" x14ac:dyDescent="0.25">
      <c r="AR73" s="2">
        <v>18</v>
      </c>
      <c r="AS73">
        <v>23</v>
      </c>
      <c r="AT73">
        <v>33</v>
      </c>
      <c r="AU73">
        <v>50</v>
      </c>
      <c r="AV73">
        <v>106</v>
      </c>
    </row>
    <row r="74" spans="44:48" x14ac:dyDescent="0.25">
      <c r="AR74" s="2">
        <v>19</v>
      </c>
      <c r="AS74">
        <v>24</v>
      </c>
      <c r="AT74">
        <v>19</v>
      </c>
      <c r="AU74">
        <v>51</v>
      </c>
      <c r="AV74">
        <v>94</v>
      </c>
    </row>
    <row r="75" spans="44:48" x14ac:dyDescent="0.25">
      <c r="AR75" s="2">
        <v>20</v>
      </c>
      <c r="AS75">
        <v>23</v>
      </c>
      <c r="AT75">
        <v>20</v>
      </c>
      <c r="AU75">
        <v>47</v>
      </c>
      <c r="AV75">
        <v>90</v>
      </c>
    </row>
    <row r="76" spans="44:48" x14ac:dyDescent="0.25">
      <c r="AR76" s="2">
        <v>21</v>
      </c>
      <c r="AS76">
        <v>30</v>
      </c>
      <c r="AT76">
        <v>44</v>
      </c>
      <c r="AU76">
        <v>47</v>
      </c>
      <c r="AV76">
        <v>121</v>
      </c>
    </row>
    <row r="77" spans="44:48" x14ac:dyDescent="0.25">
      <c r="AR77" s="2">
        <v>22</v>
      </c>
      <c r="AS77">
        <v>24</v>
      </c>
      <c r="AT77">
        <v>25</v>
      </c>
      <c r="AU77">
        <v>50</v>
      </c>
      <c r="AV77">
        <v>99</v>
      </c>
    </row>
    <row r="78" spans="44:48" x14ac:dyDescent="0.25">
      <c r="AR78" s="2">
        <v>23</v>
      </c>
      <c r="AS78">
        <v>20</v>
      </c>
      <c r="AT78">
        <v>24</v>
      </c>
      <c r="AU78">
        <v>54</v>
      </c>
      <c r="AV78">
        <v>98</v>
      </c>
    </row>
    <row r="79" spans="44:48" x14ac:dyDescent="0.25">
      <c r="AR79" s="2">
        <v>24</v>
      </c>
      <c r="AS79">
        <v>15</v>
      </c>
      <c r="AT79">
        <v>22</v>
      </c>
      <c r="AU79">
        <v>46</v>
      </c>
      <c r="AV79">
        <v>83</v>
      </c>
    </row>
    <row r="80" spans="44:48" x14ac:dyDescent="0.25">
      <c r="AR80" s="2">
        <v>25</v>
      </c>
      <c r="AS80">
        <v>32</v>
      </c>
      <c r="AT80">
        <v>24</v>
      </c>
      <c r="AU80">
        <v>43</v>
      </c>
      <c r="AV80">
        <v>99</v>
      </c>
    </row>
    <row r="81" spans="44:48" x14ac:dyDescent="0.25">
      <c r="AR81" s="2">
        <v>26</v>
      </c>
      <c r="AS81">
        <v>29</v>
      </c>
      <c r="AT81">
        <v>22</v>
      </c>
      <c r="AU81">
        <v>55</v>
      </c>
      <c r="AV81">
        <v>106</v>
      </c>
    </row>
    <row r="82" spans="44:48" x14ac:dyDescent="0.25">
      <c r="AR82" s="2">
        <v>27</v>
      </c>
      <c r="AS82">
        <v>29</v>
      </c>
      <c r="AT82">
        <v>28</v>
      </c>
      <c r="AU82">
        <v>57</v>
      </c>
      <c r="AV82">
        <v>114</v>
      </c>
    </row>
    <row r="83" spans="44:48" x14ac:dyDescent="0.25">
      <c r="AR83" s="2">
        <v>28</v>
      </c>
      <c r="AS83">
        <v>26</v>
      </c>
      <c r="AT83">
        <v>22</v>
      </c>
      <c r="AU83">
        <v>59</v>
      </c>
      <c r="AV83">
        <v>107</v>
      </c>
    </row>
    <row r="84" spans="44:48" x14ac:dyDescent="0.25">
      <c r="AR84" s="2">
        <v>29</v>
      </c>
      <c r="AS84">
        <v>25</v>
      </c>
      <c r="AT84">
        <v>22</v>
      </c>
      <c r="AU84">
        <v>68</v>
      </c>
      <c r="AV84">
        <v>115</v>
      </c>
    </row>
    <row r="85" spans="44:48" x14ac:dyDescent="0.25">
      <c r="AR85" s="2" t="s">
        <v>57</v>
      </c>
      <c r="AS85">
        <v>740</v>
      </c>
      <c r="AT85">
        <v>739</v>
      </c>
      <c r="AU85">
        <v>1521</v>
      </c>
      <c r="AV85">
        <v>3000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9C3E-C6A1-4AD8-91B2-6D3E40EA39D1}">
  <dimension ref="A1:AE3001"/>
  <sheetViews>
    <sheetView topLeftCell="E1" workbookViewId="0">
      <selection activeCell="U9" sqref="U9"/>
    </sheetView>
  </sheetViews>
  <sheetFormatPr defaultRowHeight="14.3" x14ac:dyDescent="0.25"/>
  <cols>
    <col min="1" max="1" width="17.75" bestFit="1" customWidth="1"/>
    <col min="2" max="2" width="15.625" bestFit="1" customWidth="1"/>
    <col min="3" max="3" width="17.5" bestFit="1" customWidth="1"/>
    <col min="4" max="4" width="16.375" bestFit="1" customWidth="1"/>
    <col min="5" max="5" width="18.125" bestFit="1" customWidth="1"/>
    <col min="6" max="6" width="19.875" bestFit="1" customWidth="1"/>
    <col min="7" max="7" width="33.25" customWidth="1"/>
    <col min="8" max="8" width="13.25" customWidth="1"/>
    <col min="9" max="9" width="8.5" hidden="1" customWidth="1"/>
    <col min="10" max="10" width="8.375" hidden="1" customWidth="1"/>
    <col min="11" max="17" width="8.5" hidden="1" customWidth="1"/>
    <col min="18" max="18" width="9.5" hidden="1" customWidth="1"/>
    <col min="21" max="21" width="14.375" customWidth="1"/>
    <col min="22" max="22" width="10.375" customWidth="1"/>
    <col min="23" max="23" width="26.375" customWidth="1"/>
    <col min="24" max="24" width="14.25" customWidth="1"/>
    <col min="25" max="28" width="10.375" customWidth="1"/>
  </cols>
  <sheetData>
    <row r="1" spans="1:31" x14ac:dyDescent="0.25">
      <c r="A1" t="s">
        <v>0</v>
      </c>
      <c r="B1" t="s">
        <v>1</v>
      </c>
      <c r="C1" t="s">
        <v>2</v>
      </c>
      <c r="D1" t="s">
        <v>3</v>
      </c>
      <c r="E1" t="s">
        <v>4</v>
      </c>
      <c r="F1" t="s">
        <v>5</v>
      </c>
      <c r="G1" t="s">
        <v>6</v>
      </c>
      <c r="H1" t="s">
        <v>7</v>
      </c>
      <c r="I1" t="s">
        <v>35</v>
      </c>
      <c r="J1" t="s">
        <v>36</v>
      </c>
      <c r="K1" t="s">
        <v>37</v>
      </c>
      <c r="L1" t="s">
        <v>38</v>
      </c>
      <c r="M1" t="s">
        <v>39</v>
      </c>
      <c r="N1" t="s">
        <v>40</v>
      </c>
      <c r="O1" t="s">
        <v>41</v>
      </c>
      <c r="P1" t="s">
        <v>42</v>
      </c>
      <c r="Q1" t="s">
        <v>43</v>
      </c>
      <c r="R1" t="s">
        <v>44</v>
      </c>
    </row>
    <row r="2" spans="1:31" x14ac:dyDescent="0.25">
      <c r="A2" t="s">
        <v>8</v>
      </c>
      <c r="B2">
        <v>45795</v>
      </c>
      <c r="C2">
        <v>28</v>
      </c>
      <c r="D2" t="s">
        <v>9</v>
      </c>
      <c r="E2">
        <v>0.18</v>
      </c>
      <c r="F2">
        <v>1.28</v>
      </c>
      <c r="G2">
        <v>0.85</v>
      </c>
      <c r="H2" t="s">
        <v>10</v>
      </c>
    </row>
    <row r="3" spans="1:31" x14ac:dyDescent="0.25">
      <c r="A3" t="s">
        <v>11</v>
      </c>
      <c r="B3">
        <v>133355</v>
      </c>
      <c r="C3">
        <v>20</v>
      </c>
      <c r="D3" t="s">
        <v>12</v>
      </c>
      <c r="E3">
        <v>0.62</v>
      </c>
      <c r="F3">
        <v>1.1100000000000001</v>
      </c>
      <c r="G3">
        <v>0.05</v>
      </c>
      <c r="H3" t="s">
        <v>13</v>
      </c>
    </row>
    <row r="4" spans="1:31" x14ac:dyDescent="0.25">
      <c r="A4" t="s">
        <v>14</v>
      </c>
      <c r="B4">
        <v>146216</v>
      </c>
      <c r="C4">
        <v>2</v>
      </c>
      <c r="D4" t="s">
        <v>15</v>
      </c>
      <c r="E4">
        <v>0.86</v>
      </c>
      <c r="F4">
        <v>1.18</v>
      </c>
      <c r="G4">
        <v>0.81</v>
      </c>
      <c r="H4" t="s">
        <v>10</v>
      </c>
    </row>
    <row r="5" spans="1:31" x14ac:dyDescent="0.25">
      <c r="A5" t="s">
        <v>16</v>
      </c>
      <c r="B5">
        <v>136530</v>
      </c>
      <c r="C5">
        <v>13</v>
      </c>
      <c r="D5" t="s">
        <v>12</v>
      </c>
      <c r="E5">
        <v>0.39</v>
      </c>
      <c r="F5">
        <v>0.68</v>
      </c>
      <c r="G5">
        <v>0.6</v>
      </c>
      <c r="H5" t="s">
        <v>17</v>
      </c>
    </row>
    <row r="6" spans="1:31" x14ac:dyDescent="0.25">
      <c r="A6" t="s">
        <v>18</v>
      </c>
      <c r="B6">
        <v>70397</v>
      </c>
      <c r="C6">
        <v>22</v>
      </c>
      <c r="D6" t="s">
        <v>15</v>
      </c>
      <c r="E6">
        <v>0.52</v>
      </c>
      <c r="F6">
        <v>1.46</v>
      </c>
      <c r="G6">
        <v>0.64</v>
      </c>
      <c r="H6" t="s">
        <v>17</v>
      </c>
    </row>
    <row r="7" spans="1:31" x14ac:dyDescent="0.25">
      <c r="A7" t="s">
        <v>19</v>
      </c>
      <c r="B7">
        <v>92592</v>
      </c>
      <c r="C7">
        <v>11</v>
      </c>
      <c r="D7" t="s">
        <v>9</v>
      </c>
      <c r="E7">
        <v>0.28999999999999998</v>
      </c>
      <c r="F7">
        <v>0.51</v>
      </c>
      <c r="G7">
        <v>0.1</v>
      </c>
      <c r="H7" t="s">
        <v>13</v>
      </c>
    </row>
    <row r="8" spans="1:31" x14ac:dyDescent="0.25">
      <c r="A8" t="s">
        <v>20</v>
      </c>
      <c r="B8">
        <v>107373</v>
      </c>
      <c r="C8">
        <v>23</v>
      </c>
      <c r="D8" t="s">
        <v>12</v>
      </c>
      <c r="E8">
        <v>0.67</v>
      </c>
      <c r="F8">
        <v>1.0900000000000001</v>
      </c>
      <c r="G8">
        <v>0.41</v>
      </c>
      <c r="H8" t="s">
        <v>17</v>
      </c>
      <c r="U8" t="s">
        <v>45</v>
      </c>
      <c r="V8" t="s">
        <v>46</v>
      </c>
      <c r="W8" t="s">
        <v>47</v>
      </c>
      <c r="X8" t="s">
        <v>48</v>
      </c>
      <c r="Y8" t="s">
        <v>49</v>
      </c>
      <c r="Z8" t="s">
        <v>50</v>
      </c>
      <c r="AA8" t="s">
        <v>51</v>
      </c>
      <c r="AB8" t="s">
        <v>52</v>
      </c>
      <c r="AC8" t="s">
        <v>53</v>
      </c>
      <c r="AD8" t="s">
        <v>54</v>
      </c>
      <c r="AE8" t="s">
        <v>55</v>
      </c>
    </row>
    <row r="9" spans="1:31" x14ac:dyDescent="0.25">
      <c r="A9" t="s">
        <v>21</v>
      </c>
      <c r="B9">
        <v>53419</v>
      </c>
      <c r="C9">
        <v>12</v>
      </c>
      <c r="D9" t="s">
        <v>15</v>
      </c>
      <c r="E9">
        <v>0.2</v>
      </c>
      <c r="F9">
        <v>1.4</v>
      </c>
      <c r="G9">
        <v>0.17</v>
      </c>
      <c r="H9" t="s">
        <v>13</v>
      </c>
      <c r="U9" s="4">
        <f>AVERAGE(B2,AI_Impact_on_Jobs_2030[Average_Salary])</f>
        <v>89357.758080639789</v>
      </c>
      <c r="V9" s="3">
        <f>AVERAGE(G2,AI_Impact_on_Jobs_2030[Automation_Probability_2030])</f>
        <v>0.50161946017993975</v>
      </c>
      <c r="W9">
        <f>MAX(B2,AI_Impact_on_Jobs_2030[Average_Salary])</f>
        <v>149798</v>
      </c>
      <c r="X9">
        <f>MAX(G2,AI_Impact_on_Jobs_2030[Automation_Probability_2030])</f>
        <v>0.95</v>
      </c>
      <c r="Y9">
        <f>AVERAGE(F2,AI_Impact_on_Jobs_2030[Tech_Growth_Factor])</f>
        <v>0.99543818727090705</v>
      </c>
      <c r="Z9">
        <f>COUNTIF(AI_Impact_on_Jobs_2030[[#All],[Risk_Category]],"High")</f>
        <v>740</v>
      </c>
      <c r="AA9">
        <f>COUNTIF(AI_Impact_on_Jobs_2030[Risk_Category],"Medium")</f>
        <v>1521</v>
      </c>
      <c r="AB9">
        <f>COUNTIF(AI_Impact_on_Jobs_2030[Risk_Category],"Low")</f>
        <v>739</v>
      </c>
      <c r="AC9">
        <f>AVERAGE(AI_Impact_on_Jobs_2030[Years_Experience])</f>
        <v>14.677666666666667</v>
      </c>
      <c r="AD9">
        <f>AVERAGE(AI_Impact_on_Jobs_2030[AI_Exposure_Index])</f>
        <v>0.50128333333333397</v>
      </c>
      <c r="AE9">
        <f>MAX(AI_Impact_on_Jobs_2030[Tech_Growth_Factor])</f>
        <v>1.5</v>
      </c>
    </row>
    <row r="10" spans="1:31" x14ac:dyDescent="0.25">
      <c r="A10" t="s">
        <v>22</v>
      </c>
      <c r="B10">
        <v>139225</v>
      </c>
      <c r="C10">
        <v>12</v>
      </c>
      <c r="D10" t="s">
        <v>9</v>
      </c>
      <c r="E10">
        <v>0.3</v>
      </c>
      <c r="F10">
        <v>0.61</v>
      </c>
      <c r="G10">
        <v>0.48</v>
      </c>
      <c r="H10" t="s">
        <v>17</v>
      </c>
      <c r="W10">
        <f>MAX(B3,AI_Impact_on_Jobs_2030[Average_Salary])</f>
        <v>149798</v>
      </c>
      <c r="X10">
        <f>MAX(G3,AI_Impact_on_Jobs_2030[Automation_Probability_2030])</f>
        <v>0.95</v>
      </c>
      <c r="Z10">
        <f>COUNTIF(AI_Impact_on_Jobs_2030[[#All],[Risk_Category]],"High")</f>
        <v>740</v>
      </c>
      <c r="AA10">
        <f>COUNTIF(AI_Impact_on_Jobs_2030[Risk_Category],"Medium")</f>
        <v>1521</v>
      </c>
      <c r="AB10">
        <f>COUNTIF(AI_Impact_on_Jobs_2030[Risk_Category],"Low")</f>
        <v>739</v>
      </c>
      <c r="AC10">
        <f>AVERAGE(AI_Impact_on_Jobs_2030[Years_Experience])</f>
        <v>14.677666666666667</v>
      </c>
      <c r="AD10">
        <f>AVERAGE(AI_Impact_on_Jobs_2030[AI_Exposure_Index])</f>
        <v>0.50128333333333397</v>
      </c>
      <c r="AE10">
        <f>MAX(AI_Impact_on_Jobs_2030[Tech_Growth_Factor])</f>
        <v>1.5</v>
      </c>
    </row>
    <row r="11" spans="1:31" x14ac:dyDescent="0.25">
      <c r="A11" t="s">
        <v>23</v>
      </c>
      <c r="B11">
        <v>85016</v>
      </c>
      <c r="C11">
        <v>2</v>
      </c>
      <c r="D11" t="s">
        <v>15</v>
      </c>
      <c r="E11">
        <v>0.01</v>
      </c>
      <c r="F11">
        <v>1.01</v>
      </c>
      <c r="G11">
        <v>0.8</v>
      </c>
      <c r="H11" t="s">
        <v>10</v>
      </c>
      <c r="W11">
        <f>MAX(B4,AI_Impact_on_Jobs_2030[Average_Salary])</f>
        <v>149798</v>
      </c>
      <c r="X11">
        <f>MAX(G4,AI_Impact_on_Jobs_2030[Automation_Probability_2030])</f>
        <v>0.95</v>
      </c>
      <c r="Z11">
        <f>COUNTIF(AI_Impact_on_Jobs_2030[[#All],[Risk_Category]],"High")</f>
        <v>740</v>
      </c>
      <c r="AA11">
        <f>COUNTIF(AI_Impact_on_Jobs_2030[Risk_Category],"Medium")</f>
        <v>1521</v>
      </c>
      <c r="AB11">
        <f>COUNTIF(AI_Impact_on_Jobs_2030[Risk_Category],"Low")</f>
        <v>739</v>
      </c>
      <c r="AC11">
        <f>AVERAGE(AI_Impact_on_Jobs_2030[Years_Experience])</f>
        <v>14.677666666666667</v>
      </c>
      <c r="AD11">
        <f>AVERAGE(AI_Impact_on_Jobs_2030[AI_Exposure_Index])</f>
        <v>0.50128333333333397</v>
      </c>
      <c r="AE11">
        <f>MAX(AI_Impact_on_Jobs_2030[Tech_Growth_Factor])</f>
        <v>1.5</v>
      </c>
    </row>
    <row r="12" spans="1:31" x14ac:dyDescent="0.25">
      <c r="A12" t="s">
        <v>24</v>
      </c>
      <c r="B12">
        <v>82733</v>
      </c>
      <c r="C12">
        <v>6</v>
      </c>
      <c r="D12" t="s">
        <v>15</v>
      </c>
      <c r="E12">
        <v>0.5</v>
      </c>
      <c r="F12">
        <v>0.8</v>
      </c>
      <c r="G12">
        <v>0.41</v>
      </c>
      <c r="H12" t="s">
        <v>17</v>
      </c>
    </row>
    <row r="13" spans="1:31" x14ac:dyDescent="0.25">
      <c r="A13" t="s">
        <v>18</v>
      </c>
      <c r="B13">
        <v>117455</v>
      </c>
      <c r="C13">
        <v>22</v>
      </c>
      <c r="D13" t="s">
        <v>15</v>
      </c>
      <c r="E13">
        <v>0.67</v>
      </c>
      <c r="F13">
        <v>1.26</v>
      </c>
      <c r="G13">
        <v>0.4</v>
      </c>
      <c r="H13" t="s">
        <v>17</v>
      </c>
    </row>
    <row r="14" spans="1:31" x14ac:dyDescent="0.25">
      <c r="A14" t="s">
        <v>25</v>
      </c>
      <c r="B14">
        <v>79811</v>
      </c>
      <c r="C14">
        <v>27</v>
      </c>
      <c r="D14" t="s">
        <v>15</v>
      </c>
      <c r="E14">
        <v>0.68</v>
      </c>
      <c r="F14">
        <v>0.52</v>
      </c>
      <c r="G14">
        <v>0.5</v>
      </c>
      <c r="H14" t="s">
        <v>17</v>
      </c>
    </row>
    <row r="15" spans="1:31" x14ac:dyDescent="0.25">
      <c r="A15" t="s">
        <v>26</v>
      </c>
      <c r="B15">
        <v>115981</v>
      </c>
      <c r="C15">
        <v>9</v>
      </c>
      <c r="D15" t="s">
        <v>15</v>
      </c>
      <c r="E15">
        <v>0.26</v>
      </c>
      <c r="F15">
        <v>1.1599999999999999</v>
      </c>
      <c r="G15">
        <v>0.63</v>
      </c>
      <c r="H15" t="s">
        <v>17</v>
      </c>
    </row>
    <row r="16" spans="1:31" x14ac:dyDescent="0.25">
      <c r="A16" t="s">
        <v>11</v>
      </c>
      <c r="B16">
        <v>96690</v>
      </c>
      <c r="C16">
        <v>19</v>
      </c>
      <c r="D16" t="s">
        <v>9</v>
      </c>
      <c r="E16">
        <v>0.89</v>
      </c>
      <c r="F16">
        <v>1.28</v>
      </c>
      <c r="G16">
        <v>0.21</v>
      </c>
      <c r="H16" t="s">
        <v>13</v>
      </c>
    </row>
    <row r="17" spans="1:8" x14ac:dyDescent="0.25">
      <c r="A17" t="s">
        <v>27</v>
      </c>
      <c r="B17">
        <v>32869</v>
      </c>
      <c r="C17">
        <v>2</v>
      </c>
      <c r="D17" t="s">
        <v>15</v>
      </c>
      <c r="E17">
        <v>0.65</v>
      </c>
      <c r="F17">
        <v>0.72</v>
      </c>
      <c r="G17">
        <v>0.57999999999999996</v>
      </c>
      <c r="H17" t="s">
        <v>17</v>
      </c>
    </row>
    <row r="18" spans="1:8" x14ac:dyDescent="0.25">
      <c r="A18" t="s">
        <v>21</v>
      </c>
      <c r="B18">
        <v>36893</v>
      </c>
      <c r="C18">
        <v>29</v>
      </c>
      <c r="D18" t="s">
        <v>28</v>
      </c>
      <c r="E18">
        <v>0.97</v>
      </c>
      <c r="F18">
        <v>0.89</v>
      </c>
      <c r="G18">
        <v>0.27</v>
      </c>
      <c r="H18" t="s">
        <v>13</v>
      </c>
    </row>
    <row r="19" spans="1:8" x14ac:dyDescent="0.25">
      <c r="A19" t="s">
        <v>21</v>
      </c>
      <c r="B19">
        <v>103744</v>
      </c>
      <c r="C19">
        <v>11</v>
      </c>
      <c r="D19" t="s">
        <v>28</v>
      </c>
      <c r="E19">
        <v>0.94</v>
      </c>
      <c r="F19">
        <v>1.45</v>
      </c>
      <c r="G19">
        <v>0.28000000000000003</v>
      </c>
      <c r="H19" t="s">
        <v>13</v>
      </c>
    </row>
    <row r="20" spans="1:8" x14ac:dyDescent="0.25">
      <c r="A20" t="s">
        <v>29</v>
      </c>
      <c r="B20">
        <v>148015</v>
      </c>
      <c r="C20">
        <v>2</v>
      </c>
      <c r="D20" t="s">
        <v>12</v>
      </c>
      <c r="E20">
        <v>0.17</v>
      </c>
      <c r="F20">
        <v>1.06</v>
      </c>
      <c r="G20">
        <v>0.93</v>
      </c>
      <c r="H20" t="s">
        <v>10</v>
      </c>
    </row>
    <row r="21" spans="1:8" x14ac:dyDescent="0.25">
      <c r="A21" t="s">
        <v>30</v>
      </c>
      <c r="B21">
        <v>108069</v>
      </c>
      <c r="C21">
        <v>15</v>
      </c>
      <c r="D21" t="s">
        <v>9</v>
      </c>
      <c r="E21">
        <v>0.55000000000000004</v>
      </c>
      <c r="F21">
        <v>0.8</v>
      </c>
      <c r="G21">
        <v>0.15</v>
      </c>
      <c r="H21" t="s">
        <v>13</v>
      </c>
    </row>
    <row r="22" spans="1:8" x14ac:dyDescent="0.25">
      <c r="A22" t="s">
        <v>19</v>
      </c>
      <c r="B22">
        <v>43403</v>
      </c>
      <c r="C22">
        <v>1</v>
      </c>
      <c r="D22" t="s">
        <v>15</v>
      </c>
      <c r="E22">
        <v>0.09</v>
      </c>
      <c r="F22">
        <v>1.08</v>
      </c>
      <c r="G22">
        <v>0.06</v>
      </c>
      <c r="H22" t="s">
        <v>13</v>
      </c>
    </row>
    <row r="23" spans="1:8" x14ac:dyDescent="0.25">
      <c r="A23" t="s">
        <v>22</v>
      </c>
      <c r="B23">
        <v>49508</v>
      </c>
      <c r="C23">
        <v>27</v>
      </c>
      <c r="D23" t="s">
        <v>28</v>
      </c>
      <c r="E23">
        <v>0.22</v>
      </c>
      <c r="F23">
        <v>1.1200000000000001</v>
      </c>
      <c r="G23">
        <v>0.33</v>
      </c>
      <c r="H23" t="s">
        <v>17</v>
      </c>
    </row>
    <row r="24" spans="1:8" x14ac:dyDescent="0.25">
      <c r="A24" t="s">
        <v>21</v>
      </c>
      <c r="B24">
        <v>58251</v>
      </c>
      <c r="C24">
        <v>25</v>
      </c>
      <c r="D24" t="s">
        <v>12</v>
      </c>
      <c r="E24">
        <v>0.08</v>
      </c>
      <c r="F24">
        <v>0.53</v>
      </c>
      <c r="G24">
        <v>0.28999999999999998</v>
      </c>
      <c r="H24" t="s">
        <v>13</v>
      </c>
    </row>
    <row r="25" spans="1:8" x14ac:dyDescent="0.25">
      <c r="A25" t="s">
        <v>18</v>
      </c>
      <c r="B25">
        <v>33343</v>
      </c>
      <c r="C25">
        <v>28</v>
      </c>
      <c r="D25" t="s">
        <v>15</v>
      </c>
      <c r="E25">
        <v>0.74</v>
      </c>
      <c r="F25">
        <v>1.05</v>
      </c>
      <c r="G25">
        <v>0.54</v>
      </c>
      <c r="H25" t="s">
        <v>17</v>
      </c>
    </row>
    <row r="26" spans="1:8" x14ac:dyDescent="0.25">
      <c r="A26" t="s">
        <v>19</v>
      </c>
      <c r="B26">
        <v>125435</v>
      </c>
      <c r="C26">
        <v>15</v>
      </c>
      <c r="D26" t="s">
        <v>12</v>
      </c>
      <c r="E26">
        <v>0.1</v>
      </c>
      <c r="F26">
        <v>0.99</v>
      </c>
      <c r="G26">
        <v>0.17</v>
      </c>
      <c r="H26" t="s">
        <v>13</v>
      </c>
    </row>
    <row r="27" spans="1:8" x14ac:dyDescent="0.25">
      <c r="A27" t="s">
        <v>16</v>
      </c>
      <c r="B27">
        <v>39540</v>
      </c>
      <c r="C27">
        <v>12</v>
      </c>
      <c r="D27" t="s">
        <v>15</v>
      </c>
      <c r="E27">
        <v>0.16</v>
      </c>
      <c r="F27">
        <v>0.56999999999999995</v>
      </c>
      <c r="G27">
        <v>0.56000000000000005</v>
      </c>
      <c r="H27" t="s">
        <v>17</v>
      </c>
    </row>
    <row r="28" spans="1:8" x14ac:dyDescent="0.25">
      <c r="A28" t="s">
        <v>20</v>
      </c>
      <c r="B28">
        <v>68304</v>
      </c>
      <c r="C28">
        <v>7</v>
      </c>
      <c r="D28" t="s">
        <v>9</v>
      </c>
      <c r="E28">
        <v>0.91</v>
      </c>
      <c r="F28">
        <v>0.7</v>
      </c>
      <c r="G28">
        <v>0.33</v>
      </c>
      <c r="H28" t="s">
        <v>17</v>
      </c>
    </row>
    <row r="29" spans="1:8" x14ac:dyDescent="0.25">
      <c r="A29" t="s">
        <v>23</v>
      </c>
      <c r="B29">
        <v>33267</v>
      </c>
      <c r="C29">
        <v>25</v>
      </c>
      <c r="D29" t="s">
        <v>12</v>
      </c>
      <c r="E29">
        <v>0.7</v>
      </c>
      <c r="F29">
        <v>1.1299999999999999</v>
      </c>
      <c r="G29">
        <v>0.92</v>
      </c>
      <c r="H29" t="s">
        <v>10</v>
      </c>
    </row>
    <row r="30" spans="1:8" x14ac:dyDescent="0.25">
      <c r="A30" t="s">
        <v>22</v>
      </c>
      <c r="B30">
        <v>89031</v>
      </c>
      <c r="C30">
        <v>22</v>
      </c>
      <c r="D30" t="s">
        <v>9</v>
      </c>
      <c r="E30">
        <v>0.93</v>
      </c>
      <c r="F30">
        <v>1.36</v>
      </c>
      <c r="G30">
        <v>0.47</v>
      </c>
      <c r="H30" t="s">
        <v>17</v>
      </c>
    </row>
    <row r="31" spans="1:8" x14ac:dyDescent="0.25">
      <c r="A31" t="s">
        <v>22</v>
      </c>
      <c r="B31">
        <v>102936</v>
      </c>
      <c r="C31">
        <v>18</v>
      </c>
      <c r="D31" t="s">
        <v>9</v>
      </c>
      <c r="E31">
        <v>0.09</v>
      </c>
      <c r="F31">
        <v>0.82</v>
      </c>
      <c r="G31">
        <v>0.68</v>
      </c>
      <c r="H31" t="s">
        <v>17</v>
      </c>
    </row>
    <row r="32" spans="1:8" x14ac:dyDescent="0.25">
      <c r="A32" t="s">
        <v>21</v>
      </c>
      <c r="B32">
        <v>114076</v>
      </c>
      <c r="C32">
        <v>20</v>
      </c>
      <c r="D32" t="s">
        <v>9</v>
      </c>
      <c r="E32">
        <v>0.49</v>
      </c>
      <c r="F32">
        <v>0.56000000000000005</v>
      </c>
      <c r="G32">
        <v>0.19</v>
      </c>
      <c r="H32" t="s">
        <v>13</v>
      </c>
    </row>
    <row r="33" spans="1:8" x14ac:dyDescent="0.25">
      <c r="A33" t="s">
        <v>29</v>
      </c>
      <c r="B33">
        <v>69081</v>
      </c>
      <c r="C33">
        <v>8</v>
      </c>
      <c r="D33" t="s">
        <v>15</v>
      </c>
      <c r="E33">
        <v>0.82</v>
      </c>
      <c r="F33">
        <v>1.21</v>
      </c>
      <c r="G33">
        <v>0.72</v>
      </c>
      <c r="H33" t="s">
        <v>10</v>
      </c>
    </row>
    <row r="34" spans="1:8" x14ac:dyDescent="0.25">
      <c r="A34" t="s">
        <v>29</v>
      </c>
      <c r="B34">
        <v>102124</v>
      </c>
      <c r="C34">
        <v>11</v>
      </c>
      <c r="D34" t="s">
        <v>28</v>
      </c>
      <c r="E34">
        <v>0.56000000000000005</v>
      </c>
      <c r="F34">
        <v>0.92</v>
      </c>
      <c r="G34">
        <v>0.93</v>
      </c>
      <c r="H34" t="s">
        <v>10</v>
      </c>
    </row>
    <row r="35" spans="1:8" x14ac:dyDescent="0.25">
      <c r="A35" t="s">
        <v>31</v>
      </c>
      <c r="B35">
        <v>91629</v>
      </c>
      <c r="C35">
        <v>24</v>
      </c>
      <c r="D35" t="s">
        <v>15</v>
      </c>
      <c r="E35">
        <v>0.37</v>
      </c>
      <c r="F35">
        <v>0.79</v>
      </c>
      <c r="G35">
        <v>0.92</v>
      </c>
      <c r="H35" t="s">
        <v>10</v>
      </c>
    </row>
    <row r="36" spans="1:8" x14ac:dyDescent="0.25">
      <c r="A36" t="s">
        <v>21</v>
      </c>
      <c r="B36">
        <v>43843</v>
      </c>
      <c r="C36">
        <v>24</v>
      </c>
      <c r="D36" t="s">
        <v>12</v>
      </c>
      <c r="E36">
        <v>0.52</v>
      </c>
      <c r="F36">
        <v>1.1299999999999999</v>
      </c>
      <c r="G36">
        <v>0.22</v>
      </c>
      <c r="H36" t="s">
        <v>13</v>
      </c>
    </row>
    <row r="37" spans="1:8" x14ac:dyDescent="0.25">
      <c r="A37" t="s">
        <v>20</v>
      </c>
      <c r="B37">
        <v>59703</v>
      </c>
      <c r="C37">
        <v>25</v>
      </c>
      <c r="D37" t="s">
        <v>28</v>
      </c>
      <c r="E37">
        <v>0.19</v>
      </c>
      <c r="F37">
        <v>0.96</v>
      </c>
      <c r="G37">
        <v>0.44</v>
      </c>
      <c r="H37" t="s">
        <v>17</v>
      </c>
    </row>
    <row r="38" spans="1:8" x14ac:dyDescent="0.25">
      <c r="A38" t="s">
        <v>20</v>
      </c>
      <c r="B38">
        <v>64349</v>
      </c>
      <c r="C38">
        <v>2</v>
      </c>
      <c r="D38" t="s">
        <v>28</v>
      </c>
      <c r="E38">
        <v>0.82</v>
      </c>
      <c r="F38">
        <v>1.45</v>
      </c>
      <c r="G38">
        <v>0.59</v>
      </c>
      <c r="H38" t="s">
        <v>17</v>
      </c>
    </row>
    <row r="39" spans="1:8" x14ac:dyDescent="0.25">
      <c r="A39" t="s">
        <v>23</v>
      </c>
      <c r="B39">
        <v>92292</v>
      </c>
      <c r="C39">
        <v>25</v>
      </c>
      <c r="D39" t="s">
        <v>28</v>
      </c>
      <c r="E39">
        <v>0.38</v>
      </c>
      <c r="F39">
        <v>1.47</v>
      </c>
      <c r="G39">
        <v>0.91</v>
      </c>
      <c r="H39" t="s">
        <v>10</v>
      </c>
    </row>
    <row r="40" spans="1:8" x14ac:dyDescent="0.25">
      <c r="A40" t="s">
        <v>32</v>
      </c>
      <c r="B40">
        <v>53524</v>
      </c>
      <c r="C40">
        <v>20</v>
      </c>
      <c r="D40" t="s">
        <v>12</v>
      </c>
      <c r="E40">
        <v>0.94</v>
      </c>
      <c r="F40">
        <v>1.35</v>
      </c>
      <c r="G40">
        <v>0.4</v>
      </c>
      <c r="H40" t="s">
        <v>17</v>
      </c>
    </row>
    <row r="41" spans="1:8" x14ac:dyDescent="0.25">
      <c r="A41" t="s">
        <v>29</v>
      </c>
      <c r="B41">
        <v>88017</v>
      </c>
      <c r="C41">
        <v>21</v>
      </c>
      <c r="D41" t="s">
        <v>28</v>
      </c>
      <c r="E41">
        <v>0.77</v>
      </c>
      <c r="F41">
        <v>1.02</v>
      </c>
      <c r="G41">
        <v>0.91</v>
      </c>
      <c r="H41" t="s">
        <v>10</v>
      </c>
    </row>
    <row r="42" spans="1:8" x14ac:dyDescent="0.25">
      <c r="A42" t="s">
        <v>27</v>
      </c>
      <c r="B42">
        <v>111317</v>
      </c>
      <c r="C42">
        <v>27</v>
      </c>
      <c r="D42" t="s">
        <v>12</v>
      </c>
      <c r="E42">
        <v>0.98</v>
      </c>
      <c r="F42">
        <v>1.1100000000000001</v>
      </c>
      <c r="G42">
        <v>0.55000000000000004</v>
      </c>
      <c r="H42" t="s">
        <v>17</v>
      </c>
    </row>
    <row r="43" spans="1:8" x14ac:dyDescent="0.25">
      <c r="A43" t="s">
        <v>30</v>
      </c>
      <c r="B43">
        <v>144825</v>
      </c>
      <c r="C43">
        <v>23</v>
      </c>
      <c r="D43" t="s">
        <v>28</v>
      </c>
      <c r="E43">
        <v>0.84</v>
      </c>
      <c r="F43">
        <v>1.27</v>
      </c>
      <c r="G43">
        <v>7.0000000000000007E-2</v>
      </c>
      <c r="H43" t="s">
        <v>13</v>
      </c>
    </row>
    <row r="44" spans="1:8" x14ac:dyDescent="0.25">
      <c r="A44" t="s">
        <v>11</v>
      </c>
      <c r="B44">
        <v>52415</v>
      </c>
      <c r="C44">
        <v>7</v>
      </c>
      <c r="D44" t="s">
        <v>12</v>
      </c>
      <c r="E44">
        <v>0.18</v>
      </c>
      <c r="F44">
        <v>1.2</v>
      </c>
      <c r="G44">
        <v>0.15</v>
      </c>
      <c r="H44" t="s">
        <v>13</v>
      </c>
    </row>
    <row r="45" spans="1:8" x14ac:dyDescent="0.25">
      <c r="A45" t="s">
        <v>14</v>
      </c>
      <c r="B45">
        <v>134680</v>
      </c>
      <c r="C45">
        <v>11</v>
      </c>
      <c r="D45" t="s">
        <v>12</v>
      </c>
      <c r="E45">
        <v>0.21</v>
      </c>
      <c r="F45">
        <v>0.86</v>
      </c>
      <c r="G45">
        <v>0.83</v>
      </c>
      <c r="H45" t="s">
        <v>10</v>
      </c>
    </row>
    <row r="46" spans="1:8" x14ac:dyDescent="0.25">
      <c r="A46" t="s">
        <v>23</v>
      </c>
      <c r="B46">
        <v>109714</v>
      </c>
      <c r="C46">
        <v>28</v>
      </c>
      <c r="D46" t="s">
        <v>12</v>
      </c>
      <c r="E46">
        <v>0.99</v>
      </c>
      <c r="F46">
        <v>1.04</v>
      </c>
      <c r="G46">
        <v>0.93</v>
      </c>
      <c r="H46" t="s">
        <v>10</v>
      </c>
    </row>
    <row r="47" spans="1:8" x14ac:dyDescent="0.25">
      <c r="A47" t="s">
        <v>26</v>
      </c>
      <c r="B47">
        <v>97067</v>
      </c>
      <c r="C47">
        <v>12</v>
      </c>
      <c r="D47" t="s">
        <v>15</v>
      </c>
      <c r="E47">
        <v>0.87</v>
      </c>
      <c r="F47">
        <v>0.85</v>
      </c>
      <c r="G47">
        <v>0.46</v>
      </c>
      <c r="H47" t="s">
        <v>17</v>
      </c>
    </row>
    <row r="48" spans="1:8" x14ac:dyDescent="0.25">
      <c r="A48" t="s">
        <v>14</v>
      </c>
      <c r="B48">
        <v>37561</v>
      </c>
      <c r="C48">
        <v>2</v>
      </c>
      <c r="D48" t="s">
        <v>9</v>
      </c>
      <c r="E48">
        <v>0.65</v>
      </c>
      <c r="F48">
        <v>0.98</v>
      </c>
      <c r="G48">
        <v>0.85</v>
      </c>
      <c r="H48" t="s">
        <v>10</v>
      </c>
    </row>
    <row r="49" spans="1:8" x14ac:dyDescent="0.25">
      <c r="A49" t="s">
        <v>21</v>
      </c>
      <c r="B49">
        <v>142581</v>
      </c>
      <c r="C49">
        <v>4</v>
      </c>
      <c r="D49" t="s">
        <v>15</v>
      </c>
      <c r="E49">
        <v>0.93</v>
      </c>
      <c r="F49">
        <v>0.51</v>
      </c>
      <c r="G49">
        <v>0.11</v>
      </c>
      <c r="H49" t="s">
        <v>13</v>
      </c>
    </row>
    <row r="50" spans="1:8" x14ac:dyDescent="0.25">
      <c r="A50" t="s">
        <v>24</v>
      </c>
      <c r="B50">
        <v>39111</v>
      </c>
      <c r="C50">
        <v>5</v>
      </c>
      <c r="D50" t="s">
        <v>28</v>
      </c>
      <c r="E50">
        <v>0.4</v>
      </c>
      <c r="F50">
        <v>1.47</v>
      </c>
      <c r="G50">
        <v>0.65</v>
      </c>
      <c r="H50" t="s">
        <v>17</v>
      </c>
    </row>
    <row r="51" spans="1:8" x14ac:dyDescent="0.25">
      <c r="A51" t="s">
        <v>29</v>
      </c>
      <c r="B51">
        <v>72101</v>
      </c>
      <c r="C51">
        <v>3</v>
      </c>
      <c r="D51" t="s">
        <v>15</v>
      </c>
      <c r="E51">
        <v>0.43</v>
      </c>
      <c r="F51">
        <v>1.01</v>
      </c>
      <c r="G51">
        <v>0.76</v>
      </c>
      <c r="H51" t="s">
        <v>10</v>
      </c>
    </row>
    <row r="52" spans="1:8" x14ac:dyDescent="0.25">
      <c r="A52" t="s">
        <v>8</v>
      </c>
      <c r="B52">
        <v>117958</v>
      </c>
      <c r="C52">
        <v>9</v>
      </c>
      <c r="D52" t="s">
        <v>15</v>
      </c>
      <c r="E52">
        <v>0.99</v>
      </c>
      <c r="F52">
        <v>0.82</v>
      </c>
      <c r="G52">
        <v>0.9</v>
      </c>
      <c r="H52" t="s">
        <v>10</v>
      </c>
    </row>
    <row r="53" spans="1:8" x14ac:dyDescent="0.25">
      <c r="A53" t="s">
        <v>19</v>
      </c>
      <c r="B53">
        <v>97444</v>
      </c>
      <c r="C53">
        <v>23</v>
      </c>
      <c r="D53" t="s">
        <v>15</v>
      </c>
      <c r="E53">
        <v>0.99</v>
      </c>
      <c r="F53">
        <v>0.71</v>
      </c>
      <c r="G53">
        <v>0.14000000000000001</v>
      </c>
      <c r="H53" t="s">
        <v>13</v>
      </c>
    </row>
    <row r="54" spans="1:8" x14ac:dyDescent="0.25">
      <c r="A54" t="s">
        <v>19</v>
      </c>
      <c r="B54">
        <v>30077</v>
      </c>
      <c r="C54">
        <v>25</v>
      </c>
      <c r="D54" t="s">
        <v>15</v>
      </c>
      <c r="E54">
        <v>0.91</v>
      </c>
      <c r="F54">
        <v>0.82</v>
      </c>
      <c r="G54">
        <v>0.2</v>
      </c>
      <c r="H54" t="s">
        <v>13</v>
      </c>
    </row>
    <row r="55" spans="1:8" x14ac:dyDescent="0.25">
      <c r="A55" t="s">
        <v>24</v>
      </c>
      <c r="B55">
        <v>148721</v>
      </c>
      <c r="C55">
        <v>13</v>
      </c>
      <c r="D55" t="s">
        <v>15</v>
      </c>
      <c r="E55">
        <v>7.0000000000000007E-2</v>
      </c>
      <c r="F55">
        <v>0.73</v>
      </c>
      <c r="G55">
        <v>0.52</v>
      </c>
      <c r="H55" t="s">
        <v>17</v>
      </c>
    </row>
    <row r="56" spans="1:8" x14ac:dyDescent="0.25">
      <c r="A56" t="s">
        <v>23</v>
      </c>
      <c r="B56">
        <v>127720</v>
      </c>
      <c r="C56">
        <v>0</v>
      </c>
      <c r="D56" t="s">
        <v>15</v>
      </c>
      <c r="E56">
        <v>0.71</v>
      </c>
      <c r="F56">
        <v>1.28</v>
      </c>
      <c r="G56">
        <v>0.74</v>
      </c>
      <c r="H56" t="s">
        <v>10</v>
      </c>
    </row>
    <row r="57" spans="1:8" x14ac:dyDescent="0.25">
      <c r="A57" t="s">
        <v>26</v>
      </c>
      <c r="B57">
        <v>50103</v>
      </c>
      <c r="C57">
        <v>4</v>
      </c>
      <c r="D57" t="s">
        <v>9</v>
      </c>
      <c r="E57">
        <v>0.49</v>
      </c>
      <c r="F57">
        <v>0.91</v>
      </c>
      <c r="G57">
        <v>0.61</v>
      </c>
      <c r="H57" t="s">
        <v>17</v>
      </c>
    </row>
    <row r="58" spans="1:8" x14ac:dyDescent="0.25">
      <c r="A58" t="s">
        <v>27</v>
      </c>
      <c r="B58">
        <v>145033</v>
      </c>
      <c r="C58">
        <v>13</v>
      </c>
      <c r="D58" t="s">
        <v>15</v>
      </c>
      <c r="E58">
        <v>0.61</v>
      </c>
      <c r="F58">
        <v>1.41</v>
      </c>
      <c r="G58">
        <v>0.36</v>
      </c>
      <c r="H58" t="s">
        <v>17</v>
      </c>
    </row>
    <row r="59" spans="1:8" x14ac:dyDescent="0.25">
      <c r="A59" t="s">
        <v>30</v>
      </c>
      <c r="B59">
        <v>95310</v>
      </c>
      <c r="C59">
        <v>25</v>
      </c>
      <c r="D59" t="s">
        <v>28</v>
      </c>
      <c r="E59">
        <v>7.0000000000000007E-2</v>
      </c>
      <c r="F59">
        <v>0.57999999999999996</v>
      </c>
      <c r="G59">
        <v>0.08</v>
      </c>
      <c r="H59" t="s">
        <v>13</v>
      </c>
    </row>
    <row r="60" spans="1:8" x14ac:dyDescent="0.25">
      <c r="A60" t="s">
        <v>20</v>
      </c>
      <c r="B60">
        <v>93374</v>
      </c>
      <c r="C60">
        <v>20</v>
      </c>
      <c r="D60" t="s">
        <v>9</v>
      </c>
      <c r="E60">
        <v>0.38</v>
      </c>
      <c r="F60">
        <v>1.24</v>
      </c>
      <c r="G60">
        <v>0.38</v>
      </c>
      <c r="H60" t="s">
        <v>17</v>
      </c>
    </row>
    <row r="61" spans="1:8" x14ac:dyDescent="0.25">
      <c r="A61" t="s">
        <v>11</v>
      </c>
      <c r="B61">
        <v>71914</v>
      </c>
      <c r="C61">
        <v>11</v>
      </c>
      <c r="D61" t="s">
        <v>9</v>
      </c>
      <c r="E61">
        <v>0.91</v>
      </c>
      <c r="F61">
        <v>0.75</v>
      </c>
      <c r="G61">
        <v>0.19</v>
      </c>
      <c r="H61" t="s">
        <v>13</v>
      </c>
    </row>
    <row r="62" spans="1:8" x14ac:dyDescent="0.25">
      <c r="A62" t="s">
        <v>18</v>
      </c>
      <c r="B62">
        <v>132547</v>
      </c>
      <c r="C62">
        <v>21</v>
      </c>
      <c r="D62" t="s">
        <v>12</v>
      </c>
      <c r="E62">
        <v>0.86</v>
      </c>
      <c r="F62">
        <v>1.04</v>
      </c>
      <c r="G62">
        <v>0.37</v>
      </c>
      <c r="H62" t="s">
        <v>17</v>
      </c>
    </row>
    <row r="63" spans="1:8" x14ac:dyDescent="0.25">
      <c r="A63" t="s">
        <v>24</v>
      </c>
      <c r="B63">
        <v>119106</v>
      </c>
      <c r="C63">
        <v>17</v>
      </c>
      <c r="D63" t="s">
        <v>9</v>
      </c>
      <c r="E63">
        <v>0.28999999999999998</v>
      </c>
      <c r="F63">
        <v>1.21</v>
      </c>
      <c r="G63">
        <v>0.51</v>
      </c>
      <c r="H63" t="s">
        <v>17</v>
      </c>
    </row>
    <row r="64" spans="1:8" x14ac:dyDescent="0.25">
      <c r="A64" t="s">
        <v>24</v>
      </c>
      <c r="B64">
        <v>82603</v>
      </c>
      <c r="C64">
        <v>0</v>
      </c>
      <c r="D64" t="s">
        <v>15</v>
      </c>
      <c r="E64">
        <v>0.03</v>
      </c>
      <c r="F64">
        <v>0.66</v>
      </c>
      <c r="G64">
        <v>0.59</v>
      </c>
      <c r="H64" t="s">
        <v>17</v>
      </c>
    </row>
    <row r="65" spans="1:8" x14ac:dyDescent="0.25">
      <c r="A65" t="s">
        <v>8</v>
      </c>
      <c r="B65">
        <v>131358</v>
      </c>
      <c r="C65">
        <v>7</v>
      </c>
      <c r="D65" t="s">
        <v>28</v>
      </c>
      <c r="E65">
        <v>0.1</v>
      </c>
      <c r="F65">
        <v>0.74</v>
      </c>
      <c r="G65">
        <v>0.88</v>
      </c>
      <c r="H65" t="s">
        <v>10</v>
      </c>
    </row>
    <row r="66" spans="1:8" x14ac:dyDescent="0.25">
      <c r="A66" t="s">
        <v>8</v>
      </c>
      <c r="B66">
        <v>83394</v>
      </c>
      <c r="C66">
        <v>15</v>
      </c>
      <c r="D66" t="s">
        <v>15</v>
      </c>
      <c r="E66">
        <v>0.18</v>
      </c>
      <c r="F66">
        <v>1.08</v>
      </c>
      <c r="G66">
        <v>0.81</v>
      </c>
      <c r="H66" t="s">
        <v>10</v>
      </c>
    </row>
    <row r="67" spans="1:8" x14ac:dyDescent="0.25">
      <c r="A67" t="s">
        <v>33</v>
      </c>
      <c r="B67">
        <v>92516</v>
      </c>
      <c r="C67">
        <v>11</v>
      </c>
      <c r="D67" t="s">
        <v>28</v>
      </c>
      <c r="E67">
        <v>0.22</v>
      </c>
      <c r="F67">
        <v>1.47</v>
      </c>
      <c r="G67">
        <v>0.24</v>
      </c>
      <c r="H67" t="s">
        <v>13</v>
      </c>
    </row>
    <row r="68" spans="1:8" x14ac:dyDescent="0.25">
      <c r="A68" t="s">
        <v>27</v>
      </c>
      <c r="B68">
        <v>53752</v>
      </c>
      <c r="C68">
        <v>21</v>
      </c>
      <c r="D68" t="s">
        <v>9</v>
      </c>
      <c r="E68">
        <v>0.65</v>
      </c>
      <c r="F68">
        <v>0.92</v>
      </c>
      <c r="G68">
        <v>0.35</v>
      </c>
      <c r="H68" t="s">
        <v>17</v>
      </c>
    </row>
    <row r="69" spans="1:8" x14ac:dyDescent="0.25">
      <c r="A69" t="s">
        <v>19</v>
      </c>
      <c r="B69">
        <v>108411</v>
      </c>
      <c r="C69">
        <v>22</v>
      </c>
      <c r="D69" t="s">
        <v>12</v>
      </c>
      <c r="E69">
        <v>0.11</v>
      </c>
      <c r="F69">
        <v>0.64</v>
      </c>
      <c r="G69">
        <v>0.12</v>
      </c>
      <c r="H69" t="s">
        <v>13</v>
      </c>
    </row>
    <row r="70" spans="1:8" x14ac:dyDescent="0.25">
      <c r="A70" t="s">
        <v>32</v>
      </c>
      <c r="B70">
        <v>116145</v>
      </c>
      <c r="C70">
        <v>27</v>
      </c>
      <c r="D70" t="s">
        <v>9</v>
      </c>
      <c r="E70">
        <v>0.96</v>
      </c>
      <c r="F70">
        <v>0.68</v>
      </c>
      <c r="G70">
        <v>0.34</v>
      </c>
      <c r="H70" t="s">
        <v>17</v>
      </c>
    </row>
    <row r="71" spans="1:8" x14ac:dyDescent="0.25">
      <c r="A71" t="s">
        <v>26</v>
      </c>
      <c r="B71">
        <v>124613</v>
      </c>
      <c r="C71">
        <v>4</v>
      </c>
      <c r="D71" t="s">
        <v>15</v>
      </c>
      <c r="E71">
        <v>0.48</v>
      </c>
      <c r="F71">
        <v>0.77</v>
      </c>
      <c r="G71">
        <v>0.52</v>
      </c>
      <c r="H71" t="s">
        <v>17</v>
      </c>
    </row>
    <row r="72" spans="1:8" x14ac:dyDescent="0.25">
      <c r="A72" t="s">
        <v>34</v>
      </c>
      <c r="B72">
        <v>30060</v>
      </c>
      <c r="C72">
        <v>10</v>
      </c>
      <c r="D72" t="s">
        <v>12</v>
      </c>
      <c r="E72">
        <v>0.6</v>
      </c>
      <c r="F72">
        <v>0.96</v>
      </c>
      <c r="G72">
        <v>0.33</v>
      </c>
      <c r="H72" t="s">
        <v>17</v>
      </c>
    </row>
    <row r="73" spans="1:8" x14ac:dyDescent="0.25">
      <c r="A73" t="s">
        <v>34</v>
      </c>
      <c r="B73">
        <v>87134</v>
      </c>
      <c r="C73">
        <v>11</v>
      </c>
      <c r="D73" t="s">
        <v>15</v>
      </c>
      <c r="E73">
        <v>0.54</v>
      </c>
      <c r="F73">
        <v>1.37</v>
      </c>
      <c r="G73">
        <v>0.59</v>
      </c>
      <c r="H73" t="s">
        <v>17</v>
      </c>
    </row>
    <row r="74" spans="1:8" x14ac:dyDescent="0.25">
      <c r="A74" t="s">
        <v>14</v>
      </c>
      <c r="B74">
        <v>67641</v>
      </c>
      <c r="C74">
        <v>15</v>
      </c>
      <c r="D74" t="s">
        <v>12</v>
      </c>
      <c r="E74">
        <v>0.93</v>
      </c>
      <c r="F74">
        <v>0.68</v>
      </c>
      <c r="G74">
        <v>0.84</v>
      </c>
      <c r="H74" t="s">
        <v>10</v>
      </c>
    </row>
    <row r="75" spans="1:8" x14ac:dyDescent="0.25">
      <c r="A75" t="s">
        <v>11</v>
      </c>
      <c r="B75">
        <v>67265</v>
      </c>
      <c r="C75">
        <v>26</v>
      </c>
      <c r="D75" t="s">
        <v>9</v>
      </c>
      <c r="E75">
        <v>0.83</v>
      </c>
      <c r="F75">
        <v>0.54</v>
      </c>
      <c r="G75">
        <v>0.2</v>
      </c>
      <c r="H75" t="s">
        <v>13</v>
      </c>
    </row>
    <row r="76" spans="1:8" x14ac:dyDescent="0.25">
      <c r="A76" t="s">
        <v>23</v>
      </c>
      <c r="B76">
        <v>145608</v>
      </c>
      <c r="C76">
        <v>12</v>
      </c>
      <c r="D76" t="s">
        <v>9</v>
      </c>
      <c r="E76">
        <v>0.63</v>
      </c>
      <c r="F76">
        <v>1.39</v>
      </c>
      <c r="G76">
        <v>0.85</v>
      </c>
      <c r="H76" t="s">
        <v>10</v>
      </c>
    </row>
    <row r="77" spans="1:8" x14ac:dyDescent="0.25">
      <c r="A77" t="s">
        <v>20</v>
      </c>
      <c r="B77">
        <v>59629</v>
      </c>
      <c r="C77">
        <v>16</v>
      </c>
      <c r="D77" t="s">
        <v>15</v>
      </c>
      <c r="E77">
        <v>0.4</v>
      </c>
      <c r="F77">
        <v>0.98</v>
      </c>
      <c r="G77">
        <v>0.55000000000000004</v>
      </c>
      <c r="H77" t="s">
        <v>17</v>
      </c>
    </row>
    <row r="78" spans="1:8" x14ac:dyDescent="0.25">
      <c r="A78" t="s">
        <v>26</v>
      </c>
      <c r="B78">
        <v>85619</v>
      </c>
      <c r="C78">
        <v>17</v>
      </c>
      <c r="D78" t="s">
        <v>28</v>
      </c>
      <c r="E78">
        <v>0.23</v>
      </c>
      <c r="F78">
        <v>0.54</v>
      </c>
      <c r="G78">
        <v>0.31</v>
      </c>
      <c r="H78" t="s">
        <v>17</v>
      </c>
    </row>
    <row r="79" spans="1:8" x14ac:dyDescent="0.25">
      <c r="A79" t="s">
        <v>16</v>
      </c>
      <c r="B79">
        <v>136506</v>
      </c>
      <c r="C79">
        <v>29</v>
      </c>
      <c r="D79" t="s">
        <v>12</v>
      </c>
      <c r="E79">
        <v>0.61</v>
      </c>
      <c r="F79">
        <v>0.67</v>
      </c>
      <c r="G79">
        <v>0.7</v>
      </c>
      <c r="H79" t="s">
        <v>17</v>
      </c>
    </row>
    <row r="80" spans="1:8" x14ac:dyDescent="0.25">
      <c r="A80" t="s">
        <v>11</v>
      </c>
      <c r="B80">
        <v>148533</v>
      </c>
      <c r="C80">
        <v>4</v>
      </c>
      <c r="D80" t="s">
        <v>15</v>
      </c>
      <c r="E80">
        <v>0.06</v>
      </c>
      <c r="F80">
        <v>1.47</v>
      </c>
      <c r="G80">
        <v>0.27</v>
      </c>
      <c r="H80" t="s">
        <v>13</v>
      </c>
    </row>
    <row r="81" spans="1:8" x14ac:dyDescent="0.25">
      <c r="A81" t="s">
        <v>18</v>
      </c>
      <c r="B81">
        <v>105758</v>
      </c>
      <c r="C81">
        <v>24</v>
      </c>
      <c r="D81" t="s">
        <v>28</v>
      </c>
      <c r="E81">
        <v>0.59</v>
      </c>
      <c r="F81">
        <v>1.08</v>
      </c>
      <c r="G81">
        <v>0.34</v>
      </c>
      <c r="H81" t="s">
        <v>17</v>
      </c>
    </row>
    <row r="82" spans="1:8" x14ac:dyDescent="0.25">
      <c r="A82" t="s">
        <v>34</v>
      </c>
      <c r="B82">
        <v>55559</v>
      </c>
      <c r="C82">
        <v>27</v>
      </c>
      <c r="D82" t="s">
        <v>9</v>
      </c>
      <c r="E82">
        <v>0.37</v>
      </c>
      <c r="F82">
        <v>0.76</v>
      </c>
      <c r="G82">
        <v>0.59</v>
      </c>
      <c r="H82" t="s">
        <v>17</v>
      </c>
    </row>
    <row r="83" spans="1:8" x14ac:dyDescent="0.25">
      <c r="A83" t="s">
        <v>18</v>
      </c>
      <c r="B83">
        <v>31591</v>
      </c>
      <c r="C83">
        <v>7</v>
      </c>
      <c r="D83" t="s">
        <v>9</v>
      </c>
      <c r="E83">
        <v>0.68</v>
      </c>
      <c r="F83">
        <v>1.07</v>
      </c>
      <c r="G83">
        <v>0.41</v>
      </c>
      <c r="H83" t="s">
        <v>17</v>
      </c>
    </row>
    <row r="84" spans="1:8" x14ac:dyDescent="0.25">
      <c r="A84" t="s">
        <v>18</v>
      </c>
      <c r="B84">
        <v>32469</v>
      </c>
      <c r="C84">
        <v>27</v>
      </c>
      <c r="D84" t="s">
        <v>9</v>
      </c>
      <c r="E84">
        <v>0.16</v>
      </c>
      <c r="F84">
        <v>1.38</v>
      </c>
      <c r="G84">
        <v>0.65</v>
      </c>
      <c r="H84" t="s">
        <v>17</v>
      </c>
    </row>
    <row r="85" spans="1:8" x14ac:dyDescent="0.25">
      <c r="A85" t="s">
        <v>34</v>
      </c>
      <c r="B85">
        <v>117263</v>
      </c>
      <c r="C85">
        <v>12</v>
      </c>
      <c r="D85" t="s">
        <v>28</v>
      </c>
      <c r="E85">
        <v>0.62</v>
      </c>
      <c r="F85">
        <v>1.48</v>
      </c>
      <c r="G85">
        <v>0.55000000000000004</v>
      </c>
      <c r="H85" t="s">
        <v>17</v>
      </c>
    </row>
    <row r="86" spans="1:8" x14ac:dyDescent="0.25">
      <c r="A86" t="s">
        <v>29</v>
      </c>
      <c r="B86">
        <v>121357</v>
      </c>
      <c r="C86">
        <v>4</v>
      </c>
      <c r="D86" t="s">
        <v>9</v>
      </c>
      <c r="E86">
        <v>0.1</v>
      </c>
      <c r="F86">
        <v>1.44</v>
      </c>
      <c r="G86">
        <v>0.87</v>
      </c>
      <c r="H86" t="s">
        <v>10</v>
      </c>
    </row>
    <row r="87" spans="1:8" x14ac:dyDescent="0.25">
      <c r="A87" t="s">
        <v>33</v>
      </c>
      <c r="B87">
        <v>54860</v>
      </c>
      <c r="C87">
        <v>11</v>
      </c>
      <c r="D87" t="s">
        <v>15</v>
      </c>
      <c r="E87">
        <v>0.75</v>
      </c>
      <c r="F87">
        <v>0.63</v>
      </c>
      <c r="G87">
        <v>0.24</v>
      </c>
      <c r="H87" t="s">
        <v>13</v>
      </c>
    </row>
    <row r="88" spans="1:8" x14ac:dyDescent="0.25">
      <c r="A88" t="s">
        <v>29</v>
      </c>
      <c r="B88">
        <v>36540</v>
      </c>
      <c r="C88">
        <v>8</v>
      </c>
      <c r="D88" t="s">
        <v>12</v>
      </c>
      <c r="E88">
        <v>0.16</v>
      </c>
      <c r="F88">
        <v>1.29</v>
      </c>
      <c r="G88">
        <v>0.87</v>
      </c>
      <c r="H88" t="s">
        <v>10</v>
      </c>
    </row>
    <row r="89" spans="1:8" x14ac:dyDescent="0.25">
      <c r="A89" t="s">
        <v>29</v>
      </c>
      <c r="B89">
        <v>58602</v>
      </c>
      <c r="C89">
        <v>19</v>
      </c>
      <c r="D89" t="s">
        <v>15</v>
      </c>
      <c r="E89">
        <v>0.4</v>
      </c>
      <c r="F89">
        <v>0.77</v>
      </c>
      <c r="G89">
        <v>0.95</v>
      </c>
      <c r="H89" t="s">
        <v>10</v>
      </c>
    </row>
    <row r="90" spans="1:8" x14ac:dyDescent="0.25">
      <c r="A90" t="s">
        <v>25</v>
      </c>
      <c r="B90">
        <v>69341</v>
      </c>
      <c r="C90">
        <v>24</v>
      </c>
      <c r="D90" t="s">
        <v>12</v>
      </c>
      <c r="E90">
        <v>0.87</v>
      </c>
      <c r="F90">
        <v>1.28</v>
      </c>
      <c r="G90">
        <v>0.61</v>
      </c>
      <c r="H90" t="s">
        <v>17</v>
      </c>
    </row>
    <row r="91" spans="1:8" x14ac:dyDescent="0.25">
      <c r="A91" t="s">
        <v>30</v>
      </c>
      <c r="B91">
        <v>41536</v>
      </c>
      <c r="C91">
        <v>29</v>
      </c>
      <c r="D91" t="s">
        <v>12</v>
      </c>
      <c r="E91">
        <v>0.69</v>
      </c>
      <c r="F91">
        <v>0.93</v>
      </c>
      <c r="G91">
        <v>0.1</v>
      </c>
      <c r="H91" t="s">
        <v>13</v>
      </c>
    </row>
    <row r="92" spans="1:8" x14ac:dyDescent="0.25">
      <c r="A92" t="s">
        <v>34</v>
      </c>
      <c r="B92">
        <v>113309</v>
      </c>
      <c r="C92">
        <v>14</v>
      </c>
      <c r="D92" t="s">
        <v>9</v>
      </c>
      <c r="E92">
        <v>0.6</v>
      </c>
      <c r="F92">
        <v>0.79</v>
      </c>
      <c r="G92">
        <v>0.57999999999999996</v>
      </c>
      <c r="H92" t="s">
        <v>17</v>
      </c>
    </row>
    <row r="93" spans="1:8" x14ac:dyDescent="0.25">
      <c r="A93" t="s">
        <v>19</v>
      </c>
      <c r="B93">
        <v>78787</v>
      </c>
      <c r="C93">
        <v>0</v>
      </c>
      <c r="D93" t="s">
        <v>9</v>
      </c>
      <c r="E93">
        <v>0.56000000000000005</v>
      </c>
      <c r="F93">
        <v>0.51</v>
      </c>
      <c r="G93">
        <v>0.13</v>
      </c>
      <c r="H93" t="s">
        <v>13</v>
      </c>
    </row>
    <row r="94" spans="1:8" x14ac:dyDescent="0.25">
      <c r="A94" t="s">
        <v>27</v>
      </c>
      <c r="B94">
        <v>98577</v>
      </c>
      <c r="C94">
        <v>9</v>
      </c>
      <c r="D94" t="s">
        <v>15</v>
      </c>
      <c r="E94">
        <v>0.17</v>
      </c>
      <c r="F94">
        <v>0.6</v>
      </c>
      <c r="G94">
        <v>0.55000000000000004</v>
      </c>
      <c r="H94" t="s">
        <v>17</v>
      </c>
    </row>
    <row r="95" spans="1:8" x14ac:dyDescent="0.25">
      <c r="A95" t="s">
        <v>14</v>
      </c>
      <c r="B95">
        <v>54826</v>
      </c>
      <c r="C95">
        <v>6</v>
      </c>
      <c r="D95" t="s">
        <v>9</v>
      </c>
      <c r="E95">
        <v>0.66</v>
      </c>
      <c r="F95">
        <v>1.05</v>
      </c>
      <c r="G95">
        <v>0.85</v>
      </c>
      <c r="H95" t="s">
        <v>10</v>
      </c>
    </row>
    <row r="96" spans="1:8" x14ac:dyDescent="0.25">
      <c r="A96" t="s">
        <v>34</v>
      </c>
      <c r="B96">
        <v>61890</v>
      </c>
      <c r="C96">
        <v>22</v>
      </c>
      <c r="D96" t="s">
        <v>9</v>
      </c>
      <c r="E96">
        <v>0.47</v>
      </c>
      <c r="F96">
        <v>1.24</v>
      </c>
      <c r="G96">
        <v>0.65</v>
      </c>
      <c r="H96" t="s">
        <v>17</v>
      </c>
    </row>
    <row r="97" spans="1:8" x14ac:dyDescent="0.25">
      <c r="A97" t="s">
        <v>22</v>
      </c>
      <c r="B97">
        <v>75500</v>
      </c>
      <c r="C97">
        <v>28</v>
      </c>
      <c r="D97" t="s">
        <v>28</v>
      </c>
      <c r="E97">
        <v>0.42</v>
      </c>
      <c r="F97">
        <v>0.7</v>
      </c>
      <c r="G97">
        <v>0.64</v>
      </c>
      <c r="H97" t="s">
        <v>17</v>
      </c>
    </row>
    <row r="98" spans="1:8" x14ac:dyDescent="0.25">
      <c r="A98" t="s">
        <v>31</v>
      </c>
      <c r="B98">
        <v>95128</v>
      </c>
      <c r="C98">
        <v>3</v>
      </c>
      <c r="D98" t="s">
        <v>12</v>
      </c>
      <c r="E98">
        <v>0.03</v>
      </c>
      <c r="F98">
        <v>0.9</v>
      </c>
      <c r="G98">
        <v>0.85</v>
      </c>
      <c r="H98" t="s">
        <v>10</v>
      </c>
    </row>
    <row r="99" spans="1:8" x14ac:dyDescent="0.25">
      <c r="A99" t="s">
        <v>24</v>
      </c>
      <c r="B99">
        <v>49975</v>
      </c>
      <c r="C99">
        <v>3</v>
      </c>
      <c r="D99" t="s">
        <v>15</v>
      </c>
      <c r="E99">
        <v>0.91</v>
      </c>
      <c r="F99">
        <v>0.68</v>
      </c>
      <c r="G99">
        <v>0.4</v>
      </c>
      <c r="H99" t="s">
        <v>17</v>
      </c>
    </row>
    <row r="100" spans="1:8" x14ac:dyDescent="0.25">
      <c r="A100" t="s">
        <v>32</v>
      </c>
      <c r="B100">
        <v>75893</v>
      </c>
      <c r="C100">
        <v>16</v>
      </c>
      <c r="D100" t="s">
        <v>9</v>
      </c>
      <c r="E100">
        <v>0.39</v>
      </c>
      <c r="F100">
        <v>1.47</v>
      </c>
      <c r="G100">
        <v>0.4</v>
      </c>
      <c r="H100" t="s">
        <v>17</v>
      </c>
    </row>
    <row r="101" spans="1:8" x14ac:dyDescent="0.25">
      <c r="A101" t="s">
        <v>22</v>
      </c>
      <c r="B101">
        <v>106619</v>
      </c>
      <c r="C101">
        <v>29</v>
      </c>
      <c r="D101" t="s">
        <v>15</v>
      </c>
      <c r="E101">
        <v>0.15</v>
      </c>
      <c r="F101">
        <v>0.95</v>
      </c>
      <c r="G101">
        <v>0.54</v>
      </c>
      <c r="H101" t="s">
        <v>17</v>
      </c>
    </row>
    <row r="102" spans="1:8" x14ac:dyDescent="0.25">
      <c r="A102" t="s">
        <v>22</v>
      </c>
      <c r="B102">
        <v>113310</v>
      </c>
      <c r="C102">
        <v>14</v>
      </c>
      <c r="D102" t="s">
        <v>15</v>
      </c>
      <c r="E102">
        <v>0.56000000000000005</v>
      </c>
      <c r="F102">
        <v>1.04</v>
      </c>
      <c r="G102">
        <v>0.31</v>
      </c>
      <c r="H102" t="s">
        <v>17</v>
      </c>
    </row>
    <row r="103" spans="1:8" x14ac:dyDescent="0.25">
      <c r="A103" t="s">
        <v>19</v>
      </c>
      <c r="B103">
        <v>55611</v>
      </c>
      <c r="C103">
        <v>9</v>
      </c>
      <c r="D103" t="s">
        <v>15</v>
      </c>
      <c r="E103">
        <v>0.4</v>
      </c>
      <c r="F103">
        <v>0.98</v>
      </c>
      <c r="G103">
        <v>0.22</v>
      </c>
      <c r="H103" t="s">
        <v>13</v>
      </c>
    </row>
    <row r="104" spans="1:8" x14ac:dyDescent="0.25">
      <c r="A104" t="s">
        <v>31</v>
      </c>
      <c r="B104">
        <v>108131</v>
      </c>
      <c r="C104">
        <v>15</v>
      </c>
      <c r="D104" t="s">
        <v>28</v>
      </c>
      <c r="E104">
        <v>0.94</v>
      </c>
      <c r="F104">
        <v>1.23</v>
      </c>
      <c r="G104">
        <v>0.74</v>
      </c>
      <c r="H104" t="s">
        <v>10</v>
      </c>
    </row>
    <row r="105" spans="1:8" x14ac:dyDescent="0.25">
      <c r="A105" t="s">
        <v>11</v>
      </c>
      <c r="B105">
        <v>58625</v>
      </c>
      <c r="C105">
        <v>16</v>
      </c>
      <c r="D105" t="s">
        <v>28</v>
      </c>
      <c r="E105">
        <v>0.83</v>
      </c>
      <c r="F105">
        <v>1.36</v>
      </c>
      <c r="G105">
        <v>0.24</v>
      </c>
      <c r="H105" t="s">
        <v>13</v>
      </c>
    </row>
    <row r="106" spans="1:8" x14ac:dyDescent="0.25">
      <c r="A106" t="s">
        <v>25</v>
      </c>
      <c r="B106">
        <v>47087</v>
      </c>
      <c r="C106">
        <v>5</v>
      </c>
      <c r="D106" t="s">
        <v>28</v>
      </c>
      <c r="E106">
        <v>0.32</v>
      </c>
      <c r="F106">
        <v>1.37</v>
      </c>
      <c r="G106">
        <v>0.7</v>
      </c>
      <c r="H106" t="s">
        <v>17</v>
      </c>
    </row>
    <row r="107" spans="1:8" x14ac:dyDescent="0.25">
      <c r="A107" t="s">
        <v>23</v>
      </c>
      <c r="B107">
        <v>143942</v>
      </c>
      <c r="C107">
        <v>18</v>
      </c>
      <c r="D107" t="s">
        <v>28</v>
      </c>
      <c r="E107">
        <v>0.87</v>
      </c>
      <c r="F107">
        <v>0.88</v>
      </c>
      <c r="G107">
        <v>0.77</v>
      </c>
      <c r="H107" t="s">
        <v>10</v>
      </c>
    </row>
    <row r="108" spans="1:8" x14ac:dyDescent="0.25">
      <c r="A108" t="s">
        <v>20</v>
      </c>
      <c r="B108">
        <v>109973</v>
      </c>
      <c r="C108">
        <v>25</v>
      </c>
      <c r="D108" t="s">
        <v>15</v>
      </c>
      <c r="E108">
        <v>0.59</v>
      </c>
      <c r="F108">
        <v>0.67</v>
      </c>
      <c r="G108">
        <v>0.56000000000000005</v>
      </c>
      <c r="H108" t="s">
        <v>17</v>
      </c>
    </row>
    <row r="109" spans="1:8" x14ac:dyDescent="0.25">
      <c r="A109" t="s">
        <v>31</v>
      </c>
      <c r="B109">
        <v>57598</v>
      </c>
      <c r="C109">
        <v>11</v>
      </c>
      <c r="D109" t="s">
        <v>12</v>
      </c>
      <c r="E109">
        <v>0.48</v>
      </c>
      <c r="F109">
        <v>0.89</v>
      </c>
      <c r="G109">
        <v>0.84</v>
      </c>
      <c r="H109" t="s">
        <v>10</v>
      </c>
    </row>
    <row r="110" spans="1:8" x14ac:dyDescent="0.25">
      <c r="A110" t="s">
        <v>30</v>
      </c>
      <c r="B110">
        <v>75379</v>
      </c>
      <c r="C110">
        <v>20</v>
      </c>
      <c r="D110" t="s">
        <v>28</v>
      </c>
      <c r="E110">
        <v>0.48</v>
      </c>
      <c r="F110">
        <v>0.69</v>
      </c>
      <c r="G110">
        <v>0.09</v>
      </c>
      <c r="H110" t="s">
        <v>13</v>
      </c>
    </row>
    <row r="111" spans="1:8" x14ac:dyDescent="0.25">
      <c r="A111" t="s">
        <v>22</v>
      </c>
      <c r="B111">
        <v>130441</v>
      </c>
      <c r="C111">
        <v>24</v>
      </c>
      <c r="D111" t="s">
        <v>15</v>
      </c>
      <c r="E111">
        <v>0.52</v>
      </c>
      <c r="F111">
        <v>0.62</v>
      </c>
      <c r="G111">
        <v>0.64</v>
      </c>
      <c r="H111" t="s">
        <v>17</v>
      </c>
    </row>
    <row r="112" spans="1:8" x14ac:dyDescent="0.25">
      <c r="A112" t="s">
        <v>24</v>
      </c>
      <c r="B112">
        <v>72668</v>
      </c>
      <c r="C112">
        <v>9</v>
      </c>
      <c r="D112" t="s">
        <v>15</v>
      </c>
      <c r="E112">
        <v>0.11</v>
      </c>
      <c r="F112">
        <v>0.5</v>
      </c>
      <c r="G112">
        <v>0.56000000000000005</v>
      </c>
      <c r="H112" t="s">
        <v>17</v>
      </c>
    </row>
    <row r="113" spans="1:8" x14ac:dyDescent="0.25">
      <c r="A113" t="s">
        <v>26</v>
      </c>
      <c r="B113">
        <v>140641</v>
      </c>
      <c r="C113">
        <v>23</v>
      </c>
      <c r="D113" t="s">
        <v>9</v>
      </c>
      <c r="E113">
        <v>0.82</v>
      </c>
      <c r="F113">
        <v>0.92</v>
      </c>
      <c r="G113">
        <v>0.56999999999999995</v>
      </c>
      <c r="H113" t="s">
        <v>17</v>
      </c>
    </row>
    <row r="114" spans="1:8" x14ac:dyDescent="0.25">
      <c r="A114" t="s">
        <v>34</v>
      </c>
      <c r="B114">
        <v>46014</v>
      </c>
      <c r="C114">
        <v>2</v>
      </c>
      <c r="D114" t="s">
        <v>12</v>
      </c>
      <c r="E114">
        <v>0.61</v>
      </c>
      <c r="F114">
        <v>1.05</v>
      </c>
      <c r="G114">
        <v>0.39</v>
      </c>
      <c r="H114" t="s">
        <v>17</v>
      </c>
    </row>
    <row r="115" spans="1:8" x14ac:dyDescent="0.25">
      <c r="A115" t="s">
        <v>26</v>
      </c>
      <c r="B115">
        <v>92438</v>
      </c>
      <c r="C115">
        <v>23</v>
      </c>
      <c r="D115" t="s">
        <v>28</v>
      </c>
      <c r="E115">
        <v>0.13</v>
      </c>
      <c r="F115">
        <v>0.6</v>
      </c>
      <c r="G115">
        <v>0.59</v>
      </c>
      <c r="H115" t="s">
        <v>17</v>
      </c>
    </row>
    <row r="116" spans="1:8" x14ac:dyDescent="0.25">
      <c r="A116" t="s">
        <v>30</v>
      </c>
      <c r="B116">
        <v>102240</v>
      </c>
      <c r="C116">
        <v>27</v>
      </c>
      <c r="D116" t="s">
        <v>15</v>
      </c>
      <c r="E116">
        <v>7.0000000000000007E-2</v>
      </c>
      <c r="F116">
        <v>1.3</v>
      </c>
      <c r="G116">
        <v>0.11</v>
      </c>
      <c r="H116" t="s">
        <v>13</v>
      </c>
    </row>
    <row r="117" spans="1:8" x14ac:dyDescent="0.25">
      <c r="A117" t="s">
        <v>31</v>
      </c>
      <c r="B117">
        <v>39686</v>
      </c>
      <c r="C117">
        <v>29</v>
      </c>
      <c r="D117" t="s">
        <v>12</v>
      </c>
      <c r="E117">
        <v>0.33</v>
      </c>
      <c r="F117">
        <v>1.08</v>
      </c>
      <c r="G117">
        <v>0.72</v>
      </c>
      <c r="H117" t="s">
        <v>10</v>
      </c>
    </row>
    <row r="118" spans="1:8" x14ac:dyDescent="0.25">
      <c r="A118" t="s">
        <v>20</v>
      </c>
      <c r="B118">
        <v>40754</v>
      </c>
      <c r="C118">
        <v>15</v>
      </c>
      <c r="D118" t="s">
        <v>12</v>
      </c>
      <c r="E118">
        <v>0.38</v>
      </c>
      <c r="F118">
        <v>0.62</v>
      </c>
      <c r="G118">
        <v>0.69</v>
      </c>
      <c r="H118" t="s">
        <v>17</v>
      </c>
    </row>
    <row r="119" spans="1:8" x14ac:dyDescent="0.25">
      <c r="A119" t="s">
        <v>29</v>
      </c>
      <c r="B119">
        <v>40699</v>
      </c>
      <c r="C119">
        <v>5</v>
      </c>
      <c r="D119" t="s">
        <v>28</v>
      </c>
      <c r="E119">
        <v>0.16</v>
      </c>
      <c r="F119">
        <v>0.56000000000000005</v>
      </c>
      <c r="G119">
        <v>0.73</v>
      </c>
      <c r="H119" t="s">
        <v>10</v>
      </c>
    </row>
    <row r="120" spans="1:8" x14ac:dyDescent="0.25">
      <c r="A120" t="s">
        <v>22</v>
      </c>
      <c r="B120">
        <v>120373</v>
      </c>
      <c r="C120">
        <v>2</v>
      </c>
      <c r="D120" t="s">
        <v>12</v>
      </c>
      <c r="E120">
        <v>0.79</v>
      </c>
      <c r="F120">
        <v>1.07</v>
      </c>
      <c r="G120">
        <v>0.53</v>
      </c>
      <c r="H120" t="s">
        <v>17</v>
      </c>
    </row>
    <row r="121" spans="1:8" x14ac:dyDescent="0.25">
      <c r="A121" t="s">
        <v>16</v>
      </c>
      <c r="B121">
        <v>70461</v>
      </c>
      <c r="C121">
        <v>8</v>
      </c>
      <c r="D121" t="s">
        <v>15</v>
      </c>
      <c r="E121">
        <v>0.32</v>
      </c>
      <c r="F121">
        <v>0.52</v>
      </c>
      <c r="G121">
        <v>0.36</v>
      </c>
      <c r="H121" t="s">
        <v>17</v>
      </c>
    </row>
    <row r="122" spans="1:8" x14ac:dyDescent="0.25">
      <c r="A122" t="s">
        <v>22</v>
      </c>
      <c r="B122">
        <v>103965</v>
      </c>
      <c r="C122">
        <v>28</v>
      </c>
      <c r="D122" t="s">
        <v>15</v>
      </c>
      <c r="E122">
        <v>0.32</v>
      </c>
      <c r="F122">
        <v>1.45</v>
      </c>
      <c r="G122">
        <v>0.63</v>
      </c>
      <c r="H122" t="s">
        <v>17</v>
      </c>
    </row>
    <row r="123" spans="1:8" x14ac:dyDescent="0.25">
      <c r="A123" t="s">
        <v>11</v>
      </c>
      <c r="B123">
        <v>58179</v>
      </c>
      <c r="C123">
        <v>17</v>
      </c>
      <c r="D123" t="s">
        <v>12</v>
      </c>
      <c r="E123">
        <v>0.28000000000000003</v>
      </c>
      <c r="F123">
        <v>1.35</v>
      </c>
      <c r="G123">
        <v>0.05</v>
      </c>
      <c r="H123" t="s">
        <v>13</v>
      </c>
    </row>
    <row r="124" spans="1:8" x14ac:dyDescent="0.25">
      <c r="A124" t="s">
        <v>30</v>
      </c>
      <c r="B124">
        <v>125694</v>
      </c>
      <c r="C124">
        <v>8</v>
      </c>
      <c r="D124" t="s">
        <v>12</v>
      </c>
      <c r="E124">
        <v>0.43</v>
      </c>
      <c r="F124">
        <v>0.67</v>
      </c>
      <c r="G124">
        <v>7.0000000000000007E-2</v>
      </c>
      <c r="H124" t="s">
        <v>13</v>
      </c>
    </row>
    <row r="125" spans="1:8" x14ac:dyDescent="0.25">
      <c r="A125" t="s">
        <v>32</v>
      </c>
      <c r="B125">
        <v>128723</v>
      </c>
      <c r="C125">
        <v>27</v>
      </c>
      <c r="D125" t="s">
        <v>15</v>
      </c>
      <c r="E125">
        <v>0.85</v>
      </c>
      <c r="F125">
        <v>1.22</v>
      </c>
      <c r="G125">
        <v>0.62</v>
      </c>
      <c r="H125" t="s">
        <v>17</v>
      </c>
    </row>
    <row r="126" spans="1:8" x14ac:dyDescent="0.25">
      <c r="A126" t="s">
        <v>18</v>
      </c>
      <c r="B126">
        <v>36548</v>
      </c>
      <c r="C126">
        <v>21</v>
      </c>
      <c r="D126" t="s">
        <v>28</v>
      </c>
      <c r="E126">
        <v>0.79</v>
      </c>
      <c r="F126">
        <v>1.08</v>
      </c>
      <c r="G126">
        <v>0.56999999999999995</v>
      </c>
      <c r="H126" t="s">
        <v>17</v>
      </c>
    </row>
    <row r="127" spans="1:8" x14ac:dyDescent="0.25">
      <c r="A127" t="s">
        <v>11</v>
      </c>
      <c r="B127">
        <v>40634</v>
      </c>
      <c r="C127">
        <v>20</v>
      </c>
      <c r="D127" t="s">
        <v>12</v>
      </c>
      <c r="E127">
        <v>0.84</v>
      </c>
      <c r="F127">
        <v>0.6</v>
      </c>
      <c r="G127">
        <v>0.17</v>
      </c>
      <c r="H127" t="s">
        <v>13</v>
      </c>
    </row>
    <row r="128" spans="1:8" x14ac:dyDescent="0.25">
      <c r="A128" t="s">
        <v>22</v>
      </c>
      <c r="B128">
        <v>62784</v>
      </c>
      <c r="C128">
        <v>23</v>
      </c>
      <c r="D128" t="s">
        <v>9</v>
      </c>
      <c r="E128">
        <v>0.32</v>
      </c>
      <c r="F128">
        <v>1.19</v>
      </c>
      <c r="G128">
        <v>0.48</v>
      </c>
      <c r="H128" t="s">
        <v>17</v>
      </c>
    </row>
    <row r="129" spans="1:8" x14ac:dyDescent="0.25">
      <c r="A129" t="s">
        <v>33</v>
      </c>
      <c r="B129">
        <v>37099</v>
      </c>
      <c r="C129">
        <v>22</v>
      </c>
      <c r="D129" t="s">
        <v>15</v>
      </c>
      <c r="E129">
        <v>0.52</v>
      </c>
      <c r="F129">
        <v>0.65</v>
      </c>
      <c r="G129">
        <v>0.23</v>
      </c>
      <c r="H129" t="s">
        <v>13</v>
      </c>
    </row>
    <row r="130" spans="1:8" x14ac:dyDescent="0.25">
      <c r="A130" t="s">
        <v>27</v>
      </c>
      <c r="B130">
        <v>74857</v>
      </c>
      <c r="C130">
        <v>13</v>
      </c>
      <c r="D130" t="s">
        <v>28</v>
      </c>
      <c r="E130">
        <v>0.99</v>
      </c>
      <c r="F130">
        <v>1.47</v>
      </c>
      <c r="G130">
        <v>0.68</v>
      </c>
      <c r="H130" t="s">
        <v>17</v>
      </c>
    </row>
    <row r="131" spans="1:8" x14ac:dyDescent="0.25">
      <c r="A131" t="s">
        <v>26</v>
      </c>
      <c r="B131">
        <v>91063</v>
      </c>
      <c r="C131">
        <v>7</v>
      </c>
      <c r="D131" t="s">
        <v>9</v>
      </c>
      <c r="E131">
        <v>0.62</v>
      </c>
      <c r="F131">
        <v>0.88</v>
      </c>
      <c r="G131">
        <v>0.38</v>
      </c>
      <c r="H131" t="s">
        <v>17</v>
      </c>
    </row>
    <row r="132" spans="1:8" x14ac:dyDescent="0.25">
      <c r="A132" t="s">
        <v>8</v>
      </c>
      <c r="B132">
        <v>89765</v>
      </c>
      <c r="C132">
        <v>12</v>
      </c>
      <c r="D132" t="s">
        <v>12</v>
      </c>
      <c r="E132">
        <v>0.57999999999999996</v>
      </c>
      <c r="F132">
        <v>1.25</v>
      </c>
      <c r="G132">
        <v>0.9</v>
      </c>
      <c r="H132" t="s">
        <v>10</v>
      </c>
    </row>
    <row r="133" spans="1:8" x14ac:dyDescent="0.25">
      <c r="A133" t="s">
        <v>20</v>
      </c>
      <c r="B133">
        <v>32461</v>
      </c>
      <c r="C133">
        <v>19</v>
      </c>
      <c r="D133" t="s">
        <v>15</v>
      </c>
      <c r="E133">
        <v>0.12</v>
      </c>
      <c r="F133">
        <v>0.7</v>
      </c>
      <c r="G133">
        <v>0.65</v>
      </c>
      <c r="H133" t="s">
        <v>17</v>
      </c>
    </row>
    <row r="134" spans="1:8" x14ac:dyDescent="0.25">
      <c r="A134" t="s">
        <v>21</v>
      </c>
      <c r="B134">
        <v>53911</v>
      </c>
      <c r="C134">
        <v>13</v>
      </c>
      <c r="D134" t="s">
        <v>9</v>
      </c>
      <c r="E134">
        <v>0.78</v>
      </c>
      <c r="F134">
        <v>1.1599999999999999</v>
      </c>
      <c r="G134">
        <v>0.09</v>
      </c>
      <c r="H134" t="s">
        <v>13</v>
      </c>
    </row>
    <row r="135" spans="1:8" x14ac:dyDescent="0.25">
      <c r="A135" t="s">
        <v>18</v>
      </c>
      <c r="B135">
        <v>50567</v>
      </c>
      <c r="C135">
        <v>11</v>
      </c>
      <c r="D135" t="s">
        <v>28</v>
      </c>
      <c r="E135">
        <v>0.73</v>
      </c>
      <c r="F135">
        <v>1.04</v>
      </c>
      <c r="G135">
        <v>0.54</v>
      </c>
      <c r="H135" t="s">
        <v>17</v>
      </c>
    </row>
    <row r="136" spans="1:8" x14ac:dyDescent="0.25">
      <c r="A136" t="s">
        <v>34</v>
      </c>
      <c r="B136">
        <v>52656</v>
      </c>
      <c r="C136">
        <v>11</v>
      </c>
      <c r="D136" t="s">
        <v>28</v>
      </c>
      <c r="E136">
        <v>0.73</v>
      </c>
      <c r="F136">
        <v>1.49</v>
      </c>
      <c r="G136">
        <v>0.34</v>
      </c>
      <c r="H136" t="s">
        <v>17</v>
      </c>
    </row>
    <row r="137" spans="1:8" x14ac:dyDescent="0.25">
      <c r="A137" t="s">
        <v>11</v>
      </c>
      <c r="B137">
        <v>77701</v>
      </c>
      <c r="C137">
        <v>9</v>
      </c>
      <c r="D137" t="s">
        <v>28</v>
      </c>
      <c r="E137">
        <v>0.76</v>
      </c>
      <c r="F137">
        <v>0.54</v>
      </c>
      <c r="G137">
        <v>0.24</v>
      </c>
      <c r="H137" t="s">
        <v>13</v>
      </c>
    </row>
    <row r="138" spans="1:8" x14ac:dyDescent="0.25">
      <c r="A138" t="s">
        <v>27</v>
      </c>
      <c r="B138">
        <v>137539</v>
      </c>
      <c r="C138">
        <v>9</v>
      </c>
      <c r="D138" t="s">
        <v>15</v>
      </c>
      <c r="E138">
        <v>0.89</v>
      </c>
      <c r="F138">
        <v>1.0900000000000001</v>
      </c>
      <c r="G138">
        <v>0.46</v>
      </c>
      <c r="H138" t="s">
        <v>17</v>
      </c>
    </row>
    <row r="139" spans="1:8" x14ac:dyDescent="0.25">
      <c r="A139" t="s">
        <v>11</v>
      </c>
      <c r="B139">
        <v>46087</v>
      </c>
      <c r="C139">
        <v>4</v>
      </c>
      <c r="D139" t="s">
        <v>15</v>
      </c>
      <c r="E139">
        <v>0.57999999999999996</v>
      </c>
      <c r="F139">
        <v>1.06</v>
      </c>
      <c r="G139">
        <v>0.19</v>
      </c>
      <c r="H139" t="s">
        <v>13</v>
      </c>
    </row>
    <row r="140" spans="1:8" x14ac:dyDescent="0.25">
      <c r="A140" t="s">
        <v>25</v>
      </c>
      <c r="B140">
        <v>67861</v>
      </c>
      <c r="C140">
        <v>20</v>
      </c>
      <c r="D140" t="s">
        <v>12</v>
      </c>
      <c r="E140">
        <v>0.79</v>
      </c>
      <c r="F140">
        <v>1.02</v>
      </c>
      <c r="G140">
        <v>0.48</v>
      </c>
      <c r="H140" t="s">
        <v>17</v>
      </c>
    </row>
    <row r="141" spans="1:8" x14ac:dyDescent="0.25">
      <c r="A141" t="s">
        <v>14</v>
      </c>
      <c r="B141">
        <v>89792</v>
      </c>
      <c r="C141">
        <v>5</v>
      </c>
      <c r="D141" t="s">
        <v>9</v>
      </c>
      <c r="E141">
        <v>0.64</v>
      </c>
      <c r="F141">
        <v>1.29</v>
      </c>
      <c r="G141">
        <v>0.73</v>
      </c>
      <c r="H141" t="s">
        <v>10</v>
      </c>
    </row>
    <row r="142" spans="1:8" x14ac:dyDescent="0.25">
      <c r="A142" t="s">
        <v>32</v>
      </c>
      <c r="B142">
        <v>36397</v>
      </c>
      <c r="C142">
        <v>21</v>
      </c>
      <c r="D142" t="s">
        <v>28</v>
      </c>
      <c r="E142">
        <v>0.27</v>
      </c>
      <c r="F142">
        <v>1.02</v>
      </c>
      <c r="G142">
        <v>0.42</v>
      </c>
      <c r="H142" t="s">
        <v>17</v>
      </c>
    </row>
    <row r="143" spans="1:8" x14ac:dyDescent="0.25">
      <c r="A143" t="s">
        <v>26</v>
      </c>
      <c r="B143">
        <v>49715</v>
      </c>
      <c r="C143">
        <v>29</v>
      </c>
      <c r="D143" t="s">
        <v>9</v>
      </c>
      <c r="E143">
        <v>0.73</v>
      </c>
      <c r="F143">
        <v>1</v>
      </c>
      <c r="G143">
        <v>0.47</v>
      </c>
      <c r="H143" t="s">
        <v>17</v>
      </c>
    </row>
    <row r="144" spans="1:8" x14ac:dyDescent="0.25">
      <c r="A144" t="s">
        <v>25</v>
      </c>
      <c r="B144">
        <v>122573</v>
      </c>
      <c r="C144">
        <v>21</v>
      </c>
      <c r="D144" t="s">
        <v>15</v>
      </c>
      <c r="E144">
        <v>0.26</v>
      </c>
      <c r="F144">
        <v>0.75</v>
      </c>
      <c r="G144">
        <v>0.66</v>
      </c>
      <c r="H144" t="s">
        <v>17</v>
      </c>
    </row>
    <row r="145" spans="1:8" x14ac:dyDescent="0.25">
      <c r="A145" t="s">
        <v>27</v>
      </c>
      <c r="B145">
        <v>133864</v>
      </c>
      <c r="C145">
        <v>20</v>
      </c>
      <c r="D145" t="s">
        <v>9</v>
      </c>
      <c r="E145">
        <v>0.53</v>
      </c>
      <c r="F145">
        <v>0.91</v>
      </c>
      <c r="G145">
        <v>0.44</v>
      </c>
      <c r="H145" t="s">
        <v>17</v>
      </c>
    </row>
    <row r="146" spans="1:8" x14ac:dyDescent="0.25">
      <c r="A146" t="s">
        <v>32</v>
      </c>
      <c r="B146">
        <v>48745</v>
      </c>
      <c r="C146">
        <v>20</v>
      </c>
      <c r="D146" t="s">
        <v>9</v>
      </c>
      <c r="E146">
        <v>0.26</v>
      </c>
      <c r="F146">
        <v>1.1499999999999999</v>
      </c>
      <c r="G146">
        <v>0.38</v>
      </c>
      <c r="H146" t="s">
        <v>17</v>
      </c>
    </row>
    <row r="147" spans="1:8" x14ac:dyDescent="0.25">
      <c r="A147" t="s">
        <v>30</v>
      </c>
      <c r="B147">
        <v>49446</v>
      </c>
      <c r="C147">
        <v>0</v>
      </c>
      <c r="D147" t="s">
        <v>9</v>
      </c>
      <c r="E147">
        <v>0.52</v>
      </c>
      <c r="F147">
        <v>0.61</v>
      </c>
      <c r="G147">
        <v>0.27</v>
      </c>
      <c r="H147" t="s">
        <v>13</v>
      </c>
    </row>
    <row r="148" spans="1:8" x14ac:dyDescent="0.25">
      <c r="A148" t="s">
        <v>33</v>
      </c>
      <c r="B148">
        <v>98673</v>
      </c>
      <c r="C148">
        <v>9</v>
      </c>
      <c r="D148" t="s">
        <v>9</v>
      </c>
      <c r="E148">
        <v>0.46</v>
      </c>
      <c r="F148">
        <v>0.91</v>
      </c>
      <c r="G148">
        <v>0.21</v>
      </c>
      <c r="H148" t="s">
        <v>13</v>
      </c>
    </row>
    <row r="149" spans="1:8" x14ac:dyDescent="0.25">
      <c r="A149" t="s">
        <v>23</v>
      </c>
      <c r="B149">
        <v>93870</v>
      </c>
      <c r="C149">
        <v>3</v>
      </c>
      <c r="D149" t="s">
        <v>12</v>
      </c>
      <c r="E149">
        <v>0.76</v>
      </c>
      <c r="F149">
        <v>1.02</v>
      </c>
      <c r="G149">
        <v>0.75</v>
      </c>
      <c r="H149" t="s">
        <v>10</v>
      </c>
    </row>
    <row r="150" spans="1:8" x14ac:dyDescent="0.25">
      <c r="A150" t="s">
        <v>18</v>
      </c>
      <c r="B150">
        <v>72951</v>
      </c>
      <c r="C150">
        <v>11</v>
      </c>
      <c r="D150" t="s">
        <v>15</v>
      </c>
      <c r="E150">
        <v>0.54</v>
      </c>
      <c r="F150">
        <v>1</v>
      </c>
      <c r="G150">
        <v>0.34</v>
      </c>
      <c r="H150" t="s">
        <v>17</v>
      </c>
    </row>
    <row r="151" spans="1:8" x14ac:dyDescent="0.25">
      <c r="A151" t="s">
        <v>14</v>
      </c>
      <c r="B151">
        <v>37239</v>
      </c>
      <c r="C151">
        <v>22</v>
      </c>
      <c r="D151" t="s">
        <v>15</v>
      </c>
      <c r="E151">
        <v>0.64</v>
      </c>
      <c r="F151">
        <v>0.7</v>
      </c>
      <c r="G151">
        <v>0.92</v>
      </c>
      <c r="H151" t="s">
        <v>10</v>
      </c>
    </row>
    <row r="152" spans="1:8" x14ac:dyDescent="0.25">
      <c r="A152" t="s">
        <v>23</v>
      </c>
      <c r="B152">
        <v>149798</v>
      </c>
      <c r="C152">
        <v>7</v>
      </c>
      <c r="D152" t="s">
        <v>12</v>
      </c>
      <c r="E152">
        <v>0.89</v>
      </c>
      <c r="F152">
        <v>1.1499999999999999</v>
      </c>
      <c r="G152">
        <v>0.74</v>
      </c>
      <c r="H152" t="s">
        <v>10</v>
      </c>
    </row>
    <row r="153" spans="1:8" x14ac:dyDescent="0.25">
      <c r="A153" t="s">
        <v>8</v>
      </c>
      <c r="B153">
        <v>149052</v>
      </c>
      <c r="C153">
        <v>1</v>
      </c>
      <c r="D153" t="s">
        <v>28</v>
      </c>
      <c r="E153">
        <v>0.17</v>
      </c>
      <c r="F153">
        <v>1.38</v>
      </c>
      <c r="G153">
        <v>0.81</v>
      </c>
      <c r="H153" t="s">
        <v>10</v>
      </c>
    </row>
    <row r="154" spans="1:8" x14ac:dyDescent="0.25">
      <c r="A154" t="s">
        <v>21</v>
      </c>
      <c r="B154">
        <v>39587</v>
      </c>
      <c r="C154">
        <v>5</v>
      </c>
      <c r="D154" t="s">
        <v>28</v>
      </c>
      <c r="E154">
        <v>0.54</v>
      </c>
      <c r="F154">
        <v>1.21</v>
      </c>
      <c r="G154">
        <v>0.13</v>
      </c>
      <c r="H154" t="s">
        <v>13</v>
      </c>
    </row>
    <row r="155" spans="1:8" x14ac:dyDescent="0.25">
      <c r="A155" t="s">
        <v>34</v>
      </c>
      <c r="B155">
        <v>120301</v>
      </c>
      <c r="C155">
        <v>0</v>
      </c>
      <c r="D155" t="s">
        <v>9</v>
      </c>
      <c r="E155">
        <v>0.24</v>
      </c>
      <c r="F155">
        <v>0.64</v>
      </c>
      <c r="G155">
        <v>0.44</v>
      </c>
      <c r="H155" t="s">
        <v>17</v>
      </c>
    </row>
    <row r="156" spans="1:8" x14ac:dyDescent="0.25">
      <c r="A156" t="s">
        <v>22</v>
      </c>
      <c r="B156">
        <v>117969</v>
      </c>
      <c r="C156">
        <v>1</v>
      </c>
      <c r="D156" t="s">
        <v>12</v>
      </c>
      <c r="E156">
        <v>0.31</v>
      </c>
      <c r="F156">
        <v>0.5</v>
      </c>
      <c r="G156">
        <v>0.56999999999999995</v>
      </c>
      <c r="H156" t="s">
        <v>17</v>
      </c>
    </row>
    <row r="157" spans="1:8" x14ac:dyDescent="0.25">
      <c r="A157" t="s">
        <v>8</v>
      </c>
      <c r="B157">
        <v>39528</v>
      </c>
      <c r="C157">
        <v>20</v>
      </c>
      <c r="D157" t="s">
        <v>15</v>
      </c>
      <c r="E157">
        <v>0.41</v>
      </c>
      <c r="F157">
        <v>1.26</v>
      </c>
      <c r="G157">
        <v>0.93</v>
      </c>
      <c r="H157" t="s">
        <v>10</v>
      </c>
    </row>
    <row r="158" spans="1:8" x14ac:dyDescent="0.25">
      <c r="A158" t="s">
        <v>21</v>
      </c>
      <c r="B158">
        <v>95677</v>
      </c>
      <c r="C158">
        <v>3</v>
      </c>
      <c r="D158" t="s">
        <v>9</v>
      </c>
      <c r="E158">
        <v>0.38</v>
      </c>
      <c r="F158">
        <v>0.63</v>
      </c>
      <c r="G158">
        <v>0.15</v>
      </c>
      <c r="H158" t="s">
        <v>13</v>
      </c>
    </row>
    <row r="159" spans="1:8" x14ac:dyDescent="0.25">
      <c r="A159" t="s">
        <v>22</v>
      </c>
      <c r="B159">
        <v>51778</v>
      </c>
      <c r="C159">
        <v>8</v>
      </c>
      <c r="D159" t="s">
        <v>28</v>
      </c>
      <c r="E159">
        <v>0.84</v>
      </c>
      <c r="F159">
        <v>1.48</v>
      </c>
      <c r="G159">
        <v>0.55000000000000004</v>
      </c>
      <c r="H159" t="s">
        <v>17</v>
      </c>
    </row>
    <row r="160" spans="1:8" x14ac:dyDescent="0.25">
      <c r="A160" t="s">
        <v>25</v>
      </c>
      <c r="B160">
        <v>36816</v>
      </c>
      <c r="C160">
        <v>23</v>
      </c>
      <c r="D160" t="s">
        <v>15</v>
      </c>
      <c r="E160">
        <v>0.28000000000000003</v>
      </c>
      <c r="F160">
        <v>1.32</v>
      </c>
      <c r="G160">
        <v>0.33</v>
      </c>
      <c r="H160" t="s">
        <v>17</v>
      </c>
    </row>
    <row r="161" spans="1:8" x14ac:dyDescent="0.25">
      <c r="A161" t="s">
        <v>11</v>
      </c>
      <c r="B161">
        <v>53567</v>
      </c>
      <c r="C161">
        <v>28</v>
      </c>
      <c r="D161" t="s">
        <v>28</v>
      </c>
      <c r="E161">
        <v>0.84</v>
      </c>
      <c r="F161">
        <v>0.79</v>
      </c>
      <c r="G161">
        <v>0.16</v>
      </c>
      <c r="H161" t="s">
        <v>13</v>
      </c>
    </row>
    <row r="162" spans="1:8" x14ac:dyDescent="0.25">
      <c r="A162" t="s">
        <v>25</v>
      </c>
      <c r="B162">
        <v>121170</v>
      </c>
      <c r="C162">
        <v>16</v>
      </c>
      <c r="D162" t="s">
        <v>28</v>
      </c>
      <c r="E162">
        <v>0.06</v>
      </c>
      <c r="F162">
        <v>1.46</v>
      </c>
      <c r="G162">
        <v>0.31</v>
      </c>
      <c r="H162" t="s">
        <v>17</v>
      </c>
    </row>
    <row r="163" spans="1:8" x14ac:dyDescent="0.25">
      <c r="A163" t="s">
        <v>19</v>
      </c>
      <c r="B163">
        <v>91944</v>
      </c>
      <c r="C163">
        <v>28</v>
      </c>
      <c r="D163" t="s">
        <v>28</v>
      </c>
      <c r="E163">
        <v>0.64</v>
      </c>
      <c r="F163">
        <v>1.18</v>
      </c>
      <c r="G163">
        <v>0.08</v>
      </c>
      <c r="H163" t="s">
        <v>13</v>
      </c>
    </row>
    <row r="164" spans="1:8" x14ac:dyDescent="0.25">
      <c r="A164" t="s">
        <v>8</v>
      </c>
      <c r="B164">
        <v>123905</v>
      </c>
      <c r="C164">
        <v>16</v>
      </c>
      <c r="D164" t="s">
        <v>28</v>
      </c>
      <c r="E164">
        <v>0.04</v>
      </c>
      <c r="F164">
        <v>1.1000000000000001</v>
      </c>
      <c r="G164">
        <v>0.93</v>
      </c>
      <c r="H164" t="s">
        <v>10</v>
      </c>
    </row>
    <row r="165" spans="1:8" x14ac:dyDescent="0.25">
      <c r="A165" t="s">
        <v>21</v>
      </c>
      <c r="B165">
        <v>73056</v>
      </c>
      <c r="C165">
        <v>13</v>
      </c>
      <c r="D165" t="s">
        <v>9</v>
      </c>
      <c r="E165">
        <v>0.05</v>
      </c>
      <c r="F165">
        <v>1.33</v>
      </c>
      <c r="G165">
        <v>0.26</v>
      </c>
      <c r="H165" t="s">
        <v>13</v>
      </c>
    </row>
    <row r="166" spans="1:8" x14ac:dyDescent="0.25">
      <c r="A166" t="s">
        <v>31</v>
      </c>
      <c r="B166">
        <v>89156</v>
      </c>
      <c r="C166">
        <v>18</v>
      </c>
      <c r="D166" t="s">
        <v>9</v>
      </c>
      <c r="E166">
        <v>0.88</v>
      </c>
      <c r="F166">
        <v>1.07</v>
      </c>
      <c r="G166">
        <v>0.71</v>
      </c>
      <c r="H166" t="s">
        <v>10</v>
      </c>
    </row>
    <row r="167" spans="1:8" x14ac:dyDescent="0.25">
      <c r="A167" t="s">
        <v>34</v>
      </c>
      <c r="B167">
        <v>102124</v>
      </c>
      <c r="C167">
        <v>15</v>
      </c>
      <c r="D167" t="s">
        <v>12</v>
      </c>
      <c r="E167">
        <v>0.3</v>
      </c>
      <c r="F167">
        <v>1.22</v>
      </c>
      <c r="G167">
        <v>0.68</v>
      </c>
      <c r="H167" t="s">
        <v>17</v>
      </c>
    </row>
    <row r="168" spans="1:8" x14ac:dyDescent="0.25">
      <c r="A168" t="s">
        <v>30</v>
      </c>
      <c r="B168">
        <v>54995</v>
      </c>
      <c r="C168">
        <v>17</v>
      </c>
      <c r="D168" t="s">
        <v>12</v>
      </c>
      <c r="E168">
        <v>0.09</v>
      </c>
      <c r="F168">
        <v>1.1000000000000001</v>
      </c>
      <c r="G168">
        <v>0.19</v>
      </c>
      <c r="H168" t="s">
        <v>13</v>
      </c>
    </row>
    <row r="169" spans="1:8" x14ac:dyDescent="0.25">
      <c r="A169" t="s">
        <v>20</v>
      </c>
      <c r="B169">
        <v>100194</v>
      </c>
      <c r="C169">
        <v>21</v>
      </c>
      <c r="D169" t="s">
        <v>15</v>
      </c>
      <c r="E169">
        <v>0.12</v>
      </c>
      <c r="F169">
        <v>0.65</v>
      </c>
      <c r="G169">
        <v>0.37</v>
      </c>
      <c r="H169" t="s">
        <v>17</v>
      </c>
    </row>
    <row r="170" spans="1:8" x14ac:dyDescent="0.25">
      <c r="A170" t="s">
        <v>25</v>
      </c>
      <c r="B170">
        <v>97534</v>
      </c>
      <c r="C170">
        <v>25</v>
      </c>
      <c r="D170" t="s">
        <v>15</v>
      </c>
      <c r="E170">
        <v>0.91</v>
      </c>
      <c r="F170">
        <v>1.31</v>
      </c>
      <c r="G170">
        <v>0.39</v>
      </c>
      <c r="H170" t="s">
        <v>17</v>
      </c>
    </row>
    <row r="171" spans="1:8" x14ac:dyDescent="0.25">
      <c r="A171" t="s">
        <v>24</v>
      </c>
      <c r="B171">
        <v>123547</v>
      </c>
      <c r="C171">
        <v>1</v>
      </c>
      <c r="D171" t="s">
        <v>15</v>
      </c>
      <c r="E171">
        <v>0.38</v>
      </c>
      <c r="F171">
        <v>0.95</v>
      </c>
      <c r="G171">
        <v>0.53</v>
      </c>
      <c r="H171" t="s">
        <v>17</v>
      </c>
    </row>
    <row r="172" spans="1:8" x14ac:dyDescent="0.25">
      <c r="A172" t="s">
        <v>19</v>
      </c>
      <c r="B172">
        <v>111926</v>
      </c>
      <c r="C172">
        <v>3</v>
      </c>
      <c r="D172" t="s">
        <v>28</v>
      </c>
      <c r="E172">
        <v>0.04</v>
      </c>
      <c r="F172">
        <v>1.26</v>
      </c>
      <c r="G172">
        <v>0.28999999999999998</v>
      </c>
      <c r="H172" t="s">
        <v>13</v>
      </c>
    </row>
    <row r="173" spans="1:8" x14ac:dyDescent="0.25">
      <c r="A173" t="s">
        <v>22</v>
      </c>
      <c r="B173">
        <v>107487</v>
      </c>
      <c r="C173">
        <v>19</v>
      </c>
      <c r="D173" t="s">
        <v>28</v>
      </c>
      <c r="E173">
        <v>0.57999999999999996</v>
      </c>
      <c r="F173">
        <v>1.06</v>
      </c>
      <c r="G173">
        <v>0.34</v>
      </c>
      <c r="H173" t="s">
        <v>17</v>
      </c>
    </row>
    <row r="174" spans="1:8" x14ac:dyDescent="0.25">
      <c r="A174" t="s">
        <v>22</v>
      </c>
      <c r="B174">
        <v>107362</v>
      </c>
      <c r="C174">
        <v>17</v>
      </c>
      <c r="D174" t="s">
        <v>9</v>
      </c>
      <c r="E174">
        <v>0.31</v>
      </c>
      <c r="F174">
        <v>0.65</v>
      </c>
      <c r="G174">
        <v>0.5</v>
      </c>
      <c r="H174" t="s">
        <v>17</v>
      </c>
    </row>
    <row r="175" spans="1:8" x14ac:dyDescent="0.25">
      <c r="A175" t="s">
        <v>18</v>
      </c>
      <c r="B175">
        <v>44973</v>
      </c>
      <c r="C175">
        <v>19</v>
      </c>
      <c r="D175" t="s">
        <v>9</v>
      </c>
      <c r="E175">
        <v>0.03</v>
      </c>
      <c r="F175">
        <v>1.47</v>
      </c>
      <c r="G175">
        <v>0.61</v>
      </c>
      <c r="H175" t="s">
        <v>17</v>
      </c>
    </row>
    <row r="176" spans="1:8" x14ac:dyDescent="0.25">
      <c r="A176" t="s">
        <v>11</v>
      </c>
      <c r="B176">
        <v>30340</v>
      </c>
      <c r="C176">
        <v>13</v>
      </c>
      <c r="D176" t="s">
        <v>9</v>
      </c>
      <c r="E176">
        <v>0.68</v>
      </c>
      <c r="F176">
        <v>0.74</v>
      </c>
      <c r="G176">
        <v>0.26</v>
      </c>
      <c r="H176" t="s">
        <v>13</v>
      </c>
    </row>
    <row r="177" spans="1:8" x14ac:dyDescent="0.25">
      <c r="A177" t="s">
        <v>30</v>
      </c>
      <c r="B177">
        <v>104965</v>
      </c>
      <c r="C177">
        <v>24</v>
      </c>
      <c r="D177" t="s">
        <v>28</v>
      </c>
      <c r="E177">
        <v>0.79</v>
      </c>
      <c r="F177">
        <v>0.96</v>
      </c>
      <c r="G177">
        <v>0.23</v>
      </c>
      <c r="H177" t="s">
        <v>13</v>
      </c>
    </row>
    <row r="178" spans="1:8" x14ac:dyDescent="0.25">
      <c r="A178" t="s">
        <v>31</v>
      </c>
      <c r="B178">
        <v>74789</v>
      </c>
      <c r="C178">
        <v>10</v>
      </c>
      <c r="D178" t="s">
        <v>9</v>
      </c>
      <c r="E178">
        <v>0.55000000000000004</v>
      </c>
      <c r="F178">
        <v>0.56000000000000005</v>
      </c>
      <c r="G178">
        <v>0.87</v>
      </c>
      <c r="H178" t="s">
        <v>10</v>
      </c>
    </row>
    <row r="179" spans="1:8" x14ac:dyDescent="0.25">
      <c r="A179" t="s">
        <v>8</v>
      </c>
      <c r="B179">
        <v>88954</v>
      </c>
      <c r="C179">
        <v>0</v>
      </c>
      <c r="D179" t="s">
        <v>15</v>
      </c>
      <c r="E179">
        <v>0.56000000000000005</v>
      </c>
      <c r="F179">
        <v>0.94</v>
      </c>
      <c r="G179">
        <v>0.85</v>
      </c>
      <c r="H179" t="s">
        <v>10</v>
      </c>
    </row>
    <row r="180" spans="1:8" x14ac:dyDescent="0.25">
      <c r="A180" t="s">
        <v>21</v>
      </c>
      <c r="B180">
        <v>78456</v>
      </c>
      <c r="C180">
        <v>7</v>
      </c>
      <c r="D180" t="s">
        <v>12</v>
      </c>
      <c r="E180">
        <v>0.85</v>
      </c>
      <c r="F180">
        <v>0.94</v>
      </c>
      <c r="G180">
        <v>0.26</v>
      </c>
      <c r="H180" t="s">
        <v>13</v>
      </c>
    </row>
    <row r="181" spans="1:8" x14ac:dyDescent="0.25">
      <c r="A181" t="s">
        <v>18</v>
      </c>
      <c r="B181">
        <v>116698</v>
      </c>
      <c r="C181">
        <v>2</v>
      </c>
      <c r="D181" t="s">
        <v>15</v>
      </c>
      <c r="E181">
        <v>0.69</v>
      </c>
      <c r="F181">
        <v>0.63</v>
      </c>
      <c r="G181">
        <v>0.42</v>
      </c>
      <c r="H181" t="s">
        <v>17</v>
      </c>
    </row>
    <row r="182" spans="1:8" x14ac:dyDescent="0.25">
      <c r="A182" t="s">
        <v>32</v>
      </c>
      <c r="B182">
        <v>40886</v>
      </c>
      <c r="C182">
        <v>2</v>
      </c>
      <c r="D182" t="s">
        <v>15</v>
      </c>
      <c r="E182">
        <v>0.74</v>
      </c>
      <c r="F182">
        <v>1.33</v>
      </c>
      <c r="G182">
        <v>0.6</v>
      </c>
      <c r="H182" t="s">
        <v>17</v>
      </c>
    </row>
    <row r="183" spans="1:8" x14ac:dyDescent="0.25">
      <c r="A183" t="s">
        <v>19</v>
      </c>
      <c r="B183">
        <v>78511</v>
      </c>
      <c r="C183">
        <v>3</v>
      </c>
      <c r="D183" t="s">
        <v>15</v>
      </c>
      <c r="E183">
        <v>0.41</v>
      </c>
      <c r="F183">
        <v>0.56999999999999995</v>
      </c>
      <c r="G183">
        <v>0.14000000000000001</v>
      </c>
      <c r="H183" t="s">
        <v>13</v>
      </c>
    </row>
    <row r="184" spans="1:8" x14ac:dyDescent="0.25">
      <c r="A184" t="s">
        <v>19</v>
      </c>
      <c r="B184">
        <v>136127</v>
      </c>
      <c r="C184">
        <v>5</v>
      </c>
      <c r="D184" t="s">
        <v>9</v>
      </c>
      <c r="E184">
        <v>0.05</v>
      </c>
      <c r="F184">
        <v>0.56999999999999995</v>
      </c>
      <c r="G184">
        <v>0.15</v>
      </c>
      <c r="H184" t="s">
        <v>13</v>
      </c>
    </row>
    <row r="185" spans="1:8" x14ac:dyDescent="0.25">
      <c r="A185" t="s">
        <v>31</v>
      </c>
      <c r="B185">
        <v>45592</v>
      </c>
      <c r="C185">
        <v>29</v>
      </c>
      <c r="D185" t="s">
        <v>28</v>
      </c>
      <c r="E185">
        <v>0.98</v>
      </c>
      <c r="F185">
        <v>1.1000000000000001</v>
      </c>
      <c r="G185">
        <v>0.79</v>
      </c>
      <c r="H185" t="s">
        <v>10</v>
      </c>
    </row>
    <row r="186" spans="1:8" x14ac:dyDescent="0.25">
      <c r="A186" t="s">
        <v>8</v>
      </c>
      <c r="B186">
        <v>134859</v>
      </c>
      <c r="C186">
        <v>13</v>
      </c>
      <c r="D186" t="s">
        <v>9</v>
      </c>
      <c r="E186">
        <v>0.82</v>
      </c>
      <c r="F186">
        <v>1.3</v>
      </c>
      <c r="G186">
        <v>0.84</v>
      </c>
      <c r="H186" t="s">
        <v>10</v>
      </c>
    </row>
    <row r="187" spans="1:8" x14ac:dyDescent="0.25">
      <c r="A187" t="s">
        <v>33</v>
      </c>
      <c r="B187">
        <v>119678</v>
      </c>
      <c r="C187">
        <v>24</v>
      </c>
      <c r="D187" t="s">
        <v>15</v>
      </c>
      <c r="E187">
        <v>0</v>
      </c>
      <c r="F187">
        <v>1.01</v>
      </c>
      <c r="G187">
        <v>0.06</v>
      </c>
      <c r="H187" t="s">
        <v>13</v>
      </c>
    </row>
    <row r="188" spans="1:8" x14ac:dyDescent="0.25">
      <c r="A188" t="s">
        <v>24</v>
      </c>
      <c r="B188">
        <v>62402</v>
      </c>
      <c r="C188">
        <v>8</v>
      </c>
      <c r="D188" t="s">
        <v>9</v>
      </c>
      <c r="E188">
        <v>0.84</v>
      </c>
      <c r="F188">
        <v>0.81</v>
      </c>
      <c r="G188">
        <v>0.62</v>
      </c>
      <c r="H188" t="s">
        <v>17</v>
      </c>
    </row>
    <row r="189" spans="1:8" x14ac:dyDescent="0.25">
      <c r="A189" t="s">
        <v>20</v>
      </c>
      <c r="B189">
        <v>53478</v>
      </c>
      <c r="C189">
        <v>9</v>
      </c>
      <c r="D189" t="s">
        <v>28</v>
      </c>
      <c r="E189">
        <v>0.14000000000000001</v>
      </c>
      <c r="F189">
        <v>0.75</v>
      </c>
      <c r="G189">
        <v>0.65</v>
      </c>
      <c r="H189" t="s">
        <v>17</v>
      </c>
    </row>
    <row r="190" spans="1:8" x14ac:dyDescent="0.25">
      <c r="A190" t="s">
        <v>25</v>
      </c>
      <c r="B190">
        <v>52005</v>
      </c>
      <c r="C190">
        <v>15</v>
      </c>
      <c r="D190" t="s">
        <v>28</v>
      </c>
      <c r="E190">
        <v>0.39</v>
      </c>
      <c r="F190">
        <v>1.37</v>
      </c>
      <c r="G190">
        <v>0.49</v>
      </c>
      <c r="H190" t="s">
        <v>17</v>
      </c>
    </row>
    <row r="191" spans="1:8" x14ac:dyDescent="0.25">
      <c r="A191" t="s">
        <v>8</v>
      </c>
      <c r="B191">
        <v>82389</v>
      </c>
      <c r="C191">
        <v>10</v>
      </c>
      <c r="D191" t="s">
        <v>28</v>
      </c>
      <c r="E191">
        <v>0.73</v>
      </c>
      <c r="F191">
        <v>1.1499999999999999</v>
      </c>
      <c r="G191">
        <v>0.9</v>
      </c>
      <c r="H191" t="s">
        <v>10</v>
      </c>
    </row>
    <row r="192" spans="1:8" x14ac:dyDescent="0.25">
      <c r="A192" t="s">
        <v>32</v>
      </c>
      <c r="B192">
        <v>84336</v>
      </c>
      <c r="C192">
        <v>3</v>
      </c>
      <c r="D192" t="s">
        <v>15</v>
      </c>
      <c r="E192">
        <v>0.09</v>
      </c>
      <c r="F192">
        <v>0.54</v>
      </c>
      <c r="G192">
        <v>0.56999999999999995</v>
      </c>
      <c r="H192" t="s">
        <v>17</v>
      </c>
    </row>
    <row r="193" spans="1:8" x14ac:dyDescent="0.25">
      <c r="A193" t="s">
        <v>18</v>
      </c>
      <c r="B193">
        <v>112594</v>
      </c>
      <c r="C193">
        <v>24</v>
      </c>
      <c r="D193" t="s">
        <v>15</v>
      </c>
      <c r="E193">
        <v>0.74</v>
      </c>
      <c r="F193">
        <v>0.83</v>
      </c>
      <c r="G193">
        <v>0.66</v>
      </c>
      <c r="H193" t="s">
        <v>17</v>
      </c>
    </row>
    <row r="194" spans="1:8" x14ac:dyDescent="0.25">
      <c r="A194" t="s">
        <v>8</v>
      </c>
      <c r="B194">
        <v>85243</v>
      </c>
      <c r="C194">
        <v>26</v>
      </c>
      <c r="D194" t="s">
        <v>28</v>
      </c>
      <c r="E194">
        <v>0.57999999999999996</v>
      </c>
      <c r="F194">
        <v>0.57999999999999996</v>
      </c>
      <c r="G194">
        <v>0.8</v>
      </c>
      <c r="H194" t="s">
        <v>10</v>
      </c>
    </row>
    <row r="195" spans="1:8" x14ac:dyDescent="0.25">
      <c r="A195" t="s">
        <v>24</v>
      </c>
      <c r="B195">
        <v>85668</v>
      </c>
      <c r="C195">
        <v>3</v>
      </c>
      <c r="D195" t="s">
        <v>9</v>
      </c>
      <c r="E195">
        <v>0.55000000000000004</v>
      </c>
      <c r="F195">
        <v>1.38</v>
      </c>
      <c r="G195">
        <v>0.56999999999999995</v>
      </c>
      <c r="H195" t="s">
        <v>17</v>
      </c>
    </row>
    <row r="196" spans="1:8" x14ac:dyDescent="0.25">
      <c r="A196" t="s">
        <v>16</v>
      </c>
      <c r="B196">
        <v>82428</v>
      </c>
      <c r="C196">
        <v>14</v>
      </c>
      <c r="D196" t="s">
        <v>28</v>
      </c>
      <c r="E196">
        <v>0.06</v>
      </c>
      <c r="F196">
        <v>1.17</v>
      </c>
      <c r="G196">
        <v>0.53</v>
      </c>
      <c r="H196" t="s">
        <v>17</v>
      </c>
    </row>
    <row r="197" spans="1:8" x14ac:dyDescent="0.25">
      <c r="A197" t="s">
        <v>26</v>
      </c>
      <c r="B197">
        <v>107240</v>
      </c>
      <c r="C197">
        <v>25</v>
      </c>
      <c r="D197" t="s">
        <v>28</v>
      </c>
      <c r="E197">
        <v>0.85</v>
      </c>
      <c r="F197">
        <v>0.82</v>
      </c>
      <c r="G197">
        <v>0.41</v>
      </c>
      <c r="H197" t="s">
        <v>17</v>
      </c>
    </row>
    <row r="198" spans="1:8" x14ac:dyDescent="0.25">
      <c r="A198" t="s">
        <v>24</v>
      </c>
      <c r="B198">
        <v>120270</v>
      </c>
      <c r="C198">
        <v>8</v>
      </c>
      <c r="D198" t="s">
        <v>9</v>
      </c>
      <c r="E198">
        <v>0.69</v>
      </c>
      <c r="F198">
        <v>1.19</v>
      </c>
      <c r="G198">
        <v>0.67</v>
      </c>
      <c r="H198" t="s">
        <v>17</v>
      </c>
    </row>
    <row r="199" spans="1:8" x14ac:dyDescent="0.25">
      <c r="A199" t="s">
        <v>19</v>
      </c>
      <c r="B199">
        <v>74605</v>
      </c>
      <c r="C199">
        <v>21</v>
      </c>
      <c r="D199" t="s">
        <v>9</v>
      </c>
      <c r="E199">
        <v>0.76</v>
      </c>
      <c r="F199">
        <v>1.05</v>
      </c>
      <c r="G199">
        <v>0.1</v>
      </c>
      <c r="H199" t="s">
        <v>13</v>
      </c>
    </row>
    <row r="200" spans="1:8" x14ac:dyDescent="0.25">
      <c r="A200" t="s">
        <v>24</v>
      </c>
      <c r="B200">
        <v>140059</v>
      </c>
      <c r="C200">
        <v>5</v>
      </c>
      <c r="D200" t="s">
        <v>28</v>
      </c>
      <c r="E200">
        <v>0.11</v>
      </c>
      <c r="F200">
        <v>1.1399999999999999</v>
      </c>
      <c r="G200">
        <v>0.5</v>
      </c>
      <c r="H200" t="s">
        <v>17</v>
      </c>
    </row>
    <row r="201" spans="1:8" x14ac:dyDescent="0.25">
      <c r="A201" t="s">
        <v>20</v>
      </c>
      <c r="B201">
        <v>96155</v>
      </c>
      <c r="C201">
        <v>18</v>
      </c>
      <c r="D201" t="s">
        <v>28</v>
      </c>
      <c r="E201">
        <v>0.73</v>
      </c>
      <c r="F201">
        <v>0.86</v>
      </c>
      <c r="G201">
        <v>0.57999999999999996</v>
      </c>
      <c r="H201" t="s">
        <v>17</v>
      </c>
    </row>
    <row r="202" spans="1:8" x14ac:dyDescent="0.25">
      <c r="A202" t="s">
        <v>14</v>
      </c>
      <c r="B202">
        <v>131971</v>
      </c>
      <c r="C202">
        <v>23</v>
      </c>
      <c r="D202" t="s">
        <v>9</v>
      </c>
      <c r="E202">
        <v>0.76</v>
      </c>
      <c r="F202">
        <v>1.36</v>
      </c>
      <c r="G202">
        <v>0.85</v>
      </c>
      <c r="H202" t="s">
        <v>10</v>
      </c>
    </row>
    <row r="203" spans="1:8" x14ac:dyDescent="0.25">
      <c r="A203" t="s">
        <v>21</v>
      </c>
      <c r="B203">
        <v>57413</v>
      </c>
      <c r="C203">
        <v>4</v>
      </c>
      <c r="D203" t="s">
        <v>15</v>
      </c>
      <c r="E203">
        <v>0.25</v>
      </c>
      <c r="F203">
        <v>0.9</v>
      </c>
      <c r="G203">
        <v>0.27</v>
      </c>
      <c r="H203" t="s">
        <v>13</v>
      </c>
    </row>
    <row r="204" spans="1:8" x14ac:dyDescent="0.25">
      <c r="A204" t="s">
        <v>16</v>
      </c>
      <c r="B204">
        <v>138125</v>
      </c>
      <c r="C204">
        <v>2</v>
      </c>
      <c r="D204" t="s">
        <v>28</v>
      </c>
      <c r="E204">
        <v>0.06</v>
      </c>
      <c r="F204">
        <v>0.94</v>
      </c>
      <c r="G204">
        <v>0.41</v>
      </c>
      <c r="H204" t="s">
        <v>17</v>
      </c>
    </row>
    <row r="205" spans="1:8" x14ac:dyDescent="0.25">
      <c r="A205" t="s">
        <v>22</v>
      </c>
      <c r="B205">
        <v>42602</v>
      </c>
      <c r="C205">
        <v>10</v>
      </c>
      <c r="D205" t="s">
        <v>12</v>
      </c>
      <c r="E205">
        <v>0.75</v>
      </c>
      <c r="F205">
        <v>0.73</v>
      </c>
      <c r="G205">
        <v>0.68</v>
      </c>
      <c r="H205" t="s">
        <v>17</v>
      </c>
    </row>
    <row r="206" spans="1:8" x14ac:dyDescent="0.25">
      <c r="A206" t="s">
        <v>11</v>
      </c>
      <c r="B206">
        <v>110070</v>
      </c>
      <c r="C206">
        <v>14</v>
      </c>
      <c r="D206" t="s">
        <v>9</v>
      </c>
      <c r="E206">
        <v>0.9</v>
      </c>
      <c r="F206">
        <v>1.35</v>
      </c>
      <c r="G206">
        <v>0.15</v>
      </c>
      <c r="H206" t="s">
        <v>13</v>
      </c>
    </row>
    <row r="207" spans="1:8" x14ac:dyDescent="0.25">
      <c r="A207" t="s">
        <v>24</v>
      </c>
      <c r="B207">
        <v>50954</v>
      </c>
      <c r="C207">
        <v>3</v>
      </c>
      <c r="D207" t="s">
        <v>9</v>
      </c>
      <c r="E207">
        <v>0.3</v>
      </c>
      <c r="F207">
        <v>1.38</v>
      </c>
      <c r="G207">
        <v>0.48</v>
      </c>
      <c r="H207" t="s">
        <v>17</v>
      </c>
    </row>
    <row r="208" spans="1:8" x14ac:dyDescent="0.25">
      <c r="A208" t="s">
        <v>23</v>
      </c>
      <c r="B208">
        <v>118691</v>
      </c>
      <c r="C208">
        <v>22</v>
      </c>
      <c r="D208" t="s">
        <v>12</v>
      </c>
      <c r="E208">
        <v>0.93</v>
      </c>
      <c r="F208">
        <v>0.89</v>
      </c>
      <c r="G208">
        <v>0.84</v>
      </c>
      <c r="H208" t="s">
        <v>10</v>
      </c>
    </row>
    <row r="209" spans="1:8" x14ac:dyDescent="0.25">
      <c r="A209" t="s">
        <v>25</v>
      </c>
      <c r="B209">
        <v>120453</v>
      </c>
      <c r="C209">
        <v>14</v>
      </c>
      <c r="D209" t="s">
        <v>28</v>
      </c>
      <c r="E209">
        <v>0.19</v>
      </c>
      <c r="F209">
        <v>0.81</v>
      </c>
      <c r="G209">
        <v>0.59</v>
      </c>
      <c r="H209" t="s">
        <v>17</v>
      </c>
    </row>
    <row r="210" spans="1:8" x14ac:dyDescent="0.25">
      <c r="A210" t="s">
        <v>16</v>
      </c>
      <c r="B210">
        <v>37214</v>
      </c>
      <c r="C210">
        <v>21</v>
      </c>
      <c r="D210" t="s">
        <v>12</v>
      </c>
      <c r="E210">
        <v>0.41</v>
      </c>
      <c r="F210">
        <v>0.72</v>
      </c>
      <c r="G210">
        <v>0.6</v>
      </c>
      <c r="H210" t="s">
        <v>17</v>
      </c>
    </row>
    <row r="211" spans="1:8" x14ac:dyDescent="0.25">
      <c r="A211" t="s">
        <v>11</v>
      </c>
      <c r="B211">
        <v>139269</v>
      </c>
      <c r="C211">
        <v>24</v>
      </c>
      <c r="D211" t="s">
        <v>15</v>
      </c>
      <c r="E211">
        <v>0.36</v>
      </c>
      <c r="F211">
        <v>1.45</v>
      </c>
      <c r="G211">
        <v>0.21</v>
      </c>
      <c r="H211" t="s">
        <v>13</v>
      </c>
    </row>
    <row r="212" spans="1:8" x14ac:dyDescent="0.25">
      <c r="A212" t="s">
        <v>14</v>
      </c>
      <c r="B212">
        <v>119285</v>
      </c>
      <c r="C212">
        <v>0</v>
      </c>
      <c r="D212" t="s">
        <v>12</v>
      </c>
      <c r="E212">
        <v>0.12</v>
      </c>
      <c r="F212">
        <v>0.63</v>
      </c>
      <c r="G212">
        <v>0.91</v>
      </c>
      <c r="H212" t="s">
        <v>10</v>
      </c>
    </row>
    <row r="213" spans="1:8" x14ac:dyDescent="0.25">
      <c r="A213" t="s">
        <v>11</v>
      </c>
      <c r="B213">
        <v>122268</v>
      </c>
      <c r="C213">
        <v>22</v>
      </c>
      <c r="D213" t="s">
        <v>28</v>
      </c>
      <c r="E213">
        <v>0.55000000000000004</v>
      </c>
      <c r="F213">
        <v>0.81</v>
      </c>
      <c r="G213">
        <v>0.17</v>
      </c>
      <c r="H213" t="s">
        <v>13</v>
      </c>
    </row>
    <row r="214" spans="1:8" x14ac:dyDescent="0.25">
      <c r="A214" t="s">
        <v>23</v>
      </c>
      <c r="B214">
        <v>118791</v>
      </c>
      <c r="C214">
        <v>26</v>
      </c>
      <c r="D214" t="s">
        <v>28</v>
      </c>
      <c r="E214">
        <v>0.5</v>
      </c>
      <c r="F214">
        <v>1.21</v>
      </c>
      <c r="G214">
        <v>0.83</v>
      </c>
      <c r="H214" t="s">
        <v>10</v>
      </c>
    </row>
    <row r="215" spans="1:8" x14ac:dyDescent="0.25">
      <c r="A215" t="s">
        <v>23</v>
      </c>
      <c r="B215">
        <v>86408</v>
      </c>
      <c r="C215">
        <v>19</v>
      </c>
      <c r="D215" t="s">
        <v>15</v>
      </c>
      <c r="E215">
        <v>0.68</v>
      </c>
      <c r="F215">
        <v>1.1299999999999999</v>
      </c>
      <c r="G215">
        <v>0.78</v>
      </c>
      <c r="H215" t="s">
        <v>10</v>
      </c>
    </row>
    <row r="216" spans="1:8" x14ac:dyDescent="0.25">
      <c r="A216" t="s">
        <v>18</v>
      </c>
      <c r="B216">
        <v>136464</v>
      </c>
      <c r="C216">
        <v>16</v>
      </c>
      <c r="D216" t="s">
        <v>12</v>
      </c>
      <c r="E216">
        <v>0.02</v>
      </c>
      <c r="F216">
        <v>0.89</v>
      </c>
      <c r="G216">
        <v>0.38</v>
      </c>
      <c r="H216" t="s">
        <v>17</v>
      </c>
    </row>
    <row r="217" spans="1:8" x14ac:dyDescent="0.25">
      <c r="A217" t="s">
        <v>27</v>
      </c>
      <c r="B217">
        <v>56049</v>
      </c>
      <c r="C217">
        <v>29</v>
      </c>
      <c r="D217" t="s">
        <v>28</v>
      </c>
      <c r="E217">
        <v>0.37</v>
      </c>
      <c r="F217">
        <v>1.44</v>
      </c>
      <c r="G217">
        <v>0.56000000000000005</v>
      </c>
      <c r="H217" t="s">
        <v>17</v>
      </c>
    </row>
    <row r="218" spans="1:8" x14ac:dyDescent="0.25">
      <c r="A218" t="s">
        <v>27</v>
      </c>
      <c r="B218">
        <v>84845</v>
      </c>
      <c r="C218">
        <v>28</v>
      </c>
      <c r="D218" t="s">
        <v>12</v>
      </c>
      <c r="E218">
        <v>0.98</v>
      </c>
      <c r="F218">
        <v>0.6</v>
      </c>
      <c r="G218">
        <v>0.52</v>
      </c>
      <c r="H218" t="s">
        <v>17</v>
      </c>
    </row>
    <row r="219" spans="1:8" x14ac:dyDescent="0.25">
      <c r="A219" t="s">
        <v>27</v>
      </c>
      <c r="B219">
        <v>133937</v>
      </c>
      <c r="C219">
        <v>27</v>
      </c>
      <c r="D219" t="s">
        <v>9</v>
      </c>
      <c r="E219">
        <v>0.55000000000000004</v>
      </c>
      <c r="F219">
        <v>1.19</v>
      </c>
      <c r="G219">
        <v>0.36</v>
      </c>
      <c r="H219" t="s">
        <v>17</v>
      </c>
    </row>
    <row r="220" spans="1:8" x14ac:dyDescent="0.25">
      <c r="A220" t="s">
        <v>19</v>
      </c>
      <c r="B220">
        <v>143557</v>
      </c>
      <c r="C220">
        <v>2</v>
      </c>
      <c r="D220" t="s">
        <v>15</v>
      </c>
      <c r="E220">
        <v>0.37</v>
      </c>
      <c r="F220">
        <v>1.06</v>
      </c>
      <c r="G220">
        <v>0.16</v>
      </c>
      <c r="H220" t="s">
        <v>13</v>
      </c>
    </row>
    <row r="221" spans="1:8" x14ac:dyDescent="0.25">
      <c r="A221" t="s">
        <v>26</v>
      </c>
      <c r="B221">
        <v>32994</v>
      </c>
      <c r="C221">
        <v>15</v>
      </c>
      <c r="D221" t="s">
        <v>12</v>
      </c>
      <c r="E221">
        <v>0.01</v>
      </c>
      <c r="F221">
        <v>1.27</v>
      </c>
      <c r="G221">
        <v>0.55000000000000004</v>
      </c>
      <c r="H221" t="s">
        <v>17</v>
      </c>
    </row>
    <row r="222" spans="1:8" x14ac:dyDescent="0.25">
      <c r="A222" t="s">
        <v>31</v>
      </c>
      <c r="B222">
        <v>54351</v>
      </c>
      <c r="C222">
        <v>5</v>
      </c>
      <c r="D222" t="s">
        <v>12</v>
      </c>
      <c r="E222">
        <v>0.98</v>
      </c>
      <c r="F222">
        <v>0.6</v>
      </c>
      <c r="G222">
        <v>0.7</v>
      </c>
      <c r="H222" t="s">
        <v>17</v>
      </c>
    </row>
    <row r="223" spans="1:8" x14ac:dyDescent="0.25">
      <c r="A223" t="s">
        <v>21</v>
      </c>
      <c r="B223">
        <v>74816</v>
      </c>
      <c r="C223">
        <v>10</v>
      </c>
      <c r="D223" t="s">
        <v>9</v>
      </c>
      <c r="E223">
        <v>0.64</v>
      </c>
      <c r="F223">
        <v>0.74</v>
      </c>
      <c r="G223">
        <v>0.23</v>
      </c>
      <c r="H223" t="s">
        <v>13</v>
      </c>
    </row>
    <row r="224" spans="1:8" x14ac:dyDescent="0.25">
      <c r="A224" t="s">
        <v>18</v>
      </c>
      <c r="B224">
        <v>103788</v>
      </c>
      <c r="C224">
        <v>17</v>
      </c>
      <c r="D224" t="s">
        <v>28</v>
      </c>
      <c r="E224">
        <v>0.73</v>
      </c>
      <c r="F224">
        <v>1.1100000000000001</v>
      </c>
      <c r="G224">
        <v>0.56999999999999995</v>
      </c>
      <c r="H224" t="s">
        <v>17</v>
      </c>
    </row>
    <row r="225" spans="1:8" x14ac:dyDescent="0.25">
      <c r="A225" t="s">
        <v>21</v>
      </c>
      <c r="B225">
        <v>40103</v>
      </c>
      <c r="C225">
        <v>26</v>
      </c>
      <c r="D225" t="s">
        <v>28</v>
      </c>
      <c r="E225">
        <v>0.52</v>
      </c>
      <c r="F225">
        <v>0.56999999999999995</v>
      </c>
      <c r="G225">
        <v>0.14000000000000001</v>
      </c>
      <c r="H225" t="s">
        <v>13</v>
      </c>
    </row>
    <row r="226" spans="1:8" x14ac:dyDescent="0.25">
      <c r="A226" t="s">
        <v>34</v>
      </c>
      <c r="B226">
        <v>34458</v>
      </c>
      <c r="C226">
        <v>26</v>
      </c>
      <c r="D226" t="s">
        <v>15</v>
      </c>
      <c r="E226">
        <v>0.71</v>
      </c>
      <c r="F226">
        <v>0.93</v>
      </c>
      <c r="G226">
        <v>0.48</v>
      </c>
      <c r="H226" t="s">
        <v>17</v>
      </c>
    </row>
    <row r="227" spans="1:8" x14ac:dyDescent="0.25">
      <c r="A227" t="s">
        <v>14</v>
      </c>
      <c r="B227">
        <v>59493</v>
      </c>
      <c r="C227">
        <v>23</v>
      </c>
      <c r="D227" t="s">
        <v>28</v>
      </c>
      <c r="E227">
        <v>0.93</v>
      </c>
      <c r="F227">
        <v>0.61</v>
      </c>
      <c r="G227">
        <v>0.89</v>
      </c>
      <c r="H227" t="s">
        <v>10</v>
      </c>
    </row>
    <row r="228" spans="1:8" x14ac:dyDescent="0.25">
      <c r="A228" t="s">
        <v>26</v>
      </c>
      <c r="B228">
        <v>93059</v>
      </c>
      <c r="C228">
        <v>18</v>
      </c>
      <c r="D228" t="s">
        <v>15</v>
      </c>
      <c r="E228">
        <v>0.11</v>
      </c>
      <c r="F228">
        <v>0.79</v>
      </c>
      <c r="G228">
        <v>0.42</v>
      </c>
      <c r="H228" t="s">
        <v>17</v>
      </c>
    </row>
    <row r="229" spans="1:8" x14ac:dyDescent="0.25">
      <c r="A229" t="s">
        <v>27</v>
      </c>
      <c r="B229">
        <v>121683</v>
      </c>
      <c r="C229">
        <v>13</v>
      </c>
      <c r="D229" t="s">
        <v>12</v>
      </c>
      <c r="E229">
        <v>0.35</v>
      </c>
      <c r="F229">
        <v>1.01</v>
      </c>
      <c r="G229">
        <v>0.68</v>
      </c>
      <c r="H229" t="s">
        <v>17</v>
      </c>
    </row>
    <row r="230" spans="1:8" x14ac:dyDescent="0.25">
      <c r="A230" t="s">
        <v>25</v>
      </c>
      <c r="B230">
        <v>46322</v>
      </c>
      <c r="C230">
        <v>29</v>
      </c>
      <c r="D230" t="s">
        <v>12</v>
      </c>
      <c r="E230">
        <v>0.44</v>
      </c>
      <c r="F230">
        <v>1.1100000000000001</v>
      </c>
      <c r="G230">
        <v>0.36</v>
      </c>
      <c r="H230" t="s">
        <v>17</v>
      </c>
    </row>
    <row r="231" spans="1:8" x14ac:dyDescent="0.25">
      <c r="A231" t="s">
        <v>16</v>
      </c>
      <c r="B231">
        <v>100293</v>
      </c>
      <c r="C231">
        <v>21</v>
      </c>
      <c r="D231" t="s">
        <v>28</v>
      </c>
      <c r="E231">
        <v>0.08</v>
      </c>
      <c r="F231">
        <v>0.52</v>
      </c>
      <c r="G231">
        <v>0.37</v>
      </c>
      <c r="H231" t="s">
        <v>17</v>
      </c>
    </row>
    <row r="232" spans="1:8" x14ac:dyDescent="0.25">
      <c r="A232" t="s">
        <v>31</v>
      </c>
      <c r="B232">
        <v>79298</v>
      </c>
      <c r="C232">
        <v>21</v>
      </c>
      <c r="D232" t="s">
        <v>28</v>
      </c>
      <c r="E232">
        <v>0.22</v>
      </c>
      <c r="F232">
        <v>1.46</v>
      </c>
      <c r="G232">
        <v>0.85</v>
      </c>
      <c r="H232" t="s">
        <v>10</v>
      </c>
    </row>
    <row r="233" spans="1:8" x14ac:dyDescent="0.25">
      <c r="A233" t="s">
        <v>14</v>
      </c>
      <c r="B233">
        <v>73937</v>
      </c>
      <c r="C233">
        <v>28</v>
      </c>
      <c r="D233" t="s">
        <v>12</v>
      </c>
      <c r="E233">
        <v>0.53</v>
      </c>
      <c r="F233">
        <v>0.62</v>
      </c>
      <c r="G233">
        <v>0.85</v>
      </c>
      <c r="H233" t="s">
        <v>10</v>
      </c>
    </row>
    <row r="234" spans="1:8" x14ac:dyDescent="0.25">
      <c r="A234" t="s">
        <v>25</v>
      </c>
      <c r="B234">
        <v>146464</v>
      </c>
      <c r="C234">
        <v>29</v>
      </c>
      <c r="D234" t="s">
        <v>15</v>
      </c>
      <c r="E234">
        <v>0.79</v>
      </c>
      <c r="F234">
        <v>0.56999999999999995</v>
      </c>
      <c r="G234">
        <v>0.49</v>
      </c>
      <c r="H234" t="s">
        <v>17</v>
      </c>
    </row>
    <row r="235" spans="1:8" x14ac:dyDescent="0.25">
      <c r="A235" t="s">
        <v>29</v>
      </c>
      <c r="B235">
        <v>106274</v>
      </c>
      <c r="C235">
        <v>11</v>
      </c>
      <c r="D235" t="s">
        <v>15</v>
      </c>
      <c r="E235">
        <v>0.33</v>
      </c>
      <c r="F235">
        <v>1.29</v>
      </c>
      <c r="G235">
        <v>0.81</v>
      </c>
      <c r="H235" t="s">
        <v>10</v>
      </c>
    </row>
    <row r="236" spans="1:8" x14ac:dyDescent="0.25">
      <c r="A236" t="s">
        <v>32</v>
      </c>
      <c r="B236">
        <v>32581</v>
      </c>
      <c r="C236">
        <v>5</v>
      </c>
      <c r="D236" t="s">
        <v>12</v>
      </c>
      <c r="E236">
        <v>0.39</v>
      </c>
      <c r="F236">
        <v>1.04</v>
      </c>
      <c r="G236">
        <v>0.69</v>
      </c>
      <c r="H236" t="s">
        <v>17</v>
      </c>
    </row>
    <row r="237" spans="1:8" x14ac:dyDescent="0.25">
      <c r="A237" t="s">
        <v>31</v>
      </c>
      <c r="B237">
        <v>142309</v>
      </c>
      <c r="C237">
        <v>13</v>
      </c>
      <c r="D237" t="s">
        <v>9</v>
      </c>
      <c r="E237">
        <v>0.37</v>
      </c>
      <c r="F237">
        <v>0.56999999999999995</v>
      </c>
      <c r="G237">
        <v>0.79</v>
      </c>
      <c r="H237" t="s">
        <v>10</v>
      </c>
    </row>
    <row r="238" spans="1:8" x14ac:dyDescent="0.25">
      <c r="A238" t="s">
        <v>34</v>
      </c>
      <c r="B238">
        <v>85612</v>
      </c>
      <c r="C238">
        <v>23</v>
      </c>
      <c r="D238" t="s">
        <v>15</v>
      </c>
      <c r="E238">
        <v>0.55000000000000004</v>
      </c>
      <c r="F238">
        <v>0.56999999999999995</v>
      </c>
      <c r="G238">
        <v>0.61</v>
      </c>
      <c r="H238" t="s">
        <v>17</v>
      </c>
    </row>
    <row r="239" spans="1:8" x14ac:dyDescent="0.25">
      <c r="A239" t="s">
        <v>31</v>
      </c>
      <c r="B239">
        <v>65710</v>
      </c>
      <c r="C239">
        <v>27</v>
      </c>
      <c r="D239" t="s">
        <v>28</v>
      </c>
      <c r="E239">
        <v>0.39</v>
      </c>
      <c r="F239">
        <v>0.66</v>
      </c>
      <c r="G239">
        <v>0.76</v>
      </c>
      <c r="H239" t="s">
        <v>10</v>
      </c>
    </row>
    <row r="240" spans="1:8" x14ac:dyDescent="0.25">
      <c r="A240" t="s">
        <v>8</v>
      </c>
      <c r="B240">
        <v>46999</v>
      </c>
      <c r="C240">
        <v>26</v>
      </c>
      <c r="D240" t="s">
        <v>9</v>
      </c>
      <c r="E240">
        <v>0.19</v>
      </c>
      <c r="F240">
        <v>1.1000000000000001</v>
      </c>
      <c r="G240">
        <v>0.92</v>
      </c>
      <c r="H240" t="s">
        <v>10</v>
      </c>
    </row>
    <row r="241" spans="1:8" x14ac:dyDescent="0.25">
      <c r="A241" t="s">
        <v>23</v>
      </c>
      <c r="B241">
        <v>142701</v>
      </c>
      <c r="C241">
        <v>5</v>
      </c>
      <c r="D241" t="s">
        <v>12</v>
      </c>
      <c r="E241">
        <v>0.53</v>
      </c>
      <c r="F241">
        <v>1.1399999999999999</v>
      </c>
      <c r="G241">
        <v>0.89</v>
      </c>
      <c r="H241" t="s">
        <v>10</v>
      </c>
    </row>
    <row r="242" spans="1:8" x14ac:dyDescent="0.25">
      <c r="A242" t="s">
        <v>21</v>
      </c>
      <c r="B242">
        <v>54031</v>
      </c>
      <c r="C242">
        <v>22</v>
      </c>
      <c r="D242" t="s">
        <v>12</v>
      </c>
      <c r="E242">
        <v>0.98</v>
      </c>
      <c r="F242">
        <v>1.29</v>
      </c>
      <c r="G242">
        <v>0.24</v>
      </c>
      <c r="H242" t="s">
        <v>13</v>
      </c>
    </row>
    <row r="243" spans="1:8" x14ac:dyDescent="0.25">
      <c r="A243" t="s">
        <v>16</v>
      </c>
      <c r="B243">
        <v>115679</v>
      </c>
      <c r="C243">
        <v>5</v>
      </c>
      <c r="D243" t="s">
        <v>12</v>
      </c>
      <c r="E243">
        <v>0.43</v>
      </c>
      <c r="F243">
        <v>0.7</v>
      </c>
      <c r="G243">
        <v>0.51</v>
      </c>
      <c r="H243" t="s">
        <v>17</v>
      </c>
    </row>
    <row r="244" spans="1:8" x14ac:dyDescent="0.25">
      <c r="A244" t="s">
        <v>20</v>
      </c>
      <c r="B244">
        <v>63724</v>
      </c>
      <c r="C244">
        <v>26</v>
      </c>
      <c r="D244" t="s">
        <v>12</v>
      </c>
      <c r="E244">
        <v>0.81</v>
      </c>
      <c r="F244">
        <v>1.36</v>
      </c>
      <c r="G244">
        <v>0.7</v>
      </c>
      <c r="H244" t="s">
        <v>17</v>
      </c>
    </row>
    <row r="245" spans="1:8" x14ac:dyDescent="0.25">
      <c r="A245" t="s">
        <v>24</v>
      </c>
      <c r="B245">
        <v>131154</v>
      </c>
      <c r="C245">
        <v>21</v>
      </c>
      <c r="D245" t="s">
        <v>9</v>
      </c>
      <c r="E245">
        <v>0.01</v>
      </c>
      <c r="F245">
        <v>1.26</v>
      </c>
      <c r="G245">
        <v>0.55000000000000004</v>
      </c>
      <c r="H245" t="s">
        <v>17</v>
      </c>
    </row>
    <row r="246" spans="1:8" x14ac:dyDescent="0.25">
      <c r="A246" t="s">
        <v>20</v>
      </c>
      <c r="B246">
        <v>100014</v>
      </c>
      <c r="C246">
        <v>18</v>
      </c>
      <c r="D246" t="s">
        <v>28</v>
      </c>
      <c r="E246">
        <v>0.44</v>
      </c>
      <c r="F246">
        <v>1.21</v>
      </c>
      <c r="G246">
        <v>0.46</v>
      </c>
      <c r="H246" t="s">
        <v>17</v>
      </c>
    </row>
    <row r="247" spans="1:8" x14ac:dyDescent="0.25">
      <c r="A247" t="s">
        <v>33</v>
      </c>
      <c r="B247">
        <v>35232</v>
      </c>
      <c r="C247">
        <v>9</v>
      </c>
      <c r="D247" t="s">
        <v>15</v>
      </c>
      <c r="E247">
        <v>0.72</v>
      </c>
      <c r="F247">
        <v>1.0900000000000001</v>
      </c>
      <c r="G247">
        <v>0.06</v>
      </c>
      <c r="H247" t="s">
        <v>13</v>
      </c>
    </row>
    <row r="248" spans="1:8" x14ac:dyDescent="0.25">
      <c r="A248" t="s">
        <v>27</v>
      </c>
      <c r="B248">
        <v>114425</v>
      </c>
      <c r="C248">
        <v>21</v>
      </c>
      <c r="D248" t="s">
        <v>12</v>
      </c>
      <c r="E248">
        <v>0.16</v>
      </c>
      <c r="F248">
        <v>1.1399999999999999</v>
      </c>
      <c r="G248">
        <v>0.54</v>
      </c>
      <c r="H248" t="s">
        <v>17</v>
      </c>
    </row>
    <row r="249" spans="1:8" x14ac:dyDescent="0.25">
      <c r="A249" t="s">
        <v>11</v>
      </c>
      <c r="B249">
        <v>116795</v>
      </c>
      <c r="C249">
        <v>7</v>
      </c>
      <c r="D249" t="s">
        <v>15</v>
      </c>
      <c r="E249">
        <v>0.8</v>
      </c>
      <c r="F249">
        <v>1.46</v>
      </c>
      <c r="G249">
        <v>0.18</v>
      </c>
      <c r="H249" t="s">
        <v>13</v>
      </c>
    </row>
    <row r="250" spans="1:8" x14ac:dyDescent="0.25">
      <c r="A250" t="s">
        <v>23</v>
      </c>
      <c r="B250">
        <v>53559</v>
      </c>
      <c r="C250">
        <v>28</v>
      </c>
      <c r="D250" t="s">
        <v>28</v>
      </c>
      <c r="E250">
        <v>0.42</v>
      </c>
      <c r="F250">
        <v>0.57999999999999996</v>
      </c>
      <c r="G250">
        <v>0.85</v>
      </c>
      <c r="H250" t="s">
        <v>10</v>
      </c>
    </row>
    <row r="251" spans="1:8" x14ac:dyDescent="0.25">
      <c r="A251" t="s">
        <v>14</v>
      </c>
      <c r="B251">
        <v>94418</v>
      </c>
      <c r="C251">
        <v>18</v>
      </c>
      <c r="D251" t="s">
        <v>9</v>
      </c>
      <c r="E251">
        <v>0.03</v>
      </c>
      <c r="F251">
        <v>1.4</v>
      </c>
      <c r="G251">
        <v>0.86</v>
      </c>
      <c r="H251" t="s">
        <v>10</v>
      </c>
    </row>
    <row r="252" spans="1:8" x14ac:dyDescent="0.25">
      <c r="A252" t="s">
        <v>26</v>
      </c>
      <c r="B252">
        <v>117954</v>
      </c>
      <c r="C252">
        <v>13</v>
      </c>
      <c r="D252" t="s">
        <v>12</v>
      </c>
      <c r="E252">
        <v>0.39</v>
      </c>
      <c r="F252">
        <v>0.56999999999999995</v>
      </c>
      <c r="G252">
        <v>0.38</v>
      </c>
      <c r="H252" t="s">
        <v>17</v>
      </c>
    </row>
    <row r="253" spans="1:8" x14ac:dyDescent="0.25">
      <c r="A253" t="s">
        <v>20</v>
      </c>
      <c r="B253">
        <v>105831</v>
      </c>
      <c r="C253">
        <v>22</v>
      </c>
      <c r="D253" t="s">
        <v>9</v>
      </c>
      <c r="E253">
        <v>0.8</v>
      </c>
      <c r="F253">
        <v>0.83</v>
      </c>
      <c r="G253">
        <v>0.42</v>
      </c>
      <c r="H253" t="s">
        <v>17</v>
      </c>
    </row>
    <row r="254" spans="1:8" x14ac:dyDescent="0.25">
      <c r="A254" t="s">
        <v>22</v>
      </c>
      <c r="B254">
        <v>48814</v>
      </c>
      <c r="C254">
        <v>23</v>
      </c>
      <c r="D254" t="s">
        <v>28</v>
      </c>
      <c r="E254">
        <v>0.15</v>
      </c>
      <c r="F254">
        <v>0.57999999999999996</v>
      </c>
      <c r="G254">
        <v>0.49</v>
      </c>
      <c r="H254" t="s">
        <v>17</v>
      </c>
    </row>
    <row r="255" spans="1:8" x14ac:dyDescent="0.25">
      <c r="A255" t="s">
        <v>11</v>
      </c>
      <c r="B255">
        <v>147904</v>
      </c>
      <c r="C255">
        <v>0</v>
      </c>
      <c r="D255" t="s">
        <v>15</v>
      </c>
      <c r="E255">
        <v>0.46</v>
      </c>
      <c r="F255">
        <v>0.81</v>
      </c>
      <c r="G255">
        <v>0.26</v>
      </c>
      <c r="H255" t="s">
        <v>13</v>
      </c>
    </row>
    <row r="256" spans="1:8" x14ac:dyDescent="0.25">
      <c r="A256" t="s">
        <v>32</v>
      </c>
      <c r="B256">
        <v>116694</v>
      </c>
      <c r="C256">
        <v>12</v>
      </c>
      <c r="D256" t="s">
        <v>15</v>
      </c>
      <c r="E256">
        <v>0.99</v>
      </c>
      <c r="F256">
        <v>1.39</v>
      </c>
      <c r="G256">
        <v>0.45</v>
      </c>
      <c r="H256" t="s">
        <v>17</v>
      </c>
    </row>
    <row r="257" spans="1:8" x14ac:dyDescent="0.25">
      <c r="A257" t="s">
        <v>8</v>
      </c>
      <c r="B257">
        <v>74739</v>
      </c>
      <c r="C257">
        <v>26</v>
      </c>
      <c r="D257" t="s">
        <v>15</v>
      </c>
      <c r="E257">
        <v>0.76</v>
      </c>
      <c r="F257">
        <v>0.63</v>
      </c>
      <c r="G257">
        <v>0.75</v>
      </c>
      <c r="H257" t="s">
        <v>10</v>
      </c>
    </row>
    <row r="258" spans="1:8" x14ac:dyDescent="0.25">
      <c r="A258" t="s">
        <v>19</v>
      </c>
      <c r="B258">
        <v>110357</v>
      </c>
      <c r="C258">
        <v>5</v>
      </c>
      <c r="D258" t="s">
        <v>15</v>
      </c>
      <c r="E258">
        <v>0.85</v>
      </c>
      <c r="F258">
        <v>0.67</v>
      </c>
      <c r="G258">
        <v>0.26</v>
      </c>
      <c r="H258" t="s">
        <v>13</v>
      </c>
    </row>
    <row r="259" spans="1:8" x14ac:dyDescent="0.25">
      <c r="A259" t="s">
        <v>25</v>
      </c>
      <c r="B259">
        <v>44079</v>
      </c>
      <c r="C259">
        <v>26</v>
      </c>
      <c r="D259" t="s">
        <v>15</v>
      </c>
      <c r="E259">
        <v>0.34</v>
      </c>
      <c r="F259">
        <v>1.23</v>
      </c>
      <c r="G259">
        <v>0.53</v>
      </c>
      <c r="H259" t="s">
        <v>17</v>
      </c>
    </row>
    <row r="260" spans="1:8" x14ac:dyDescent="0.25">
      <c r="A260" t="s">
        <v>24</v>
      </c>
      <c r="B260">
        <v>103648</v>
      </c>
      <c r="C260">
        <v>19</v>
      </c>
      <c r="D260" t="s">
        <v>28</v>
      </c>
      <c r="E260">
        <v>0.38</v>
      </c>
      <c r="F260">
        <v>0.73</v>
      </c>
      <c r="G260">
        <v>0.41</v>
      </c>
      <c r="H260" t="s">
        <v>17</v>
      </c>
    </row>
    <row r="261" spans="1:8" x14ac:dyDescent="0.25">
      <c r="A261" t="s">
        <v>24</v>
      </c>
      <c r="B261">
        <v>143892</v>
      </c>
      <c r="C261">
        <v>16</v>
      </c>
      <c r="D261" t="s">
        <v>9</v>
      </c>
      <c r="E261">
        <v>0.77</v>
      </c>
      <c r="F261">
        <v>1.2</v>
      </c>
      <c r="G261">
        <v>0.55000000000000004</v>
      </c>
      <c r="H261" t="s">
        <v>17</v>
      </c>
    </row>
    <row r="262" spans="1:8" x14ac:dyDescent="0.25">
      <c r="A262" t="s">
        <v>26</v>
      </c>
      <c r="B262">
        <v>135296</v>
      </c>
      <c r="C262">
        <v>7</v>
      </c>
      <c r="D262" t="s">
        <v>15</v>
      </c>
      <c r="E262">
        <v>0.23</v>
      </c>
      <c r="F262">
        <v>1.17</v>
      </c>
      <c r="G262">
        <v>0.49</v>
      </c>
      <c r="H262" t="s">
        <v>17</v>
      </c>
    </row>
    <row r="263" spans="1:8" x14ac:dyDescent="0.25">
      <c r="A263" t="s">
        <v>29</v>
      </c>
      <c r="B263">
        <v>66639</v>
      </c>
      <c r="C263">
        <v>14</v>
      </c>
      <c r="D263" t="s">
        <v>9</v>
      </c>
      <c r="E263">
        <v>0.47</v>
      </c>
      <c r="F263">
        <v>1.27</v>
      </c>
      <c r="G263">
        <v>0.93</v>
      </c>
      <c r="H263" t="s">
        <v>10</v>
      </c>
    </row>
    <row r="264" spans="1:8" x14ac:dyDescent="0.25">
      <c r="A264" t="s">
        <v>27</v>
      </c>
      <c r="B264">
        <v>105476</v>
      </c>
      <c r="C264">
        <v>20</v>
      </c>
      <c r="D264" t="s">
        <v>28</v>
      </c>
      <c r="E264">
        <v>0.84</v>
      </c>
      <c r="F264">
        <v>1.43</v>
      </c>
      <c r="G264">
        <v>0.45</v>
      </c>
      <c r="H264" t="s">
        <v>17</v>
      </c>
    </row>
    <row r="265" spans="1:8" x14ac:dyDescent="0.25">
      <c r="A265" t="s">
        <v>24</v>
      </c>
      <c r="B265">
        <v>71830</v>
      </c>
      <c r="C265">
        <v>27</v>
      </c>
      <c r="D265" t="s">
        <v>9</v>
      </c>
      <c r="E265">
        <v>0.6</v>
      </c>
      <c r="F265">
        <v>1.1499999999999999</v>
      </c>
      <c r="G265">
        <v>0.38</v>
      </c>
      <c r="H265" t="s">
        <v>17</v>
      </c>
    </row>
    <row r="266" spans="1:8" x14ac:dyDescent="0.25">
      <c r="A266" t="s">
        <v>16</v>
      </c>
      <c r="B266">
        <v>129555</v>
      </c>
      <c r="C266">
        <v>22</v>
      </c>
      <c r="D266" t="s">
        <v>15</v>
      </c>
      <c r="E266">
        <v>0.44</v>
      </c>
      <c r="F266">
        <v>1.29</v>
      </c>
      <c r="G266">
        <v>0.41</v>
      </c>
      <c r="H266" t="s">
        <v>17</v>
      </c>
    </row>
    <row r="267" spans="1:8" x14ac:dyDescent="0.25">
      <c r="A267" t="s">
        <v>22</v>
      </c>
      <c r="B267">
        <v>91576</v>
      </c>
      <c r="C267">
        <v>14</v>
      </c>
      <c r="D267" t="s">
        <v>12</v>
      </c>
      <c r="E267">
        <v>0.16</v>
      </c>
      <c r="F267">
        <v>1.1000000000000001</v>
      </c>
      <c r="G267">
        <v>0.36</v>
      </c>
      <c r="H267" t="s">
        <v>17</v>
      </c>
    </row>
    <row r="268" spans="1:8" x14ac:dyDescent="0.25">
      <c r="A268" t="s">
        <v>26</v>
      </c>
      <c r="B268">
        <v>137524</v>
      </c>
      <c r="C268">
        <v>2</v>
      </c>
      <c r="D268" t="s">
        <v>12</v>
      </c>
      <c r="E268">
        <v>0.76</v>
      </c>
      <c r="F268">
        <v>0.56000000000000005</v>
      </c>
      <c r="G268">
        <v>0.3</v>
      </c>
      <c r="H268" t="s">
        <v>13</v>
      </c>
    </row>
    <row r="269" spans="1:8" x14ac:dyDescent="0.25">
      <c r="A269" t="s">
        <v>29</v>
      </c>
      <c r="B269">
        <v>148360</v>
      </c>
      <c r="C269">
        <v>1</v>
      </c>
      <c r="D269" t="s">
        <v>15</v>
      </c>
      <c r="E269">
        <v>0.18</v>
      </c>
      <c r="F269">
        <v>0.84</v>
      </c>
      <c r="G269">
        <v>0.81</v>
      </c>
      <c r="H269" t="s">
        <v>10</v>
      </c>
    </row>
    <row r="270" spans="1:8" x14ac:dyDescent="0.25">
      <c r="A270" t="s">
        <v>11</v>
      </c>
      <c r="B270">
        <v>55464</v>
      </c>
      <c r="C270">
        <v>25</v>
      </c>
      <c r="D270" t="s">
        <v>12</v>
      </c>
      <c r="E270">
        <v>0.55000000000000004</v>
      </c>
      <c r="F270">
        <v>1.4</v>
      </c>
      <c r="G270">
        <v>0.14000000000000001</v>
      </c>
      <c r="H270" t="s">
        <v>13</v>
      </c>
    </row>
    <row r="271" spans="1:8" x14ac:dyDescent="0.25">
      <c r="A271" t="s">
        <v>26</v>
      </c>
      <c r="B271">
        <v>85798</v>
      </c>
      <c r="C271">
        <v>10</v>
      </c>
      <c r="D271" t="s">
        <v>15</v>
      </c>
      <c r="E271">
        <v>0.8</v>
      </c>
      <c r="F271">
        <v>0.6</v>
      </c>
      <c r="G271">
        <v>0.53</v>
      </c>
      <c r="H271" t="s">
        <v>17</v>
      </c>
    </row>
    <row r="272" spans="1:8" x14ac:dyDescent="0.25">
      <c r="A272" t="s">
        <v>11</v>
      </c>
      <c r="B272">
        <v>133243</v>
      </c>
      <c r="C272">
        <v>6</v>
      </c>
      <c r="D272" t="s">
        <v>9</v>
      </c>
      <c r="E272">
        <v>0.17</v>
      </c>
      <c r="F272">
        <v>1.07</v>
      </c>
      <c r="G272">
        <v>0.12</v>
      </c>
      <c r="H272" t="s">
        <v>13</v>
      </c>
    </row>
    <row r="273" spans="1:8" x14ac:dyDescent="0.25">
      <c r="A273" t="s">
        <v>19</v>
      </c>
      <c r="B273">
        <v>84710</v>
      </c>
      <c r="C273">
        <v>21</v>
      </c>
      <c r="D273" t="s">
        <v>28</v>
      </c>
      <c r="E273">
        <v>0.23</v>
      </c>
      <c r="F273">
        <v>1.1100000000000001</v>
      </c>
      <c r="G273">
        <v>0.11</v>
      </c>
      <c r="H273" t="s">
        <v>13</v>
      </c>
    </row>
    <row r="274" spans="1:8" x14ac:dyDescent="0.25">
      <c r="A274" t="s">
        <v>24</v>
      </c>
      <c r="B274">
        <v>38848</v>
      </c>
      <c r="C274">
        <v>5</v>
      </c>
      <c r="D274" t="s">
        <v>12</v>
      </c>
      <c r="E274">
        <v>0.47</v>
      </c>
      <c r="F274">
        <v>0.98</v>
      </c>
      <c r="G274">
        <v>0.64</v>
      </c>
      <c r="H274" t="s">
        <v>17</v>
      </c>
    </row>
    <row r="275" spans="1:8" x14ac:dyDescent="0.25">
      <c r="A275" t="s">
        <v>21</v>
      </c>
      <c r="B275">
        <v>95942</v>
      </c>
      <c r="C275">
        <v>24</v>
      </c>
      <c r="D275" t="s">
        <v>9</v>
      </c>
      <c r="E275">
        <v>0.6</v>
      </c>
      <c r="F275">
        <v>1.44</v>
      </c>
      <c r="G275">
        <v>0.13</v>
      </c>
      <c r="H275" t="s">
        <v>13</v>
      </c>
    </row>
    <row r="276" spans="1:8" x14ac:dyDescent="0.25">
      <c r="A276" t="s">
        <v>27</v>
      </c>
      <c r="B276">
        <v>45086</v>
      </c>
      <c r="C276">
        <v>11</v>
      </c>
      <c r="D276" t="s">
        <v>15</v>
      </c>
      <c r="E276">
        <v>0.69</v>
      </c>
      <c r="F276">
        <v>1.1499999999999999</v>
      </c>
      <c r="G276">
        <v>0.39</v>
      </c>
      <c r="H276" t="s">
        <v>17</v>
      </c>
    </row>
    <row r="277" spans="1:8" x14ac:dyDescent="0.25">
      <c r="A277" t="s">
        <v>30</v>
      </c>
      <c r="B277">
        <v>39343</v>
      </c>
      <c r="C277">
        <v>13</v>
      </c>
      <c r="D277" t="s">
        <v>12</v>
      </c>
      <c r="E277">
        <v>0.28000000000000003</v>
      </c>
      <c r="F277">
        <v>0.72</v>
      </c>
      <c r="G277">
        <v>0.12</v>
      </c>
      <c r="H277" t="s">
        <v>13</v>
      </c>
    </row>
    <row r="278" spans="1:8" x14ac:dyDescent="0.25">
      <c r="A278" t="s">
        <v>34</v>
      </c>
      <c r="B278">
        <v>89550</v>
      </c>
      <c r="C278">
        <v>8</v>
      </c>
      <c r="D278" t="s">
        <v>28</v>
      </c>
      <c r="E278">
        <v>0.31</v>
      </c>
      <c r="F278">
        <v>1.34</v>
      </c>
      <c r="G278">
        <v>0.32</v>
      </c>
      <c r="H278" t="s">
        <v>17</v>
      </c>
    </row>
    <row r="279" spans="1:8" x14ac:dyDescent="0.25">
      <c r="A279" t="s">
        <v>27</v>
      </c>
      <c r="B279">
        <v>70317</v>
      </c>
      <c r="C279">
        <v>12</v>
      </c>
      <c r="D279" t="s">
        <v>15</v>
      </c>
      <c r="E279">
        <v>0.66</v>
      </c>
      <c r="F279">
        <v>0.51</v>
      </c>
      <c r="G279">
        <v>0.68</v>
      </c>
      <c r="H279" t="s">
        <v>17</v>
      </c>
    </row>
    <row r="280" spans="1:8" x14ac:dyDescent="0.25">
      <c r="A280" t="s">
        <v>18</v>
      </c>
      <c r="B280">
        <v>102055</v>
      </c>
      <c r="C280">
        <v>26</v>
      </c>
      <c r="D280" t="s">
        <v>28</v>
      </c>
      <c r="E280">
        <v>0.56000000000000005</v>
      </c>
      <c r="F280">
        <v>1.33</v>
      </c>
      <c r="G280">
        <v>0.59</v>
      </c>
      <c r="H280" t="s">
        <v>17</v>
      </c>
    </row>
    <row r="281" spans="1:8" x14ac:dyDescent="0.25">
      <c r="A281" t="s">
        <v>26</v>
      </c>
      <c r="B281">
        <v>145660</v>
      </c>
      <c r="C281">
        <v>26</v>
      </c>
      <c r="D281" t="s">
        <v>15</v>
      </c>
      <c r="E281">
        <v>0.78</v>
      </c>
      <c r="F281">
        <v>1.5</v>
      </c>
      <c r="G281">
        <v>0.38</v>
      </c>
      <c r="H281" t="s">
        <v>17</v>
      </c>
    </row>
    <row r="282" spans="1:8" x14ac:dyDescent="0.25">
      <c r="A282" t="s">
        <v>26</v>
      </c>
      <c r="B282">
        <v>64785</v>
      </c>
      <c r="C282">
        <v>12</v>
      </c>
      <c r="D282" t="s">
        <v>15</v>
      </c>
      <c r="E282">
        <v>0.56999999999999995</v>
      </c>
      <c r="F282">
        <v>0.94</v>
      </c>
      <c r="G282">
        <v>0.62</v>
      </c>
      <c r="H282" t="s">
        <v>17</v>
      </c>
    </row>
    <row r="283" spans="1:8" x14ac:dyDescent="0.25">
      <c r="A283" t="s">
        <v>27</v>
      </c>
      <c r="B283">
        <v>70149</v>
      </c>
      <c r="C283">
        <v>12</v>
      </c>
      <c r="D283" t="s">
        <v>9</v>
      </c>
      <c r="E283">
        <v>0.3</v>
      </c>
      <c r="F283">
        <v>0.76</v>
      </c>
      <c r="G283">
        <v>0.41</v>
      </c>
      <c r="H283" t="s">
        <v>17</v>
      </c>
    </row>
    <row r="284" spans="1:8" x14ac:dyDescent="0.25">
      <c r="A284" t="s">
        <v>20</v>
      </c>
      <c r="B284">
        <v>100122</v>
      </c>
      <c r="C284">
        <v>14</v>
      </c>
      <c r="D284" t="s">
        <v>12</v>
      </c>
      <c r="E284">
        <v>0.25</v>
      </c>
      <c r="F284">
        <v>1.2</v>
      </c>
      <c r="G284">
        <v>0.45</v>
      </c>
      <c r="H284" t="s">
        <v>17</v>
      </c>
    </row>
    <row r="285" spans="1:8" x14ac:dyDescent="0.25">
      <c r="A285" t="s">
        <v>22</v>
      </c>
      <c r="B285">
        <v>46524</v>
      </c>
      <c r="C285">
        <v>29</v>
      </c>
      <c r="D285" t="s">
        <v>15</v>
      </c>
      <c r="E285">
        <v>0.16</v>
      </c>
      <c r="F285">
        <v>0.72</v>
      </c>
      <c r="G285">
        <v>0.43</v>
      </c>
      <c r="H285" t="s">
        <v>17</v>
      </c>
    </row>
    <row r="286" spans="1:8" x14ac:dyDescent="0.25">
      <c r="A286" t="s">
        <v>20</v>
      </c>
      <c r="B286">
        <v>82347</v>
      </c>
      <c r="C286">
        <v>28</v>
      </c>
      <c r="D286" t="s">
        <v>9</v>
      </c>
      <c r="E286">
        <v>0.44</v>
      </c>
      <c r="F286">
        <v>0.83</v>
      </c>
      <c r="G286">
        <v>0.46</v>
      </c>
      <c r="H286" t="s">
        <v>17</v>
      </c>
    </row>
    <row r="287" spans="1:8" x14ac:dyDescent="0.25">
      <c r="A287" t="s">
        <v>11</v>
      </c>
      <c r="B287">
        <v>71743</v>
      </c>
      <c r="C287">
        <v>17</v>
      </c>
      <c r="D287" t="s">
        <v>12</v>
      </c>
      <c r="E287">
        <v>0.06</v>
      </c>
      <c r="F287">
        <v>0.53</v>
      </c>
      <c r="G287">
        <v>0.15</v>
      </c>
      <c r="H287" t="s">
        <v>13</v>
      </c>
    </row>
    <row r="288" spans="1:8" x14ac:dyDescent="0.25">
      <c r="A288" t="s">
        <v>22</v>
      </c>
      <c r="B288">
        <v>118302</v>
      </c>
      <c r="C288">
        <v>14</v>
      </c>
      <c r="D288" t="s">
        <v>15</v>
      </c>
      <c r="E288">
        <v>0.83</v>
      </c>
      <c r="F288">
        <v>1.17</v>
      </c>
      <c r="G288">
        <v>0.63</v>
      </c>
      <c r="H288" t="s">
        <v>17</v>
      </c>
    </row>
    <row r="289" spans="1:8" x14ac:dyDescent="0.25">
      <c r="A289" t="s">
        <v>18</v>
      </c>
      <c r="B289">
        <v>96706</v>
      </c>
      <c r="C289">
        <v>9</v>
      </c>
      <c r="D289" t="s">
        <v>12</v>
      </c>
      <c r="E289">
        <v>0.79</v>
      </c>
      <c r="F289">
        <v>1.1599999999999999</v>
      </c>
      <c r="G289">
        <v>0.53</v>
      </c>
      <c r="H289" t="s">
        <v>17</v>
      </c>
    </row>
    <row r="290" spans="1:8" x14ac:dyDescent="0.25">
      <c r="A290" t="s">
        <v>27</v>
      </c>
      <c r="B290">
        <v>95780</v>
      </c>
      <c r="C290">
        <v>10</v>
      </c>
      <c r="D290" t="s">
        <v>9</v>
      </c>
      <c r="E290">
        <v>0.28000000000000003</v>
      </c>
      <c r="F290">
        <v>0.63</v>
      </c>
      <c r="G290">
        <v>0.34</v>
      </c>
      <c r="H290" t="s">
        <v>17</v>
      </c>
    </row>
    <row r="291" spans="1:8" x14ac:dyDescent="0.25">
      <c r="A291" t="s">
        <v>16</v>
      </c>
      <c r="B291">
        <v>78899</v>
      </c>
      <c r="C291">
        <v>11</v>
      </c>
      <c r="D291" t="s">
        <v>9</v>
      </c>
      <c r="E291">
        <v>0.06</v>
      </c>
      <c r="F291">
        <v>0.79</v>
      </c>
      <c r="G291">
        <v>0.34</v>
      </c>
      <c r="H291" t="s">
        <v>17</v>
      </c>
    </row>
    <row r="292" spans="1:8" x14ac:dyDescent="0.25">
      <c r="A292" t="s">
        <v>32</v>
      </c>
      <c r="B292">
        <v>92559</v>
      </c>
      <c r="C292">
        <v>28</v>
      </c>
      <c r="D292" t="s">
        <v>15</v>
      </c>
      <c r="E292">
        <v>0.46</v>
      </c>
      <c r="F292">
        <v>1.44</v>
      </c>
      <c r="G292">
        <v>0.43</v>
      </c>
      <c r="H292" t="s">
        <v>17</v>
      </c>
    </row>
    <row r="293" spans="1:8" x14ac:dyDescent="0.25">
      <c r="A293" t="s">
        <v>8</v>
      </c>
      <c r="B293">
        <v>140168</v>
      </c>
      <c r="C293">
        <v>1</v>
      </c>
      <c r="D293" t="s">
        <v>12</v>
      </c>
      <c r="E293">
        <v>0.41</v>
      </c>
      <c r="F293">
        <v>0.63</v>
      </c>
      <c r="G293">
        <v>0.71</v>
      </c>
      <c r="H293" t="s">
        <v>10</v>
      </c>
    </row>
    <row r="294" spans="1:8" x14ac:dyDescent="0.25">
      <c r="A294" t="s">
        <v>16</v>
      </c>
      <c r="B294">
        <v>143857</v>
      </c>
      <c r="C294">
        <v>28</v>
      </c>
      <c r="D294" t="s">
        <v>15</v>
      </c>
      <c r="E294">
        <v>0.81</v>
      </c>
      <c r="F294">
        <v>1.0900000000000001</v>
      </c>
      <c r="G294">
        <v>0.37</v>
      </c>
      <c r="H294" t="s">
        <v>17</v>
      </c>
    </row>
    <row r="295" spans="1:8" x14ac:dyDescent="0.25">
      <c r="A295" t="s">
        <v>23</v>
      </c>
      <c r="B295">
        <v>37189</v>
      </c>
      <c r="C295">
        <v>13</v>
      </c>
      <c r="D295" t="s">
        <v>15</v>
      </c>
      <c r="E295">
        <v>0.78</v>
      </c>
      <c r="F295">
        <v>1.49</v>
      </c>
      <c r="G295">
        <v>0.85</v>
      </c>
      <c r="H295" t="s">
        <v>10</v>
      </c>
    </row>
    <row r="296" spans="1:8" x14ac:dyDescent="0.25">
      <c r="A296" t="s">
        <v>20</v>
      </c>
      <c r="B296">
        <v>91158</v>
      </c>
      <c r="C296">
        <v>13</v>
      </c>
      <c r="D296" t="s">
        <v>15</v>
      </c>
      <c r="E296">
        <v>0.73</v>
      </c>
      <c r="F296">
        <v>0.82</v>
      </c>
      <c r="G296">
        <v>0.56999999999999995</v>
      </c>
      <c r="H296" t="s">
        <v>17</v>
      </c>
    </row>
    <row r="297" spans="1:8" x14ac:dyDescent="0.25">
      <c r="A297" t="s">
        <v>14</v>
      </c>
      <c r="B297">
        <v>52394</v>
      </c>
      <c r="C297">
        <v>13</v>
      </c>
      <c r="D297" t="s">
        <v>12</v>
      </c>
      <c r="E297">
        <v>0.12</v>
      </c>
      <c r="F297">
        <v>0.5</v>
      </c>
      <c r="G297">
        <v>0.88</v>
      </c>
      <c r="H297" t="s">
        <v>10</v>
      </c>
    </row>
    <row r="298" spans="1:8" x14ac:dyDescent="0.25">
      <c r="A298" t="s">
        <v>33</v>
      </c>
      <c r="B298">
        <v>50245</v>
      </c>
      <c r="C298">
        <v>1</v>
      </c>
      <c r="D298" t="s">
        <v>28</v>
      </c>
      <c r="E298">
        <v>0.61</v>
      </c>
      <c r="F298">
        <v>0.89</v>
      </c>
      <c r="G298">
        <v>0.11</v>
      </c>
      <c r="H298" t="s">
        <v>13</v>
      </c>
    </row>
    <row r="299" spans="1:8" x14ac:dyDescent="0.25">
      <c r="A299" t="s">
        <v>27</v>
      </c>
      <c r="B299">
        <v>48624</v>
      </c>
      <c r="C299">
        <v>25</v>
      </c>
      <c r="D299" t="s">
        <v>15</v>
      </c>
      <c r="E299">
        <v>0.48</v>
      </c>
      <c r="F299">
        <v>0.82</v>
      </c>
      <c r="G299">
        <v>0.5</v>
      </c>
      <c r="H299" t="s">
        <v>17</v>
      </c>
    </row>
    <row r="300" spans="1:8" x14ac:dyDescent="0.25">
      <c r="A300" t="s">
        <v>19</v>
      </c>
      <c r="B300">
        <v>46626</v>
      </c>
      <c r="C300">
        <v>21</v>
      </c>
      <c r="D300" t="s">
        <v>12</v>
      </c>
      <c r="E300">
        <v>0.99</v>
      </c>
      <c r="F300">
        <v>0.59</v>
      </c>
      <c r="G300">
        <v>0.25</v>
      </c>
      <c r="H300" t="s">
        <v>13</v>
      </c>
    </row>
    <row r="301" spans="1:8" x14ac:dyDescent="0.25">
      <c r="A301" t="s">
        <v>21</v>
      </c>
      <c r="B301">
        <v>74950</v>
      </c>
      <c r="C301">
        <v>10</v>
      </c>
      <c r="D301" t="s">
        <v>28</v>
      </c>
      <c r="E301">
        <v>0.28000000000000003</v>
      </c>
      <c r="F301">
        <v>1.27</v>
      </c>
      <c r="G301">
        <v>0.21</v>
      </c>
      <c r="H301" t="s">
        <v>13</v>
      </c>
    </row>
    <row r="302" spans="1:8" x14ac:dyDescent="0.25">
      <c r="A302" t="s">
        <v>14</v>
      </c>
      <c r="B302">
        <v>130211</v>
      </c>
      <c r="C302">
        <v>5</v>
      </c>
      <c r="D302" t="s">
        <v>28</v>
      </c>
      <c r="E302">
        <v>0.65</v>
      </c>
      <c r="F302">
        <v>0.65</v>
      </c>
      <c r="G302">
        <v>0.94</v>
      </c>
      <c r="H302" t="s">
        <v>10</v>
      </c>
    </row>
    <row r="303" spans="1:8" x14ac:dyDescent="0.25">
      <c r="A303" t="s">
        <v>32</v>
      </c>
      <c r="B303">
        <v>117460</v>
      </c>
      <c r="C303">
        <v>13</v>
      </c>
      <c r="D303" t="s">
        <v>15</v>
      </c>
      <c r="E303">
        <v>0.73</v>
      </c>
      <c r="F303">
        <v>1.42</v>
      </c>
      <c r="G303">
        <v>0.69</v>
      </c>
      <c r="H303" t="s">
        <v>17</v>
      </c>
    </row>
    <row r="304" spans="1:8" x14ac:dyDescent="0.25">
      <c r="A304" t="s">
        <v>31</v>
      </c>
      <c r="B304">
        <v>115489</v>
      </c>
      <c r="C304">
        <v>27</v>
      </c>
      <c r="D304" t="s">
        <v>9</v>
      </c>
      <c r="E304">
        <v>0.57999999999999996</v>
      </c>
      <c r="F304">
        <v>0.85</v>
      </c>
      <c r="G304">
        <v>0.9</v>
      </c>
      <c r="H304" t="s">
        <v>10</v>
      </c>
    </row>
    <row r="305" spans="1:8" x14ac:dyDescent="0.25">
      <c r="A305" t="s">
        <v>16</v>
      </c>
      <c r="B305">
        <v>143880</v>
      </c>
      <c r="C305">
        <v>18</v>
      </c>
      <c r="D305" t="s">
        <v>9</v>
      </c>
      <c r="E305">
        <v>0</v>
      </c>
      <c r="F305">
        <v>1.1100000000000001</v>
      </c>
      <c r="G305">
        <v>0.55000000000000004</v>
      </c>
      <c r="H305" t="s">
        <v>17</v>
      </c>
    </row>
    <row r="306" spans="1:8" x14ac:dyDescent="0.25">
      <c r="A306" t="s">
        <v>8</v>
      </c>
      <c r="B306">
        <v>41569</v>
      </c>
      <c r="C306">
        <v>5</v>
      </c>
      <c r="D306" t="s">
        <v>15</v>
      </c>
      <c r="E306">
        <v>0.87</v>
      </c>
      <c r="F306">
        <v>0.8</v>
      </c>
      <c r="G306">
        <v>0.74</v>
      </c>
      <c r="H306" t="s">
        <v>10</v>
      </c>
    </row>
    <row r="307" spans="1:8" x14ac:dyDescent="0.25">
      <c r="A307" t="s">
        <v>24</v>
      </c>
      <c r="B307">
        <v>147027</v>
      </c>
      <c r="C307">
        <v>17</v>
      </c>
      <c r="D307" t="s">
        <v>28</v>
      </c>
      <c r="E307">
        <v>0.53</v>
      </c>
      <c r="F307">
        <v>1.18</v>
      </c>
      <c r="G307">
        <v>0.54</v>
      </c>
      <c r="H307" t="s">
        <v>17</v>
      </c>
    </row>
    <row r="308" spans="1:8" x14ac:dyDescent="0.25">
      <c r="A308" t="s">
        <v>23</v>
      </c>
      <c r="B308">
        <v>111384</v>
      </c>
      <c r="C308">
        <v>3</v>
      </c>
      <c r="D308" t="s">
        <v>9</v>
      </c>
      <c r="E308">
        <v>0.2</v>
      </c>
      <c r="F308">
        <v>0.82</v>
      </c>
      <c r="G308">
        <v>0.9</v>
      </c>
      <c r="H308" t="s">
        <v>10</v>
      </c>
    </row>
    <row r="309" spans="1:8" x14ac:dyDescent="0.25">
      <c r="A309" t="s">
        <v>27</v>
      </c>
      <c r="B309">
        <v>107463</v>
      </c>
      <c r="C309">
        <v>21</v>
      </c>
      <c r="D309" t="s">
        <v>12</v>
      </c>
      <c r="E309">
        <v>0.47</v>
      </c>
      <c r="F309">
        <v>0.92</v>
      </c>
      <c r="G309">
        <v>0.7</v>
      </c>
      <c r="H309" t="s">
        <v>17</v>
      </c>
    </row>
    <row r="310" spans="1:8" x14ac:dyDescent="0.25">
      <c r="A310" t="s">
        <v>20</v>
      </c>
      <c r="B310">
        <v>74148</v>
      </c>
      <c r="C310">
        <v>14</v>
      </c>
      <c r="D310" t="s">
        <v>12</v>
      </c>
      <c r="E310">
        <v>0.61</v>
      </c>
      <c r="F310">
        <v>0.52</v>
      </c>
      <c r="G310">
        <v>0.35</v>
      </c>
      <c r="H310" t="s">
        <v>17</v>
      </c>
    </row>
    <row r="311" spans="1:8" x14ac:dyDescent="0.25">
      <c r="A311" t="s">
        <v>29</v>
      </c>
      <c r="B311">
        <v>59793</v>
      </c>
      <c r="C311">
        <v>28</v>
      </c>
      <c r="D311" t="s">
        <v>12</v>
      </c>
      <c r="E311">
        <v>7.0000000000000007E-2</v>
      </c>
      <c r="F311">
        <v>0.72</v>
      </c>
      <c r="G311">
        <v>0.93</v>
      </c>
      <c r="H311" t="s">
        <v>10</v>
      </c>
    </row>
    <row r="312" spans="1:8" x14ac:dyDescent="0.25">
      <c r="A312" t="s">
        <v>34</v>
      </c>
      <c r="B312">
        <v>102095</v>
      </c>
      <c r="C312">
        <v>4</v>
      </c>
      <c r="D312" t="s">
        <v>9</v>
      </c>
      <c r="E312">
        <v>0.6</v>
      </c>
      <c r="F312">
        <v>1.26</v>
      </c>
      <c r="G312">
        <v>0.51</v>
      </c>
      <c r="H312" t="s">
        <v>17</v>
      </c>
    </row>
    <row r="313" spans="1:8" x14ac:dyDescent="0.25">
      <c r="A313" t="s">
        <v>30</v>
      </c>
      <c r="B313">
        <v>112508</v>
      </c>
      <c r="C313">
        <v>28</v>
      </c>
      <c r="D313" t="s">
        <v>9</v>
      </c>
      <c r="E313">
        <v>0.48</v>
      </c>
      <c r="F313">
        <v>0.88</v>
      </c>
      <c r="G313">
        <v>0.26</v>
      </c>
      <c r="H313" t="s">
        <v>13</v>
      </c>
    </row>
    <row r="314" spans="1:8" x14ac:dyDescent="0.25">
      <c r="A314" t="s">
        <v>16</v>
      </c>
      <c r="B314">
        <v>97598</v>
      </c>
      <c r="C314">
        <v>6</v>
      </c>
      <c r="D314" t="s">
        <v>15</v>
      </c>
      <c r="E314">
        <v>0.04</v>
      </c>
      <c r="F314">
        <v>0.69</v>
      </c>
      <c r="G314">
        <v>0.52</v>
      </c>
      <c r="H314" t="s">
        <v>17</v>
      </c>
    </row>
    <row r="315" spans="1:8" x14ac:dyDescent="0.25">
      <c r="A315" t="s">
        <v>22</v>
      </c>
      <c r="B315">
        <v>98472</v>
      </c>
      <c r="C315">
        <v>22</v>
      </c>
      <c r="D315" t="s">
        <v>28</v>
      </c>
      <c r="E315">
        <v>0.99</v>
      </c>
      <c r="F315">
        <v>1.18</v>
      </c>
      <c r="G315">
        <v>0.68</v>
      </c>
      <c r="H315" t="s">
        <v>17</v>
      </c>
    </row>
    <row r="316" spans="1:8" x14ac:dyDescent="0.25">
      <c r="A316" t="s">
        <v>18</v>
      </c>
      <c r="B316">
        <v>108291</v>
      </c>
      <c r="C316">
        <v>27</v>
      </c>
      <c r="D316" t="s">
        <v>12</v>
      </c>
      <c r="E316">
        <v>0.34</v>
      </c>
      <c r="F316">
        <v>0.68</v>
      </c>
      <c r="G316">
        <v>0.34</v>
      </c>
      <c r="H316" t="s">
        <v>17</v>
      </c>
    </row>
    <row r="317" spans="1:8" x14ac:dyDescent="0.25">
      <c r="A317" t="s">
        <v>22</v>
      </c>
      <c r="B317">
        <v>130342</v>
      </c>
      <c r="C317">
        <v>12</v>
      </c>
      <c r="D317" t="s">
        <v>28</v>
      </c>
      <c r="E317">
        <v>0.48</v>
      </c>
      <c r="F317">
        <v>1.42</v>
      </c>
      <c r="G317">
        <v>0.33</v>
      </c>
      <c r="H317" t="s">
        <v>17</v>
      </c>
    </row>
    <row r="318" spans="1:8" x14ac:dyDescent="0.25">
      <c r="A318" t="s">
        <v>21</v>
      </c>
      <c r="B318">
        <v>73894</v>
      </c>
      <c r="C318">
        <v>21</v>
      </c>
      <c r="D318" t="s">
        <v>28</v>
      </c>
      <c r="E318">
        <v>0.18</v>
      </c>
      <c r="F318">
        <v>1.3</v>
      </c>
      <c r="G318">
        <v>0.13</v>
      </c>
      <c r="H318" t="s">
        <v>13</v>
      </c>
    </row>
    <row r="319" spans="1:8" x14ac:dyDescent="0.25">
      <c r="A319" t="s">
        <v>32</v>
      </c>
      <c r="B319">
        <v>49023</v>
      </c>
      <c r="C319">
        <v>5</v>
      </c>
      <c r="D319" t="s">
        <v>9</v>
      </c>
      <c r="E319">
        <v>0.4</v>
      </c>
      <c r="F319">
        <v>1.02</v>
      </c>
      <c r="G319">
        <v>0.7</v>
      </c>
      <c r="H319" t="s">
        <v>17</v>
      </c>
    </row>
    <row r="320" spans="1:8" x14ac:dyDescent="0.25">
      <c r="A320" t="s">
        <v>19</v>
      </c>
      <c r="B320">
        <v>34758</v>
      </c>
      <c r="C320">
        <v>18</v>
      </c>
      <c r="D320" t="s">
        <v>12</v>
      </c>
      <c r="E320">
        <v>0.67</v>
      </c>
      <c r="F320">
        <v>0.98</v>
      </c>
      <c r="G320">
        <v>0.15</v>
      </c>
      <c r="H320" t="s">
        <v>13</v>
      </c>
    </row>
    <row r="321" spans="1:8" x14ac:dyDescent="0.25">
      <c r="A321" t="s">
        <v>23</v>
      </c>
      <c r="B321">
        <v>47065</v>
      </c>
      <c r="C321">
        <v>6</v>
      </c>
      <c r="D321" t="s">
        <v>28</v>
      </c>
      <c r="E321">
        <v>0.78</v>
      </c>
      <c r="F321">
        <v>1.06</v>
      </c>
      <c r="G321">
        <v>0.77</v>
      </c>
      <c r="H321" t="s">
        <v>10</v>
      </c>
    </row>
    <row r="322" spans="1:8" x14ac:dyDescent="0.25">
      <c r="A322" t="s">
        <v>11</v>
      </c>
      <c r="B322">
        <v>53464</v>
      </c>
      <c r="C322">
        <v>1</v>
      </c>
      <c r="D322" t="s">
        <v>12</v>
      </c>
      <c r="E322">
        <v>0.28999999999999998</v>
      </c>
      <c r="F322">
        <v>0.51</v>
      </c>
      <c r="G322">
        <v>0.17</v>
      </c>
      <c r="H322" t="s">
        <v>13</v>
      </c>
    </row>
    <row r="323" spans="1:8" x14ac:dyDescent="0.25">
      <c r="A323" t="s">
        <v>24</v>
      </c>
      <c r="B323">
        <v>102572</v>
      </c>
      <c r="C323">
        <v>23</v>
      </c>
      <c r="D323" t="s">
        <v>15</v>
      </c>
      <c r="E323">
        <v>0.52</v>
      </c>
      <c r="F323">
        <v>1.4</v>
      </c>
      <c r="G323">
        <v>0.38</v>
      </c>
      <c r="H323" t="s">
        <v>17</v>
      </c>
    </row>
    <row r="324" spans="1:8" x14ac:dyDescent="0.25">
      <c r="A324" t="s">
        <v>14</v>
      </c>
      <c r="B324">
        <v>67344</v>
      </c>
      <c r="C324">
        <v>1</v>
      </c>
      <c r="D324" t="s">
        <v>15</v>
      </c>
      <c r="E324">
        <v>0.18</v>
      </c>
      <c r="F324">
        <v>1.29</v>
      </c>
      <c r="G324">
        <v>0.8</v>
      </c>
      <c r="H324" t="s">
        <v>10</v>
      </c>
    </row>
    <row r="325" spans="1:8" x14ac:dyDescent="0.25">
      <c r="A325" t="s">
        <v>31</v>
      </c>
      <c r="B325">
        <v>122759</v>
      </c>
      <c r="C325">
        <v>19</v>
      </c>
      <c r="D325" t="s">
        <v>12</v>
      </c>
      <c r="E325">
        <v>0.36</v>
      </c>
      <c r="F325">
        <v>1.1000000000000001</v>
      </c>
      <c r="G325">
        <v>0.8</v>
      </c>
      <c r="H325" t="s">
        <v>10</v>
      </c>
    </row>
    <row r="326" spans="1:8" x14ac:dyDescent="0.25">
      <c r="A326" t="s">
        <v>23</v>
      </c>
      <c r="B326">
        <v>66444</v>
      </c>
      <c r="C326">
        <v>12</v>
      </c>
      <c r="D326" t="s">
        <v>9</v>
      </c>
      <c r="E326">
        <v>0.02</v>
      </c>
      <c r="F326">
        <v>1.24</v>
      </c>
      <c r="G326">
        <v>0.75</v>
      </c>
      <c r="H326" t="s">
        <v>10</v>
      </c>
    </row>
    <row r="327" spans="1:8" x14ac:dyDescent="0.25">
      <c r="A327" t="s">
        <v>16</v>
      </c>
      <c r="B327">
        <v>46932</v>
      </c>
      <c r="C327">
        <v>9</v>
      </c>
      <c r="D327" t="s">
        <v>12</v>
      </c>
      <c r="E327">
        <v>0.91</v>
      </c>
      <c r="F327">
        <v>0.54</v>
      </c>
      <c r="G327">
        <v>0.5</v>
      </c>
      <c r="H327" t="s">
        <v>17</v>
      </c>
    </row>
    <row r="328" spans="1:8" x14ac:dyDescent="0.25">
      <c r="A328" t="s">
        <v>11</v>
      </c>
      <c r="B328">
        <v>55363</v>
      </c>
      <c r="C328">
        <v>11</v>
      </c>
      <c r="D328" t="s">
        <v>28</v>
      </c>
      <c r="E328">
        <v>0.05</v>
      </c>
      <c r="F328">
        <v>0.68</v>
      </c>
      <c r="G328">
        <v>0.28999999999999998</v>
      </c>
      <c r="H328" t="s">
        <v>13</v>
      </c>
    </row>
    <row r="329" spans="1:8" x14ac:dyDescent="0.25">
      <c r="A329" t="s">
        <v>30</v>
      </c>
      <c r="B329">
        <v>30893</v>
      </c>
      <c r="C329">
        <v>14</v>
      </c>
      <c r="D329" t="s">
        <v>12</v>
      </c>
      <c r="E329">
        <v>0.92</v>
      </c>
      <c r="F329">
        <v>1.31</v>
      </c>
      <c r="G329">
        <v>0.26</v>
      </c>
      <c r="H329" t="s">
        <v>13</v>
      </c>
    </row>
    <row r="330" spans="1:8" x14ac:dyDescent="0.25">
      <c r="A330" t="s">
        <v>27</v>
      </c>
      <c r="B330">
        <v>84962</v>
      </c>
      <c r="C330">
        <v>7</v>
      </c>
      <c r="D330" t="s">
        <v>15</v>
      </c>
      <c r="E330">
        <v>0.08</v>
      </c>
      <c r="F330">
        <v>1.1000000000000001</v>
      </c>
      <c r="G330">
        <v>0.49</v>
      </c>
      <c r="H330" t="s">
        <v>17</v>
      </c>
    </row>
    <row r="331" spans="1:8" x14ac:dyDescent="0.25">
      <c r="A331" t="s">
        <v>20</v>
      </c>
      <c r="B331">
        <v>94173</v>
      </c>
      <c r="C331">
        <v>23</v>
      </c>
      <c r="D331" t="s">
        <v>28</v>
      </c>
      <c r="E331">
        <v>0.23</v>
      </c>
      <c r="F331">
        <v>0.74</v>
      </c>
      <c r="G331">
        <v>0.42</v>
      </c>
      <c r="H331" t="s">
        <v>17</v>
      </c>
    </row>
    <row r="332" spans="1:8" x14ac:dyDescent="0.25">
      <c r="A332" t="s">
        <v>11</v>
      </c>
      <c r="B332">
        <v>82949</v>
      </c>
      <c r="C332">
        <v>26</v>
      </c>
      <c r="D332" t="s">
        <v>28</v>
      </c>
      <c r="E332">
        <v>0.8</v>
      </c>
      <c r="F332">
        <v>1.49</v>
      </c>
      <c r="G332">
        <v>0.2</v>
      </c>
      <c r="H332" t="s">
        <v>13</v>
      </c>
    </row>
    <row r="333" spans="1:8" x14ac:dyDescent="0.25">
      <c r="A333" t="s">
        <v>14</v>
      </c>
      <c r="B333">
        <v>141738</v>
      </c>
      <c r="C333">
        <v>10</v>
      </c>
      <c r="D333" t="s">
        <v>9</v>
      </c>
      <c r="E333">
        <v>0.68</v>
      </c>
      <c r="F333">
        <v>1.1399999999999999</v>
      </c>
      <c r="G333">
        <v>0.8</v>
      </c>
      <c r="H333" t="s">
        <v>10</v>
      </c>
    </row>
    <row r="334" spans="1:8" x14ac:dyDescent="0.25">
      <c r="A334" t="s">
        <v>11</v>
      </c>
      <c r="B334">
        <v>80492</v>
      </c>
      <c r="C334">
        <v>16</v>
      </c>
      <c r="D334" t="s">
        <v>15</v>
      </c>
      <c r="E334">
        <v>0.3</v>
      </c>
      <c r="F334">
        <v>0.64</v>
      </c>
      <c r="G334">
        <v>0.2</v>
      </c>
      <c r="H334" t="s">
        <v>13</v>
      </c>
    </row>
    <row r="335" spans="1:8" x14ac:dyDescent="0.25">
      <c r="A335" t="s">
        <v>20</v>
      </c>
      <c r="B335">
        <v>117527</v>
      </c>
      <c r="C335">
        <v>28</v>
      </c>
      <c r="D335" t="s">
        <v>12</v>
      </c>
      <c r="E335">
        <v>0.14000000000000001</v>
      </c>
      <c r="F335">
        <v>0.51</v>
      </c>
      <c r="G335">
        <v>0.52</v>
      </c>
      <c r="H335" t="s">
        <v>17</v>
      </c>
    </row>
    <row r="336" spans="1:8" x14ac:dyDescent="0.25">
      <c r="A336" t="s">
        <v>21</v>
      </c>
      <c r="B336">
        <v>83639</v>
      </c>
      <c r="C336">
        <v>26</v>
      </c>
      <c r="D336" t="s">
        <v>28</v>
      </c>
      <c r="E336">
        <v>0.25</v>
      </c>
      <c r="F336">
        <v>0.56999999999999995</v>
      </c>
      <c r="G336">
        <v>0.22</v>
      </c>
      <c r="H336" t="s">
        <v>13</v>
      </c>
    </row>
    <row r="337" spans="1:8" x14ac:dyDescent="0.25">
      <c r="A337" t="s">
        <v>26</v>
      </c>
      <c r="B337">
        <v>66993</v>
      </c>
      <c r="C337">
        <v>3</v>
      </c>
      <c r="D337" t="s">
        <v>15</v>
      </c>
      <c r="E337">
        <v>0.51</v>
      </c>
      <c r="F337">
        <v>0.82</v>
      </c>
      <c r="G337">
        <v>0.54</v>
      </c>
      <c r="H337" t="s">
        <v>17</v>
      </c>
    </row>
    <row r="338" spans="1:8" x14ac:dyDescent="0.25">
      <c r="A338" t="s">
        <v>8</v>
      </c>
      <c r="B338">
        <v>61551</v>
      </c>
      <c r="C338">
        <v>21</v>
      </c>
      <c r="D338" t="s">
        <v>28</v>
      </c>
      <c r="E338">
        <v>0.74</v>
      </c>
      <c r="F338">
        <v>0.67</v>
      </c>
      <c r="G338">
        <v>0.73</v>
      </c>
      <c r="H338" t="s">
        <v>10</v>
      </c>
    </row>
    <row r="339" spans="1:8" x14ac:dyDescent="0.25">
      <c r="A339" t="s">
        <v>11</v>
      </c>
      <c r="B339">
        <v>63896</v>
      </c>
      <c r="C339">
        <v>22</v>
      </c>
      <c r="D339" t="s">
        <v>28</v>
      </c>
      <c r="E339">
        <v>0.04</v>
      </c>
      <c r="F339">
        <v>1.49</v>
      </c>
      <c r="G339">
        <v>0.11</v>
      </c>
      <c r="H339" t="s">
        <v>13</v>
      </c>
    </row>
    <row r="340" spans="1:8" x14ac:dyDescent="0.25">
      <c r="A340" t="s">
        <v>23</v>
      </c>
      <c r="B340">
        <v>63686</v>
      </c>
      <c r="C340">
        <v>21</v>
      </c>
      <c r="D340" t="s">
        <v>15</v>
      </c>
      <c r="E340">
        <v>0.01</v>
      </c>
      <c r="F340">
        <v>1.28</v>
      </c>
      <c r="G340">
        <v>0.82</v>
      </c>
      <c r="H340" t="s">
        <v>10</v>
      </c>
    </row>
    <row r="341" spans="1:8" x14ac:dyDescent="0.25">
      <c r="A341" t="s">
        <v>32</v>
      </c>
      <c r="B341">
        <v>147256</v>
      </c>
      <c r="C341">
        <v>26</v>
      </c>
      <c r="D341" t="s">
        <v>28</v>
      </c>
      <c r="E341">
        <v>0.33</v>
      </c>
      <c r="F341">
        <v>1.45</v>
      </c>
      <c r="G341">
        <v>0.35</v>
      </c>
      <c r="H341" t="s">
        <v>17</v>
      </c>
    </row>
    <row r="342" spans="1:8" x14ac:dyDescent="0.25">
      <c r="A342" t="s">
        <v>14</v>
      </c>
      <c r="B342">
        <v>103531</v>
      </c>
      <c r="C342">
        <v>2</v>
      </c>
      <c r="D342" t="s">
        <v>9</v>
      </c>
      <c r="E342">
        <v>0.36</v>
      </c>
      <c r="F342">
        <v>0.94</v>
      </c>
      <c r="G342">
        <v>0.94</v>
      </c>
      <c r="H342" t="s">
        <v>10</v>
      </c>
    </row>
    <row r="343" spans="1:8" x14ac:dyDescent="0.25">
      <c r="A343" t="s">
        <v>25</v>
      </c>
      <c r="B343">
        <v>53991</v>
      </c>
      <c r="C343">
        <v>21</v>
      </c>
      <c r="D343" t="s">
        <v>12</v>
      </c>
      <c r="E343">
        <v>0.72</v>
      </c>
      <c r="F343">
        <v>0.78</v>
      </c>
      <c r="G343">
        <v>0.43</v>
      </c>
      <c r="H343" t="s">
        <v>17</v>
      </c>
    </row>
    <row r="344" spans="1:8" x14ac:dyDescent="0.25">
      <c r="A344" t="s">
        <v>25</v>
      </c>
      <c r="B344">
        <v>39269</v>
      </c>
      <c r="C344">
        <v>7</v>
      </c>
      <c r="D344" t="s">
        <v>15</v>
      </c>
      <c r="E344">
        <v>0.21</v>
      </c>
      <c r="F344">
        <v>0.62</v>
      </c>
      <c r="G344">
        <v>0.63</v>
      </c>
      <c r="H344" t="s">
        <v>17</v>
      </c>
    </row>
    <row r="345" spans="1:8" x14ac:dyDescent="0.25">
      <c r="A345" t="s">
        <v>18</v>
      </c>
      <c r="B345">
        <v>149391</v>
      </c>
      <c r="C345">
        <v>18</v>
      </c>
      <c r="D345" t="s">
        <v>28</v>
      </c>
      <c r="E345">
        <v>0.7</v>
      </c>
      <c r="F345">
        <v>0.69</v>
      </c>
      <c r="G345">
        <v>0.48</v>
      </c>
      <c r="H345" t="s">
        <v>17</v>
      </c>
    </row>
    <row r="346" spans="1:8" x14ac:dyDescent="0.25">
      <c r="A346" t="s">
        <v>19</v>
      </c>
      <c r="B346">
        <v>124598</v>
      </c>
      <c r="C346">
        <v>14</v>
      </c>
      <c r="D346" t="s">
        <v>9</v>
      </c>
      <c r="E346">
        <v>0.95</v>
      </c>
      <c r="F346">
        <v>0.85</v>
      </c>
      <c r="G346">
        <v>0.06</v>
      </c>
      <c r="H346" t="s">
        <v>13</v>
      </c>
    </row>
    <row r="347" spans="1:8" x14ac:dyDescent="0.25">
      <c r="A347" t="s">
        <v>29</v>
      </c>
      <c r="B347">
        <v>89470</v>
      </c>
      <c r="C347">
        <v>2</v>
      </c>
      <c r="D347" t="s">
        <v>12</v>
      </c>
      <c r="E347">
        <v>0.19</v>
      </c>
      <c r="F347">
        <v>0.65</v>
      </c>
      <c r="G347">
        <v>0.93</v>
      </c>
      <c r="H347" t="s">
        <v>10</v>
      </c>
    </row>
    <row r="348" spans="1:8" x14ac:dyDescent="0.25">
      <c r="A348" t="s">
        <v>29</v>
      </c>
      <c r="B348">
        <v>34321</v>
      </c>
      <c r="C348">
        <v>29</v>
      </c>
      <c r="D348" t="s">
        <v>28</v>
      </c>
      <c r="E348">
        <v>0.81</v>
      </c>
      <c r="F348">
        <v>0.88</v>
      </c>
      <c r="G348">
        <v>0.73</v>
      </c>
      <c r="H348" t="s">
        <v>10</v>
      </c>
    </row>
    <row r="349" spans="1:8" x14ac:dyDescent="0.25">
      <c r="A349" t="s">
        <v>27</v>
      </c>
      <c r="B349">
        <v>50977</v>
      </c>
      <c r="C349">
        <v>25</v>
      </c>
      <c r="D349" t="s">
        <v>12</v>
      </c>
      <c r="E349">
        <v>0.18</v>
      </c>
      <c r="F349">
        <v>0.61</v>
      </c>
      <c r="G349">
        <v>0.65</v>
      </c>
      <c r="H349" t="s">
        <v>17</v>
      </c>
    </row>
    <row r="350" spans="1:8" x14ac:dyDescent="0.25">
      <c r="A350" t="s">
        <v>31</v>
      </c>
      <c r="B350">
        <v>62167</v>
      </c>
      <c r="C350">
        <v>13</v>
      </c>
      <c r="D350" t="s">
        <v>15</v>
      </c>
      <c r="E350">
        <v>0.3</v>
      </c>
      <c r="F350">
        <v>0.59</v>
      </c>
      <c r="G350">
        <v>0.93</v>
      </c>
      <c r="H350" t="s">
        <v>10</v>
      </c>
    </row>
    <row r="351" spans="1:8" x14ac:dyDescent="0.25">
      <c r="A351" t="s">
        <v>23</v>
      </c>
      <c r="B351">
        <v>108518</v>
      </c>
      <c r="C351">
        <v>28</v>
      </c>
      <c r="D351" t="s">
        <v>12</v>
      </c>
      <c r="E351">
        <v>0.55000000000000004</v>
      </c>
      <c r="F351">
        <v>1.03</v>
      </c>
      <c r="G351">
        <v>0.75</v>
      </c>
      <c r="H351" t="s">
        <v>10</v>
      </c>
    </row>
    <row r="352" spans="1:8" x14ac:dyDescent="0.25">
      <c r="A352" t="s">
        <v>24</v>
      </c>
      <c r="B352">
        <v>93752</v>
      </c>
      <c r="C352">
        <v>12</v>
      </c>
      <c r="D352" t="s">
        <v>28</v>
      </c>
      <c r="E352">
        <v>0.26</v>
      </c>
      <c r="F352">
        <v>0.97</v>
      </c>
      <c r="G352">
        <v>0.39</v>
      </c>
      <c r="H352" t="s">
        <v>17</v>
      </c>
    </row>
    <row r="353" spans="1:8" x14ac:dyDescent="0.25">
      <c r="A353" t="s">
        <v>8</v>
      </c>
      <c r="B353">
        <v>77691</v>
      </c>
      <c r="C353">
        <v>16</v>
      </c>
      <c r="D353" t="s">
        <v>28</v>
      </c>
      <c r="E353">
        <v>0.31</v>
      </c>
      <c r="F353">
        <v>1.23</v>
      </c>
      <c r="G353">
        <v>0.9</v>
      </c>
      <c r="H353" t="s">
        <v>10</v>
      </c>
    </row>
    <row r="354" spans="1:8" x14ac:dyDescent="0.25">
      <c r="A354" t="s">
        <v>30</v>
      </c>
      <c r="B354">
        <v>59813</v>
      </c>
      <c r="C354">
        <v>15</v>
      </c>
      <c r="D354" t="s">
        <v>28</v>
      </c>
      <c r="E354">
        <v>0.39</v>
      </c>
      <c r="F354">
        <v>1.08</v>
      </c>
      <c r="G354">
        <v>0.17</v>
      </c>
      <c r="H354" t="s">
        <v>13</v>
      </c>
    </row>
    <row r="355" spans="1:8" x14ac:dyDescent="0.25">
      <c r="A355" t="s">
        <v>27</v>
      </c>
      <c r="B355">
        <v>95603</v>
      </c>
      <c r="C355">
        <v>28</v>
      </c>
      <c r="D355" t="s">
        <v>9</v>
      </c>
      <c r="E355">
        <v>0.4</v>
      </c>
      <c r="F355">
        <v>1.1100000000000001</v>
      </c>
      <c r="G355">
        <v>0.62</v>
      </c>
      <c r="H355" t="s">
        <v>17</v>
      </c>
    </row>
    <row r="356" spans="1:8" x14ac:dyDescent="0.25">
      <c r="A356" t="s">
        <v>27</v>
      </c>
      <c r="B356">
        <v>118150</v>
      </c>
      <c r="C356">
        <v>14</v>
      </c>
      <c r="D356" t="s">
        <v>9</v>
      </c>
      <c r="E356">
        <v>0.33</v>
      </c>
      <c r="F356">
        <v>0.89</v>
      </c>
      <c r="G356">
        <v>0.36</v>
      </c>
      <c r="H356" t="s">
        <v>17</v>
      </c>
    </row>
    <row r="357" spans="1:8" x14ac:dyDescent="0.25">
      <c r="A357" t="s">
        <v>31</v>
      </c>
      <c r="B357">
        <v>31996</v>
      </c>
      <c r="C357">
        <v>3</v>
      </c>
      <c r="D357" t="s">
        <v>28</v>
      </c>
      <c r="E357">
        <v>0.12</v>
      </c>
      <c r="F357">
        <v>0.83</v>
      </c>
      <c r="G357">
        <v>0.9</v>
      </c>
      <c r="H357" t="s">
        <v>10</v>
      </c>
    </row>
    <row r="358" spans="1:8" x14ac:dyDescent="0.25">
      <c r="A358" t="s">
        <v>14</v>
      </c>
      <c r="B358">
        <v>108015</v>
      </c>
      <c r="C358">
        <v>2</v>
      </c>
      <c r="D358" t="s">
        <v>28</v>
      </c>
      <c r="E358">
        <v>0.17</v>
      </c>
      <c r="F358">
        <v>1.21</v>
      </c>
      <c r="G358">
        <v>0.83</v>
      </c>
      <c r="H358" t="s">
        <v>10</v>
      </c>
    </row>
    <row r="359" spans="1:8" x14ac:dyDescent="0.25">
      <c r="A359" t="s">
        <v>32</v>
      </c>
      <c r="B359">
        <v>59709</v>
      </c>
      <c r="C359">
        <v>9</v>
      </c>
      <c r="D359" t="s">
        <v>28</v>
      </c>
      <c r="E359">
        <v>0.93</v>
      </c>
      <c r="F359">
        <v>1.03</v>
      </c>
      <c r="G359">
        <v>0.4</v>
      </c>
      <c r="H359" t="s">
        <v>17</v>
      </c>
    </row>
    <row r="360" spans="1:8" x14ac:dyDescent="0.25">
      <c r="A360" t="s">
        <v>16</v>
      </c>
      <c r="B360">
        <v>33203</v>
      </c>
      <c r="C360">
        <v>17</v>
      </c>
      <c r="D360" t="s">
        <v>15</v>
      </c>
      <c r="E360">
        <v>0.73</v>
      </c>
      <c r="F360">
        <v>1.42</v>
      </c>
      <c r="G360">
        <v>0.6</v>
      </c>
      <c r="H360" t="s">
        <v>17</v>
      </c>
    </row>
    <row r="361" spans="1:8" x14ac:dyDescent="0.25">
      <c r="A361" t="s">
        <v>34</v>
      </c>
      <c r="B361">
        <v>39327</v>
      </c>
      <c r="C361">
        <v>7</v>
      </c>
      <c r="D361" t="s">
        <v>12</v>
      </c>
      <c r="E361">
        <v>0.77</v>
      </c>
      <c r="F361">
        <v>0.89</v>
      </c>
      <c r="G361">
        <v>0.5</v>
      </c>
      <c r="H361" t="s">
        <v>17</v>
      </c>
    </row>
    <row r="362" spans="1:8" x14ac:dyDescent="0.25">
      <c r="A362" t="s">
        <v>14</v>
      </c>
      <c r="B362">
        <v>37868</v>
      </c>
      <c r="C362">
        <v>11</v>
      </c>
      <c r="D362" t="s">
        <v>15</v>
      </c>
      <c r="E362">
        <v>0.32</v>
      </c>
      <c r="F362">
        <v>1.35</v>
      </c>
      <c r="G362">
        <v>0.71</v>
      </c>
      <c r="H362" t="s">
        <v>10</v>
      </c>
    </row>
    <row r="363" spans="1:8" x14ac:dyDescent="0.25">
      <c r="A363" t="s">
        <v>24</v>
      </c>
      <c r="B363">
        <v>76097</v>
      </c>
      <c r="C363">
        <v>23</v>
      </c>
      <c r="D363" t="s">
        <v>15</v>
      </c>
      <c r="E363">
        <v>0.75</v>
      </c>
      <c r="F363">
        <v>0.96</v>
      </c>
      <c r="G363">
        <v>0.64</v>
      </c>
      <c r="H363" t="s">
        <v>17</v>
      </c>
    </row>
    <row r="364" spans="1:8" x14ac:dyDescent="0.25">
      <c r="A364" t="s">
        <v>25</v>
      </c>
      <c r="B364">
        <v>117838</v>
      </c>
      <c r="C364">
        <v>6</v>
      </c>
      <c r="D364" t="s">
        <v>15</v>
      </c>
      <c r="E364">
        <v>0.44</v>
      </c>
      <c r="F364">
        <v>1.34</v>
      </c>
      <c r="G364">
        <v>0.4</v>
      </c>
      <c r="H364" t="s">
        <v>17</v>
      </c>
    </row>
    <row r="365" spans="1:8" x14ac:dyDescent="0.25">
      <c r="A365" t="s">
        <v>25</v>
      </c>
      <c r="B365">
        <v>136931</v>
      </c>
      <c r="C365">
        <v>16</v>
      </c>
      <c r="D365" t="s">
        <v>9</v>
      </c>
      <c r="E365">
        <v>0.97</v>
      </c>
      <c r="F365">
        <v>1.47</v>
      </c>
      <c r="G365">
        <v>0.65</v>
      </c>
      <c r="H365" t="s">
        <v>17</v>
      </c>
    </row>
    <row r="366" spans="1:8" x14ac:dyDescent="0.25">
      <c r="A366" t="s">
        <v>22</v>
      </c>
      <c r="B366">
        <v>76900</v>
      </c>
      <c r="C366">
        <v>24</v>
      </c>
      <c r="D366" t="s">
        <v>28</v>
      </c>
      <c r="E366">
        <v>0.49</v>
      </c>
      <c r="F366">
        <v>1.41</v>
      </c>
      <c r="G366">
        <v>0.54</v>
      </c>
      <c r="H366" t="s">
        <v>17</v>
      </c>
    </row>
    <row r="367" spans="1:8" x14ac:dyDescent="0.25">
      <c r="A367" t="s">
        <v>20</v>
      </c>
      <c r="B367">
        <v>41221</v>
      </c>
      <c r="C367">
        <v>11</v>
      </c>
      <c r="D367" t="s">
        <v>12</v>
      </c>
      <c r="E367">
        <v>0.08</v>
      </c>
      <c r="F367">
        <v>1.18</v>
      </c>
      <c r="G367">
        <v>0.67</v>
      </c>
      <c r="H367" t="s">
        <v>17</v>
      </c>
    </row>
    <row r="368" spans="1:8" x14ac:dyDescent="0.25">
      <c r="A368" t="s">
        <v>8</v>
      </c>
      <c r="B368">
        <v>30654</v>
      </c>
      <c r="C368">
        <v>9</v>
      </c>
      <c r="D368" t="s">
        <v>15</v>
      </c>
      <c r="E368">
        <v>0.48</v>
      </c>
      <c r="F368">
        <v>1.17</v>
      </c>
      <c r="G368">
        <v>0.8</v>
      </c>
      <c r="H368" t="s">
        <v>10</v>
      </c>
    </row>
    <row r="369" spans="1:8" x14ac:dyDescent="0.25">
      <c r="A369" t="s">
        <v>27</v>
      </c>
      <c r="B369">
        <v>112928</v>
      </c>
      <c r="C369">
        <v>26</v>
      </c>
      <c r="D369" t="s">
        <v>15</v>
      </c>
      <c r="E369">
        <v>0.85</v>
      </c>
      <c r="F369">
        <v>0.71</v>
      </c>
      <c r="G369">
        <v>0.68</v>
      </c>
      <c r="H369" t="s">
        <v>17</v>
      </c>
    </row>
    <row r="370" spans="1:8" x14ac:dyDescent="0.25">
      <c r="A370" t="s">
        <v>21</v>
      </c>
      <c r="B370">
        <v>99444</v>
      </c>
      <c r="C370">
        <v>21</v>
      </c>
      <c r="D370" t="s">
        <v>15</v>
      </c>
      <c r="E370">
        <v>0.63</v>
      </c>
      <c r="F370">
        <v>1.1200000000000001</v>
      </c>
      <c r="G370">
        <v>0.08</v>
      </c>
      <c r="H370" t="s">
        <v>13</v>
      </c>
    </row>
    <row r="371" spans="1:8" x14ac:dyDescent="0.25">
      <c r="A371" t="s">
        <v>11</v>
      </c>
      <c r="B371">
        <v>115092</v>
      </c>
      <c r="C371">
        <v>18</v>
      </c>
      <c r="D371" t="s">
        <v>28</v>
      </c>
      <c r="E371">
        <v>0.2</v>
      </c>
      <c r="F371">
        <v>1.3</v>
      </c>
      <c r="G371">
        <v>0.23</v>
      </c>
      <c r="H371" t="s">
        <v>13</v>
      </c>
    </row>
    <row r="372" spans="1:8" x14ac:dyDescent="0.25">
      <c r="A372" t="s">
        <v>18</v>
      </c>
      <c r="B372">
        <v>123122</v>
      </c>
      <c r="C372">
        <v>8</v>
      </c>
      <c r="D372" t="s">
        <v>28</v>
      </c>
      <c r="E372">
        <v>0.87</v>
      </c>
      <c r="F372">
        <v>0.68</v>
      </c>
      <c r="G372">
        <v>0.68</v>
      </c>
      <c r="H372" t="s">
        <v>17</v>
      </c>
    </row>
    <row r="373" spans="1:8" x14ac:dyDescent="0.25">
      <c r="A373" t="s">
        <v>19</v>
      </c>
      <c r="B373">
        <v>49177</v>
      </c>
      <c r="C373">
        <v>0</v>
      </c>
      <c r="D373" t="s">
        <v>9</v>
      </c>
      <c r="E373">
        <v>0.17</v>
      </c>
      <c r="F373">
        <v>0.85</v>
      </c>
      <c r="G373">
        <v>0.15</v>
      </c>
      <c r="H373" t="s">
        <v>13</v>
      </c>
    </row>
    <row r="374" spans="1:8" x14ac:dyDescent="0.25">
      <c r="A374" t="s">
        <v>11</v>
      </c>
      <c r="B374">
        <v>107360</v>
      </c>
      <c r="C374">
        <v>23</v>
      </c>
      <c r="D374" t="s">
        <v>9</v>
      </c>
      <c r="E374">
        <v>0.13</v>
      </c>
      <c r="F374">
        <v>1.3</v>
      </c>
      <c r="G374">
        <v>0.18</v>
      </c>
      <c r="H374" t="s">
        <v>13</v>
      </c>
    </row>
    <row r="375" spans="1:8" x14ac:dyDescent="0.25">
      <c r="A375" t="s">
        <v>20</v>
      </c>
      <c r="B375">
        <v>132877</v>
      </c>
      <c r="C375">
        <v>11</v>
      </c>
      <c r="D375" t="s">
        <v>9</v>
      </c>
      <c r="E375">
        <v>0.48</v>
      </c>
      <c r="F375">
        <v>1.26</v>
      </c>
      <c r="G375">
        <v>0.57999999999999996</v>
      </c>
      <c r="H375" t="s">
        <v>17</v>
      </c>
    </row>
    <row r="376" spans="1:8" x14ac:dyDescent="0.25">
      <c r="A376" t="s">
        <v>22</v>
      </c>
      <c r="B376">
        <v>73158</v>
      </c>
      <c r="C376">
        <v>27</v>
      </c>
      <c r="D376" t="s">
        <v>15</v>
      </c>
      <c r="E376">
        <v>0.31</v>
      </c>
      <c r="F376">
        <v>0.9</v>
      </c>
      <c r="G376">
        <v>0.5</v>
      </c>
      <c r="H376" t="s">
        <v>17</v>
      </c>
    </row>
    <row r="377" spans="1:8" x14ac:dyDescent="0.25">
      <c r="A377" t="s">
        <v>11</v>
      </c>
      <c r="B377">
        <v>87889</v>
      </c>
      <c r="C377">
        <v>1</v>
      </c>
      <c r="D377" t="s">
        <v>12</v>
      </c>
      <c r="E377">
        <v>0.34</v>
      </c>
      <c r="F377">
        <v>1.49</v>
      </c>
      <c r="G377">
        <v>0.17</v>
      </c>
      <c r="H377" t="s">
        <v>13</v>
      </c>
    </row>
    <row r="378" spans="1:8" x14ac:dyDescent="0.25">
      <c r="A378" t="s">
        <v>29</v>
      </c>
      <c r="B378">
        <v>136196</v>
      </c>
      <c r="C378">
        <v>16</v>
      </c>
      <c r="D378" t="s">
        <v>9</v>
      </c>
      <c r="E378">
        <v>0.02</v>
      </c>
      <c r="F378">
        <v>1.27</v>
      </c>
      <c r="G378">
        <v>0.73</v>
      </c>
      <c r="H378" t="s">
        <v>10</v>
      </c>
    </row>
    <row r="379" spans="1:8" x14ac:dyDescent="0.25">
      <c r="A379" t="s">
        <v>18</v>
      </c>
      <c r="B379">
        <v>133801</v>
      </c>
      <c r="C379">
        <v>11</v>
      </c>
      <c r="D379" t="s">
        <v>28</v>
      </c>
      <c r="E379">
        <v>0.39</v>
      </c>
      <c r="F379">
        <v>1.39</v>
      </c>
      <c r="G379">
        <v>0.66</v>
      </c>
      <c r="H379" t="s">
        <v>17</v>
      </c>
    </row>
    <row r="380" spans="1:8" x14ac:dyDescent="0.25">
      <c r="A380" t="s">
        <v>8</v>
      </c>
      <c r="B380">
        <v>109557</v>
      </c>
      <c r="C380">
        <v>24</v>
      </c>
      <c r="D380" t="s">
        <v>28</v>
      </c>
      <c r="E380">
        <v>0.28000000000000003</v>
      </c>
      <c r="F380">
        <v>0.9</v>
      </c>
      <c r="G380">
        <v>0.95</v>
      </c>
      <c r="H380" t="s">
        <v>10</v>
      </c>
    </row>
    <row r="381" spans="1:8" x14ac:dyDescent="0.25">
      <c r="A381" t="s">
        <v>21</v>
      </c>
      <c r="B381">
        <v>54502</v>
      </c>
      <c r="C381">
        <v>15</v>
      </c>
      <c r="D381" t="s">
        <v>12</v>
      </c>
      <c r="E381">
        <v>0.94</v>
      </c>
      <c r="F381">
        <v>0.83</v>
      </c>
      <c r="G381">
        <v>0.19</v>
      </c>
      <c r="H381" t="s">
        <v>13</v>
      </c>
    </row>
    <row r="382" spans="1:8" x14ac:dyDescent="0.25">
      <c r="A382" t="s">
        <v>27</v>
      </c>
      <c r="B382">
        <v>128878</v>
      </c>
      <c r="C382">
        <v>29</v>
      </c>
      <c r="D382" t="s">
        <v>12</v>
      </c>
      <c r="E382">
        <v>0.69</v>
      </c>
      <c r="F382">
        <v>1.23</v>
      </c>
      <c r="G382">
        <v>0.7</v>
      </c>
      <c r="H382" t="s">
        <v>17</v>
      </c>
    </row>
    <row r="383" spans="1:8" x14ac:dyDescent="0.25">
      <c r="A383" t="s">
        <v>19</v>
      </c>
      <c r="B383">
        <v>136802</v>
      </c>
      <c r="C383">
        <v>23</v>
      </c>
      <c r="D383" t="s">
        <v>28</v>
      </c>
      <c r="E383">
        <v>0.69</v>
      </c>
      <c r="F383">
        <v>1.02</v>
      </c>
      <c r="G383">
        <v>0.3</v>
      </c>
      <c r="H383" t="s">
        <v>13</v>
      </c>
    </row>
    <row r="384" spans="1:8" x14ac:dyDescent="0.25">
      <c r="A384" t="s">
        <v>19</v>
      </c>
      <c r="B384">
        <v>80901</v>
      </c>
      <c r="C384">
        <v>26</v>
      </c>
      <c r="D384" t="s">
        <v>9</v>
      </c>
      <c r="E384">
        <v>0.34</v>
      </c>
      <c r="F384">
        <v>1.31</v>
      </c>
      <c r="G384">
        <v>0.11</v>
      </c>
      <c r="H384" t="s">
        <v>13</v>
      </c>
    </row>
    <row r="385" spans="1:8" x14ac:dyDescent="0.25">
      <c r="A385" t="s">
        <v>34</v>
      </c>
      <c r="B385">
        <v>96214</v>
      </c>
      <c r="C385">
        <v>16</v>
      </c>
      <c r="D385" t="s">
        <v>12</v>
      </c>
      <c r="E385">
        <v>0.56999999999999995</v>
      </c>
      <c r="F385">
        <v>1.37</v>
      </c>
      <c r="G385">
        <v>0.53</v>
      </c>
      <c r="H385" t="s">
        <v>17</v>
      </c>
    </row>
    <row r="386" spans="1:8" x14ac:dyDescent="0.25">
      <c r="A386" t="s">
        <v>18</v>
      </c>
      <c r="B386">
        <v>104755</v>
      </c>
      <c r="C386">
        <v>6</v>
      </c>
      <c r="D386" t="s">
        <v>12</v>
      </c>
      <c r="E386">
        <v>0.97</v>
      </c>
      <c r="F386">
        <v>0.94</v>
      </c>
      <c r="G386">
        <v>0.43</v>
      </c>
      <c r="H386" t="s">
        <v>17</v>
      </c>
    </row>
    <row r="387" spans="1:8" x14ac:dyDescent="0.25">
      <c r="A387" t="s">
        <v>20</v>
      </c>
      <c r="B387">
        <v>134580</v>
      </c>
      <c r="C387">
        <v>11</v>
      </c>
      <c r="D387" t="s">
        <v>9</v>
      </c>
      <c r="E387">
        <v>0.19</v>
      </c>
      <c r="F387">
        <v>0.81</v>
      </c>
      <c r="G387">
        <v>0.69</v>
      </c>
      <c r="H387" t="s">
        <v>17</v>
      </c>
    </row>
    <row r="388" spans="1:8" x14ac:dyDescent="0.25">
      <c r="A388" t="s">
        <v>20</v>
      </c>
      <c r="B388">
        <v>63477</v>
      </c>
      <c r="C388">
        <v>17</v>
      </c>
      <c r="D388" t="s">
        <v>12</v>
      </c>
      <c r="E388">
        <v>0.6</v>
      </c>
      <c r="F388">
        <v>1.24</v>
      </c>
      <c r="G388">
        <v>0.38</v>
      </c>
      <c r="H388" t="s">
        <v>17</v>
      </c>
    </row>
    <row r="389" spans="1:8" x14ac:dyDescent="0.25">
      <c r="A389" t="s">
        <v>16</v>
      </c>
      <c r="B389">
        <v>142134</v>
      </c>
      <c r="C389">
        <v>12</v>
      </c>
      <c r="D389" t="s">
        <v>12</v>
      </c>
      <c r="E389">
        <v>0.54</v>
      </c>
      <c r="F389">
        <v>0.63</v>
      </c>
      <c r="G389">
        <v>0.42</v>
      </c>
      <c r="H389" t="s">
        <v>17</v>
      </c>
    </row>
    <row r="390" spans="1:8" x14ac:dyDescent="0.25">
      <c r="A390" t="s">
        <v>30</v>
      </c>
      <c r="B390">
        <v>119080</v>
      </c>
      <c r="C390">
        <v>4</v>
      </c>
      <c r="D390" t="s">
        <v>9</v>
      </c>
      <c r="E390">
        <v>7.0000000000000007E-2</v>
      </c>
      <c r="F390">
        <v>0.82</v>
      </c>
      <c r="G390">
        <v>0.12</v>
      </c>
      <c r="H390" t="s">
        <v>13</v>
      </c>
    </row>
    <row r="391" spans="1:8" x14ac:dyDescent="0.25">
      <c r="A391" t="s">
        <v>23</v>
      </c>
      <c r="B391">
        <v>42467</v>
      </c>
      <c r="C391">
        <v>1</v>
      </c>
      <c r="D391" t="s">
        <v>9</v>
      </c>
      <c r="E391">
        <v>0.33</v>
      </c>
      <c r="F391">
        <v>1.19</v>
      </c>
      <c r="G391">
        <v>0.89</v>
      </c>
      <c r="H391" t="s">
        <v>10</v>
      </c>
    </row>
    <row r="392" spans="1:8" x14ac:dyDescent="0.25">
      <c r="A392" t="s">
        <v>26</v>
      </c>
      <c r="B392">
        <v>100601</v>
      </c>
      <c r="C392">
        <v>0</v>
      </c>
      <c r="D392" t="s">
        <v>28</v>
      </c>
      <c r="E392">
        <v>0.4</v>
      </c>
      <c r="F392">
        <v>0.93</v>
      </c>
      <c r="G392">
        <v>0.53</v>
      </c>
      <c r="H392" t="s">
        <v>17</v>
      </c>
    </row>
    <row r="393" spans="1:8" x14ac:dyDescent="0.25">
      <c r="A393" t="s">
        <v>23</v>
      </c>
      <c r="B393">
        <v>148764</v>
      </c>
      <c r="C393">
        <v>1</v>
      </c>
      <c r="D393" t="s">
        <v>15</v>
      </c>
      <c r="E393">
        <v>0.93</v>
      </c>
      <c r="F393">
        <v>0.62</v>
      </c>
      <c r="G393">
        <v>0.86</v>
      </c>
      <c r="H393" t="s">
        <v>10</v>
      </c>
    </row>
    <row r="394" spans="1:8" x14ac:dyDescent="0.25">
      <c r="A394" t="s">
        <v>33</v>
      </c>
      <c r="B394">
        <v>113795</v>
      </c>
      <c r="C394">
        <v>24</v>
      </c>
      <c r="D394" t="s">
        <v>12</v>
      </c>
      <c r="E394">
        <v>0.44</v>
      </c>
      <c r="F394">
        <v>0.54</v>
      </c>
      <c r="G394">
        <v>0.17</v>
      </c>
      <c r="H394" t="s">
        <v>13</v>
      </c>
    </row>
    <row r="395" spans="1:8" x14ac:dyDescent="0.25">
      <c r="A395" t="s">
        <v>32</v>
      </c>
      <c r="B395">
        <v>45994</v>
      </c>
      <c r="C395">
        <v>15</v>
      </c>
      <c r="D395" t="s">
        <v>9</v>
      </c>
      <c r="E395">
        <v>1</v>
      </c>
      <c r="F395">
        <v>0.72</v>
      </c>
      <c r="G395">
        <v>0.34</v>
      </c>
      <c r="H395" t="s">
        <v>17</v>
      </c>
    </row>
    <row r="396" spans="1:8" x14ac:dyDescent="0.25">
      <c r="A396" t="s">
        <v>19</v>
      </c>
      <c r="B396">
        <v>66701</v>
      </c>
      <c r="C396">
        <v>25</v>
      </c>
      <c r="D396" t="s">
        <v>15</v>
      </c>
      <c r="E396">
        <v>0.62</v>
      </c>
      <c r="F396">
        <v>0.72</v>
      </c>
      <c r="G396">
        <v>0.16</v>
      </c>
      <c r="H396" t="s">
        <v>13</v>
      </c>
    </row>
    <row r="397" spans="1:8" x14ac:dyDescent="0.25">
      <c r="A397" t="s">
        <v>21</v>
      </c>
      <c r="B397">
        <v>63785</v>
      </c>
      <c r="C397">
        <v>18</v>
      </c>
      <c r="D397" t="s">
        <v>12</v>
      </c>
      <c r="E397">
        <v>0.44</v>
      </c>
      <c r="F397">
        <v>0.96</v>
      </c>
      <c r="G397">
        <v>0.25</v>
      </c>
      <c r="H397" t="s">
        <v>13</v>
      </c>
    </row>
    <row r="398" spans="1:8" x14ac:dyDescent="0.25">
      <c r="A398" t="s">
        <v>25</v>
      </c>
      <c r="B398">
        <v>122282</v>
      </c>
      <c r="C398">
        <v>0</v>
      </c>
      <c r="D398" t="s">
        <v>15</v>
      </c>
      <c r="E398">
        <v>0.51</v>
      </c>
      <c r="F398">
        <v>1.04</v>
      </c>
      <c r="G398">
        <v>0.4</v>
      </c>
      <c r="H398" t="s">
        <v>17</v>
      </c>
    </row>
    <row r="399" spans="1:8" x14ac:dyDescent="0.25">
      <c r="A399" t="s">
        <v>22</v>
      </c>
      <c r="B399">
        <v>30229</v>
      </c>
      <c r="C399">
        <v>28</v>
      </c>
      <c r="D399" t="s">
        <v>9</v>
      </c>
      <c r="E399">
        <v>0.95</v>
      </c>
      <c r="F399">
        <v>0.78</v>
      </c>
      <c r="G399">
        <v>0.46</v>
      </c>
      <c r="H399" t="s">
        <v>17</v>
      </c>
    </row>
    <row r="400" spans="1:8" x14ac:dyDescent="0.25">
      <c r="A400" t="s">
        <v>33</v>
      </c>
      <c r="B400">
        <v>45620</v>
      </c>
      <c r="C400">
        <v>29</v>
      </c>
      <c r="D400" t="s">
        <v>15</v>
      </c>
      <c r="E400">
        <v>0.67</v>
      </c>
      <c r="F400">
        <v>0.6</v>
      </c>
      <c r="G400">
        <v>0.05</v>
      </c>
      <c r="H400" t="s">
        <v>13</v>
      </c>
    </row>
    <row r="401" spans="1:8" x14ac:dyDescent="0.25">
      <c r="A401" t="s">
        <v>30</v>
      </c>
      <c r="B401">
        <v>68104</v>
      </c>
      <c r="C401">
        <v>10</v>
      </c>
      <c r="D401" t="s">
        <v>15</v>
      </c>
      <c r="E401">
        <v>0.35</v>
      </c>
      <c r="F401">
        <v>0.95</v>
      </c>
      <c r="G401">
        <v>0.22</v>
      </c>
      <c r="H401" t="s">
        <v>13</v>
      </c>
    </row>
    <row r="402" spans="1:8" x14ac:dyDescent="0.25">
      <c r="A402" t="s">
        <v>26</v>
      </c>
      <c r="B402">
        <v>78733</v>
      </c>
      <c r="C402">
        <v>25</v>
      </c>
      <c r="D402" t="s">
        <v>28</v>
      </c>
      <c r="E402">
        <v>0.75</v>
      </c>
      <c r="F402">
        <v>1.23</v>
      </c>
      <c r="G402">
        <v>0.65</v>
      </c>
      <c r="H402" t="s">
        <v>17</v>
      </c>
    </row>
    <row r="403" spans="1:8" x14ac:dyDescent="0.25">
      <c r="A403" t="s">
        <v>26</v>
      </c>
      <c r="B403">
        <v>33320</v>
      </c>
      <c r="C403">
        <v>26</v>
      </c>
      <c r="D403" t="s">
        <v>12</v>
      </c>
      <c r="E403">
        <v>0.27</v>
      </c>
      <c r="F403">
        <v>0.53</v>
      </c>
      <c r="G403">
        <v>0.59</v>
      </c>
      <c r="H403" t="s">
        <v>17</v>
      </c>
    </row>
    <row r="404" spans="1:8" x14ac:dyDescent="0.25">
      <c r="A404" t="s">
        <v>26</v>
      </c>
      <c r="B404">
        <v>137648</v>
      </c>
      <c r="C404">
        <v>22</v>
      </c>
      <c r="D404" t="s">
        <v>12</v>
      </c>
      <c r="E404">
        <v>0.63</v>
      </c>
      <c r="F404">
        <v>0.68</v>
      </c>
      <c r="G404">
        <v>0.34</v>
      </c>
      <c r="H404" t="s">
        <v>17</v>
      </c>
    </row>
    <row r="405" spans="1:8" x14ac:dyDescent="0.25">
      <c r="A405" t="s">
        <v>32</v>
      </c>
      <c r="B405">
        <v>53104</v>
      </c>
      <c r="C405">
        <v>0</v>
      </c>
      <c r="D405" t="s">
        <v>9</v>
      </c>
      <c r="E405">
        <v>0.31</v>
      </c>
      <c r="F405">
        <v>1.46</v>
      </c>
      <c r="G405">
        <v>0.31</v>
      </c>
      <c r="H405" t="s">
        <v>17</v>
      </c>
    </row>
    <row r="406" spans="1:8" x14ac:dyDescent="0.25">
      <c r="A406" t="s">
        <v>29</v>
      </c>
      <c r="B406">
        <v>69451</v>
      </c>
      <c r="C406">
        <v>3</v>
      </c>
      <c r="D406" t="s">
        <v>28</v>
      </c>
      <c r="E406">
        <v>0.91</v>
      </c>
      <c r="F406">
        <v>0.65</v>
      </c>
      <c r="G406">
        <v>0.86</v>
      </c>
      <c r="H406" t="s">
        <v>10</v>
      </c>
    </row>
    <row r="407" spans="1:8" x14ac:dyDescent="0.25">
      <c r="A407" t="s">
        <v>18</v>
      </c>
      <c r="B407">
        <v>104854</v>
      </c>
      <c r="C407">
        <v>8</v>
      </c>
      <c r="D407" t="s">
        <v>9</v>
      </c>
      <c r="E407">
        <v>0.35</v>
      </c>
      <c r="F407">
        <v>1.06</v>
      </c>
      <c r="G407">
        <v>0.4</v>
      </c>
      <c r="H407" t="s">
        <v>17</v>
      </c>
    </row>
    <row r="408" spans="1:8" x14ac:dyDescent="0.25">
      <c r="A408" t="s">
        <v>34</v>
      </c>
      <c r="B408">
        <v>35147</v>
      </c>
      <c r="C408">
        <v>12</v>
      </c>
      <c r="D408" t="s">
        <v>15</v>
      </c>
      <c r="E408">
        <v>0.3</v>
      </c>
      <c r="F408">
        <v>0.69</v>
      </c>
      <c r="G408">
        <v>0.42</v>
      </c>
      <c r="H408" t="s">
        <v>17</v>
      </c>
    </row>
    <row r="409" spans="1:8" x14ac:dyDescent="0.25">
      <c r="A409" t="s">
        <v>27</v>
      </c>
      <c r="B409">
        <v>68563</v>
      </c>
      <c r="C409">
        <v>3</v>
      </c>
      <c r="D409" t="s">
        <v>9</v>
      </c>
      <c r="E409">
        <v>0.92</v>
      </c>
      <c r="F409">
        <v>1.32</v>
      </c>
      <c r="G409">
        <v>0.44</v>
      </c>
      <c r="H409" t="s">
        <v>17</v>
      </c>
    </row>
    <row r="410" spans="1:8" x14ac:dyDescent="0.25">
      <c r="A410" t="s">
        <v>19</v>
      </c>
      <c r="B410">
        <v>133496</v>
      </c>
      <c r="C410">
        <v>13</v>
      </c>
      <c r="D410" t="s">
        <v>15</v>
      </c>
      <c r="E410">
        <v>0.34</v>
      </c>
      <c r="F410">
        <v>0.68</v>
      </c>
      <c r="G410">
        <v>0.05</v>
      </c>
      <c r="H410" t="s">
        <v>13</v>
      </c>
    </row>
    <row r="411" spans="1:8" x14ac:dyDescent="0.25">
      <c r="A411" t="s">
        <v>8</v>
      </c>
      <c r="B411">
        <v>79692</v>
      </c>
      <c r="C411">
        <v>6</v>
      </c>
      <c r="D411" t="s">
        <v>28</v>
      </c>
      <c r="E411">
        <v>0.22</v>
      </c>
      <c r="F411">
        <v>0.57999999999999996</v>
      </c>
      <c r="G411">
        <v>0.84</v>
      </c>
      <c r="H411" t="s">
        <v>10</v>
      </c>
    </row>
    <row r="412" spans="1:8" x14ac:dyDescent="0.25">
      <c r="A412" t="s">
        <v>33</v>
      </c>
      <c r="B412">
        <v>135585</v>
      </c>
      <c r="C412">
        <v>13</v>
      </c>
      <c r="D412" t="s">
        <v>15</v>
      </c>
      <c r="E412">
        <v>0.35</v>
      </c>
      <c r="F412">
        <v>0.82</v>
      </c>
      <c r="G412">
        <v>0.25</v>
      </c>
      <c r="H412" t="s">
        <v>13</v>
      </c>
    </row>
    <row r="413" spans="1:8" x14ac:dyDescent="0.25">
      <c r="A413" t="s">
        <v>34</v>
      </c>
      <c r="B413">
        <v>59545</v>
      </c>
      <c r="C413">
        <v>17</v>
      </c>
      <c r="D413" t="s">
        <v>28</v>
      </c>
      <c r="E413">
        <v>0.91</v>
      </c>
      <c r="F413">
        <v>0.68</v>
      </c>
      <c r="G413">
        <v>0.3</v>
      </c>
      <c r="H413" t="s">
        <v>13</v>
      </c>
    </row>
    <row r="414" spans="1:8" x14ac:dyDescent="0.25">
      <c r="A414" t="s">
        <v>26</v>
      </c>
      <c r="B414">
        <v>138777</v>
      </c>
      <c r="C414">
        <v>0</v>
      </c>
      <c r="D414" t="s">
        <v>12</v>
      </c>
      <c r="E414">
        <v>0.3</v>
      </c>
      <c r="F414">
        <v>0.6</v>
      </c>
      <c r="G414">
        <v>0.41</v>
      </c>
      <c r="H414" t="s">
        <v>17</v>
      </c>
    </row>
    <row r="415" spans="1:8" x14ac:dyDescent="0.25">
      <c r="A415" t="s">
        <v>32</v>
      </c>
      <c r="B415">
        <v>88760</v>
      </c>
      <c r="C415">
        <v>1</v>
      </c>
      <c r="D415" t="s">
        <v>15</v>
      </c>
      <c r="E415">
        <v>7.0000000000000007E-2</v>
      </c>
      <c r="F415">
        <v>0.56000000000000005</v>
      </c>
      <c r="G415">
        <v>0.35</v>
      </c>
      <c r="H415" t="s">
        <v>17</v>
      </c>
    </row>
    <row r="416" spans="1:8" x14ac:dyDescent="0.25">
      <c r="A416" t="s">
        <v>32</v>
      </c>
      <c r="B416">
        <v>106870</v>
      </c>
      <c r="C416">
        <v>5</v>
      </c>
      <c r="D416" t="s">
        <v>28</v>
      </c>
      <c r="E416">
        <v>0.57999999999999996</v>
      </c>
      <c r="F416">
        <v>0.8</v>
      </c>
      <c r="G416">
        <v>0.31</v>
      </c>
      <c r="H416" t="s">
        <v>17</v>
      </c>
    </row>
    <row r="417" spans="1:8" x14ac:dyDescent="0.25">
      <c r="A417" t="s">
        <v>11</v>
      </c>
      <c r="B417">
        <v>32147</v>
      </c>
      <c r="C417">
        <v>7</v>
      </c>
      <c r="D417" t="s">
        <v>28</v>
      </c>
      <c r="E417">
        <v>0.03</v>
      </c>
      <c r="F417">
        <v>1.1399999999999999</v>
      </c>
      <c r="G417">
        <v>0.12</v>
      </c>
      <c r="H417" t="s">
        <v>13</v>
      </c>
    </row>
    <row r="418" spans="1:8" x14ac:dyDescent="0.25">
      <c r="A418" t="s">
        <v>16</v>
      </c>
      <c r="B418">
        <v>140463</v>
      </c>
      <c r="C418">
        <v>7</v>
      </c>
      <c r="D418" t="s">
        <v>9</v>
      </c>
      <c r="E418">
        <v>0.69</v>
      </c>
      <c r="F418">
        <v>1.45</v>
      </c>
      <c r="G418">
        <v>0.55000000000000004</v>
      </c>
      <c r="H418" t="s">
        <v>17</v>
      </c>
    </row>
    <row r="419" spans="1:8" x14ac:dyDescent="0.25">
      <c r="A419" t="s">
        <v>31</v>
      </c>
      <c r="B419">
        <v>148623</v>
      </c>
      <c r="C419">
        <v>11</v>
      </c>
      <c r="D419" t="s">
        <v>28</v>
      </c>
      <c r="E419">
        <v>0.35</v>
      </c>
      <c r="F419">
        <v>0.94</v>
      </c>
      <c r="G419">
        <v>0.72</v>
      </c>
      <c r="H419" t="s">
        <v>10</v>
      </c>
    </row>
    <row r="420" spans="1:8" x14ac:dyDescent="0.25">
      <c r="A420" t="s">
        <v>11</v>
      </c>
      <c r="B420">
        <v>49360</v>
      </c>
      <c r="C420">
        <v>25</v>
      </c>
      <c r="D420" t="s">
        <v>28</v>
      </c>
      <c r="E420">
        <v>0.44</v>
      </c>
      <c r="F420">
        <v>0.63</v>
      </c>
      <c r="G420">
        <v>0.12</v>
      </c>
      <c r="H420" t="s">
        <v>13</v>
      </c>
    </row>
    <row r="421" spans="1:8" x14ac:dyDescent="0.25">
      <c r="A421" t="s">
        <v>24</v>
      </c>
      <c r="B421">
        <v>45605</v>
      </c>
      <c r="C421">
        <v>5</v>
      </c>
      <c r="D421" t="s">
        <v>9</v>
      </c>
      <c r="E421">
        <v>0.49</v>
      </c>
      <c r="F421">
        <v>1.43</v>
      </c>
      <c r="G421">
        <v>0.55000000000000004</v>
      </c>
      <c r="H421" t="s">
        <v>17</v>
      </c>
    </row>
    <row r="422" spans="1:8" x14ac:dyDescent="0.25">
      <c r="A422" t="s">
        <v>24</v>
      </c>
      <c r="B422">
        <v>103953</v>
      </c>
      <c r="C422">
        <v>18</v>
      </c>
      <c r="D422" t="s">
        <v>9</v>
      </c>
      <c r="E422">
        <v>0.93</v>
      </c>
      <c r="F422">
        <v>0.63</v>
      </c>
      <c r="G422">
        <v>0.45</v>
      </c>
      <c r="H422" t="s">
        <v>17</v>
      </c>
    </row>
    <row r="423" spans="1:8" x14ac:dyDescent="0.25">
      <c r="A423" t="s">
        <v>34</v>
      </c>
      <c r="B423">
        <v>76531</v>
      </c>
      <c r="C423">
        <v>4</v>
      </c>
      <c r="D423" t="s">
        <v>15</v>
      </c>
      <c r="E423">
        <v>0.97</v>
      </c>
      <c r="F423">
        <v>0.5</v>
      </c>
      <c r="G423">
        <v>0.47</v>
      </c>
      <c r="H423" t="s">
        <v>17</v>
      </c>
    </row>
    <row r="424" spans="1:8" x14ac:dyDescent="0.25">
      <c r="A424" t="s">
        <v>14</v>
      </c>
      <c r="B424">
        <v>139198</v>
      </c>
      <c r="C424">
        <v>27</v>
      </c>
      <c r="D424" t="s">
        <v>12</v>
      </c>
      <c r="E424">
        <v>0.21</v>
      </c>
      <c r="F424">
        <v>1.43</v>
      </c>
      <c r="G424">
        <v>0.79</v>
      </c>
      <c r="H424" t="s">
        <v>10</v>
      </c>
    </row>
    <row r="425" spans="1:8" x14ac:dyDescent="0.25">
      <c r="A425" t="s">
        <v>18</v>
      </c>
      <c r="B425">
        <v>111199</v>
      </c>
      <c r="C425">
        <v>0</v>
      </c>
      <c r="D425" t="s">
        <v>28</v>
      </c>
      <c r="E425">
        <v>0.12</v>
      </c>
      <c r="F425">
        <v>1.1299999999999999</v>
      </c>
      <c r="G425">
        <v>0.66</v>
      </c>
      <c r="H425" t="s">
        <v>17</v>
      </c>
    </row>
    <row r="426" spans="1:8" x14ac:dyDescent="0.25">
      <c r="A426" t="s">
        <v>24</v>
      </c>
      <c r="B426">
        <v>65321</v>
      </c>
      <c r="C426">
        <v>19</v>
      </c>
      <c r="D426" t="s">
        <v>12</v>
      </c>
      <c r="E426">
        <v>0.22</v>
      </c>
      <c r="F426">
        <v>1.31</v>
      </c>
      <c r="G426">
        <v>0.39</v>
      </c>
      <c r="H426" t="s">
        <v>17</v>
      </c>
    </row>
    <row r="427" spans="1:8" x14ac:dyDescent="0.25">
      <c r="A427" t="s">
        <v>25</v>
      </c>
      <c r="B427">
        <v>77218</v>
      </c>
      <c r="C427">
        <v>27</v>
      </c>
      <c r="D427" t="s">
        <v>15</v>
      </c>
      <c r="E427">
        <v>0.54</v>
      </c>
      <c r="F427">
        <v>1</v>
      </c>
      <c r="G427">
        <v>0.4</v>
      </c>
      <c r="H427" t="s">
        <v>17</v>
      </c>
    </row>
    <row r="428" spans="1:8" x14ac:dyDescent="0.25">
      <c r="A428" t="s">
        <v>26</v>
      </c>
      <c r="B428">
        <v>39752</v>
      </c>
      <c r="C428">
        <v>1</v>
      </c>
      <c r="D428" t="s">
        <v>15</v>
      </c>
      <c r="E428">
        <v>0.77</v>
      </c>
      <c r="F428">
        <v>0.71</v>
      </c>
      <c r="G428">
        <v>0.43</v>
      </c>
      <c r="H428" t="s">
        <v>17</v>
      </c>
    </row>
    <row r="429" spans="1:8" x14ac:dyDescent="0.25">
      <c r="A429" t="s">
        <v>19</v>
      </c>
      <c r="B429">
        <v>34792</v>
      </c>
      <c r="C429">
        <v>14</v>
      </c>
      <c r="D429" t="s">
        <v>28</v>
      </c>
      <c r="E429">
        <v>0.12</v>
      </c>
      <c r="F429">
        <v>1.1200000000000001</v>
      </c>
      <c r="G429">
        <v>0.28000000000000003</v>
      </c>
      <c r="H429" t="s">
        <v>13</v>
      </c>
    </row>
    <row r="430" spans="1:8" x14ac:dyDescent="0.25">
      <c r="A430" t="s">
        <v>26</v>
      </c>
      <c r="B430">
        <v>44591</v>
      </c>
      <c r="C430">
        <v>29</v>
      </c>
      <c r="D430" t="s">
        <v>9</v>
      </c>
      <c r="E430">
        <v>0.26</v>
      </c>
      <c r="F430">
        <v>1.37</v>
      </c>
      <c r="G430">
        <v>0.35</v>
      </c>
      <c r="H430" t="s">
        <v>17</v>
      </c>
    </row>
    <row r="431" spans="1:8" x14ac:dyDescent="0.25">
      <c r="A431" t="s">
        <v>26</v>
      </c>
      <c r="B431">
        <v>35424</v>
      </c>
      <c r="C431">
        <v>17</v>
      </c>
      <c r="D431" t="s">
        <v>15</v>
      </c>
      <c r="E431">
        <v>0.87</v>
      </c>
      <c r="F431">
        <v>1.0900000000000001</v>
      </c>
      <c r="G431">
        <v>0.35</v>
      </c>
      <c r="H431" t="s">
        <v>17</v>
      </c>
    </row>
    <row r="432" spans="1:8" x14ac:dyDescent="0.25">
      <c r="A432" t="s">
        <v>26</v>
      </c>
      <c r="B432">
        <v>89789</v>
      </c>
      <c r="C432">
        <v>28</v>
      </c>
      <c r="D432" t="s">
        <v>28</v>
      </c>
      <c r="E432">
        <v>0.39</v>
      </c>
      <c r="F432">
        <v>1.35</v>
      </c>
      <c r="G432">
        <v>0.5</v>
      </c>
      <c r="H432" t="s">
        <v>17</v>
      </c>
    </row>
    <row r="433" spans="1:8" x14ac:dyDescent="0.25">
      <c r="A433" t="s">
        <v>8</v>
      </c>
      <c r="B433">
        <v>38804</v>
      </c>
      <c r="C433">
        <v>1</v>
      </c>
      <c r="D433" t="s">
        <v>15</v>
      </c>
      <c r="E433">
        <v>0.33</v>
      </c>
      <c r="F433">
        <v>0.61</v>
      </c>
      <c r="G433">
        <v>0.76</v>
      </c>
      <c r="H433" t="s">
        <v>10</v>
      </c>
    </row>
    <row r="434" spans="1:8" x14ac:dyDescent="0.25">
      <c r="A434" t="s">
        <v>34</v>
      </c>
      <c r="B434">
        <v>58400</v>
      </c>
      <c r="C434">
        <v>20</v>
      </c>
      <c r="D434" t="s">
        <v>12</v>
      </c>
      <c r="E434">
        <v>0.97</v>
      </c>
      <c r="F434">
        <v>0.88</v>
      </c>
      <c r="G434">
        <v>0.4</v>
      </c>
      <c r="H434" t="s">
        <v>17</v>
      </c>
    </row>
    <row r="435" spans="1:8" x14ac:dyDescent="0.25">
      <c r="A435" t="s">
        <v>27</v>
      </c>
      <c r="B435">
        <v>129525</v>
      </c>
      <c r="C435">
        <v>12</v>
      </c>
      <c r="D435" t="s">
        <v>12</v>
      </c>
      <c r="E435">
        <v>0.74</v>
      </c>
      <c r="F435">
        <v>0.55000000000000004</v>
      </c>
      <c r="G435">
        <v>0.64</v>
      </c>
      <c r="H435" t="s">
        <v>17</v>
      </c>
    </row>
    <row r="436" spans="1:8" x14ac:dyDescent="0.25">
      <c r="A436" t="s">
        <v>21</v>
      </c>
      <c r="B436">
        <v>145183</v>
      </c>
      <c r="C436">
        <v>23</v>
      </c>
      <c r="D436" t="s">
        <v>9</v>
      </c>
      <c r="E436">
        <v>0.94</v>
      </c>
      <c r="F436">
        <v>1.48</v>
      </c>
      <c r="G436">
        <v>0.14000000000000001</v>
      </c>
      <c r="H436" t="s">
        <v>13</v>
      </c>
    </row>
    <row r="437" spans="1:8" x14ac:dyDescent="0.25">
      <c r="A437" t="s">
        <v>32</v>
      </c>
      <c r="B437">
        <v>82066</v>
      </c>
      <c r="C437">
        <v>10</v>
      </c>
      <c r="D437" t="s">
        <v>28</v>
      </c>
      <c r="E437">
        <v>1</v>
      </c>
      <c r="F437">
        <v>1.3</v>
      </c>
      <c r="G437">
        <v>0.61</v>
      </c>
      <c r="H437" t="s">
        <v>17</v>
      </c>
    </row>
    <row r="438" spans="1:8" x14ac:dyDescent="0.25">
      <c r="A438" t="s">
        <v>27</v>
      </c>
      <c r="B438">
        <v>59059</v>
      </c>
      <c r="C438">
        <v>21</v>
      </c>
      <c r="D438" t="s">
        <v>9</v>
      </c>
      <c r="E438">
        <v>0.93</v>
      </c>
      <c r="F438">
        <v>1.1399999999999999</v>
      </c>
      <c r="G438">
        <v>0.62</v>
      </c>
      <c r="H438" t="s">
        <v>17</v>
      </c>
    </row>
    <row r="439" spans="1:8" x14ac:dyDescent="0.25">
      <c r="A439" t="s">
        <v>11</v>
      </c>
      <c r="B439">
        <v>57499</v>
      </c>
      <c r="C439">
        <v>11</v>
      </c>
      <c r="D439" t="s">
        <v>28</v>
      </c>
      <c r="E439">
        <v>0.17</v>
      </c>
      <c r="F439">
        <v>1.22</v>
      </c>
      <c r="G439">
        <v>0.18</v>
      </c>
      <c r="H439" t="s">
        <v>13</v>
      </c>
    </row>
    <row r="440" spans="1:8" x14ac:dyDescent="0.25">
      <c r="A440" t="s">
        <v>18</v>
      </c>
      <c r="B440">
        <v>122103</v>
      </c>
      <c r="C440">
        <v>8</v>
      </c>
      <c r="D440" t="s">
        <v>9</v>
      </c>
      <c r="E440">
        <v>0.2</v>
      </c>
      <c r="F440">
        <v>1.07</v>
      </c>
      <c r="G440">
        <v>0.56000000000000005</v>
      </c>
      <c r="H440" t="s">
        <v>17</v>
      </c>
    </row>
    <row r="441" spans="1:8" x14ac:dyDescent="0.25">
      <c r="A441" t="s">
        <v>21</v>
      </c>
      <c r="B441">
        <v>47806</v>
      </c>
      <c r="C441">
        <v>22</v>
      </c>
      <c r="D441" t="s">
        <v>9</v>
      </c>
      <c r="E441">
        <v>0.51</v>
      </c>
      <c r="F441">
        <v>1</v>
      </c>
      <c r="G441">
        <v>0.08</v>
      </c>
      <c r="H441" t="s">
        <v>13</v>
      </c>
    </row>
    <row r="442" spans="1:8" x14ac:dyDescent="0.25">
      <c r="A442" t="s">
        <v>24</v>
      </c>
      <c r="B442">
        <v>104702</v>
      </c>
      <c r="C442">
        <v>10</v>
      </c>
      <c r="D442" t="s">
        <v>12</v>
      </c>
      <c r="E442">
        <v>0.64</v>
      </c>
      <c r="F442">
        <v>0.64</v>
      </c>
      <c r="G442">
        <v>0.67</v>
      </c>
      <c r="H442" t="s">
        <v>17</v>
      </c>
    </row>
    <row r="443" spans="1:8" x14ac:dyDescent="0.25">
      <c r="A443" t="s">
        <v>21</v>
      </c>
      <c r="B443">
        <v>37373</v>
      </c>
      <c r="C443">
        <v>17</v>
      </c>
      <c r="D443" t="s">
        <v>28</v>
      </c>
      <c r="E443">
        <v>0.79</v>
      </c>
      <c r="F443">
        <v>1.18</v>
      </c>
      <c r="G443">
        <v>0.27</v>
      </c>
      <c r="H443" t="s">
        <v>13</v>
      </c>
    </row>
    <row r="444" spans="1:8" x14ac:dyDescent="0.25">
      <c r="A444" t="s">
        <v>27</v>
      </c>
      <c r="B444">
        <v>98519</v>
      </c>
      <c r="C444">
        <v>27</v>
      </c>
      <c r="D444" t="s">
        <v>12</v>
      </c>
      <c r="E444">
        <v>0.81</v>
      </c>
      <c r="F444">
        <v>0.88</v>
      </c>
      <c r="G444">
        <v>0.32</v>
      </c>
      <c r="H444" t="s">
        <v>17</v>
      </c>
    </row>
    <row r="445" spans="1:8" x14ac:dyDescent="0.25">
      <c r="A445" t="s">
        <v>29</v>
      </c>
      <c r="B445">
        <v>72578</v>
      </c>
      <c r="C445">
        <v>15</v>
      </c>
      <c r="D445" t="s">
        <v>12</v>
      </c>
      <c r="E445">
        <v>0.35</v>
      </c>
      <c r="F445">
        <v>0.92</v>
      </c>
      <c r="G445">
        <v>0.8</v>
      </c>
      <c r="H445" t="s">
        <v>10</v>
      </c>
    </row>
    <row r="446" spans="1:8" x14ac:dyDescent="0.25">
      <c r="A446" t="s">
        <v>8</v>
      </c>
      <c r="B446">
        <v>94280</v>
      </c>
      <c r="C446">
        <v>18</v>
      </c>
      <c r="D446" t="s">
        <v>28</v>
      </c>
      <c r="E446">
        <v>0.89</v>
      </c>
      <c r="F446">
        <v>0.79</v>
      </c>
      <c r="G446">
        <v>0.78</v>
      </c>
      <c r="H446" t="s">
        <v>10</v>
      </c>
    </row>
    <row r="447" spans="1:8" x14ac:dyDescent="0.25">
      <c r="A447" t="s">
        <v>25</v>
      </c>
      <c r="B447">
        <v>43777</v>
      </c>
      <c r="C447">
        <v>10</v>
      </c>
      <c r="D447" t="s">
        <v>15</v>
      </c>
      <c r="E447">
        <v>0.9</v>
      </c>
      <c r="F447">
        <v>0.55000000000000004</v>
      </c>
      <c r="G447">
        <v>0.65</v>
      </c>
      <c r="H447" t="s">
        <v>17</v>
      </c>
    </row>
    <row r="448" spans="1:8" x14ac:dyDescent="0.25">
      <c r="A448" t="s">
        <v>33</v>
      </c>
      <c r="B448">
        <v>81040</v>
      </c>
      <c r="C448">
        <v>14</v>
      </c>
      <c r="D448" t="s">
        <v>9</v>
      </c>
      <c r="E448">
        <v>0.85</v>
      </c>
      <c r="F448">
        <v>1.04</v>
      </c>
      <c r="G448">
        <v>0.25</v>
      </c>
      <c r="H448" t="s">
        <v>13</v>
      </c>
    </row>
    <row r="449" spans="1:8" x14ac:dyDescent="0.25">
      <c r="A449" t="s">
        <v>32</v>
      </c>
      <c r="B449">
        <v>97313</v>
      </c>
      <c r="C449">
        <v>6</v>
      </c>
      <c r="D449" t="s">
        <v>12</v>
      </c>
      <c r="E449">
        <v>0.72</v>
      </c>
      <c r="F449">
        <v>1.49</v>
      </c>
      <c r="G449">
        <v>0.57999999999999996</v>
      </c>
      <c r="H449" t="s">
        <v>17</v>
      </c>
    </row>
    <row r="450" spans="1:8" x14ac:dyDescent="0.25">
      <c r="A450" t="s">
        <v>20</v>
      </c>
      <c r="B450">
        <v>59092</v>
      </c>
      <c r="C450">
        <v>26</v>
      </c>
      <c r="D450" t="s">
        <v>28</v>
      </c>
      <c r="E450">
        <v>0.01</v>
      </c>
      <c r="F450">
        <v>0.86</v>
      </c>
      <c r="G450">
        <v>0.54</v>
      </c>
      <c r="H450" t="s">
        <v>17</v>
      </c>
    </row>
    <row r="451" spans="1:8" x14ac:dyDescent="0.25">
      <c r="A451" t="s">
        <v>24</v>
      </c>
      <c r="B451">
        <v>66613</v>
      </c>
      <c r="C451">
        <v>23</v>
      </c>
      <c r="D451" t="s">
        <v>9</v>
      </c>
      <c r="E451">
        <v>0.71</v>
      </c>
      <c r="F451">
        <v>0.86</v>
      </c>
      <c r="G451">
        <v>0.33</v>
      </c>
      <c r="H451" t="s">
        <v>17</v>
      </c>
    </row>
    <row r="452" spans="1:8" x14ac:dyDescent="0.25">
      <c r="A452" t="s">
        <v>11</v>
      </c>
      <c r="B452">
        <v>40292</v>
      </c>
      <c r="C452">
        <v>25</v>
      </c>
      <c r="D452" t="s">
        <v>12</v>
      </c>
      <c r="E452">
        <v>0.09</v>
      </c>
      <c r="F452">
        <v>0.63</v>
      </c>
      <c r="G452">
        <v>0.15</v>
      </c>
      <c r="H452" t="s">
        <v>13</v>
      </c>
    </row>
    <row r="453" spans="1:8" x14ac:dyDescent="0.25">
      <c r="A453" t="s">
        <v>33</v>
      </c>
      <c r="B453">
        <v>111335</v>
      </c>
      <c r="C453">
        <v>0</v>
      </c>
      <c r="D453" t="s">
        <v>9</v>
      </c>
      <c r="E453">
        <v>0.27</v>
      </c>
      <c r="F453">
        <v>1.5</v>
      </c>
      <c r="G453">
        <v>0.09</v>
      </c>
      <c r="H453" t="s">
        <v>13</v>
      </c>
    </row>
    <row r="454" spans="1:8" x14ac:dyDescent="0.25">
      <c r="A454" t="s">
        <v>11</v>
      </c>
      <c r="B454">
        <v>86747</v>
      </c>
      <c r="C454">
        <v>16</v>
      </c>
      <c r="D454" t="s">
        <v>9</v>
      </c>
      <c r="E454">
        <v>0.54</v>
      </c>
      <c r="F454">
        <v>1.1299999999999999</v>
      </c>
      <c r="G454">
        <v>0.11</v>
      </c>
      <c r="H454" t="s">
        <v>13</v>
      </c>
    </row>
    <row r="455" spans="1:8" x14ac:dyDescent="0.25">
      <c r="A455" t="s">
        <v>32</v>
      </c>
      <c r="B455">
        <v>129318</v>
      </c>
      <c r="C455">
        <v>20</v>
      </c>
      <c r="D455" t="s">
        <v>9</v>
      </c>
      <c r="E455">
        <v>0.57999999999999996</v>
      </c>
      <c r="F455">
        <v>1.45</v>
      </c>
      <c r="G455">
        <v>0.32</v>
      </c>
      <c r="H455" t="s">
        <v>17</v>
      </c>
    </row>
    <row r="456" spans="1:8" x14ac:dyDescent="0.25">
      <c r="A456" t="s">
        <v>33</v>
      </c>
      <c r="B456">
        <v>38789</v>
      </c>
      <c r="C456">
        <v>29</v>
      </c>
      <c r="D456" t="s">
        <v>28</v>
      </c>
      <c r="E456">
        <v>0.65</v>
      </c>
      <c r="F456">
        <v>1.23</v>
      </c>
      <c r="G456">
        <v>0.21</v>
      </c>
      <c r="H456" t="s">
        <v>13</v>
      </c>
    </row>
    <row r="457" spans="1:8" x14ac:dyDescent="0.25">
      <c r="A457" t="s">
        <v>24</v>
      </c>
      <c r="B457">
        <v>85823</v>
      </c>
      <c r="C457">
        <v>16</v>
      </c>
      <c r="D457" t="s">
        <v>15</v>
      </c>
      <c r="E457">
        <v>0.66</v>
      </c>
      <c r="F457">
        <v>1.02</v>
      </c>
      <c r="G457">
        <v>0.31</v>
      </c>
      <c r="H457" t="s">
        <v>17</v>
      </c>
    </row>
    <row r="458" spans="1:8" x14ac:dyDescent="0.25">
      <c r="A458" t="s">
        <v>19</v>
      </c>
      <c r="B458">
        <v>123286</v>
      </c>
      <c r="C458">
        <v>17</v>
      </c>
      <c r="D458" t="s">
        <v>15</v>
      </c>
      <c r="E458">
        <v>0.8</v>
      </c>
      <c r="F458">
        <v>0.77</v>
      </c>
      <c r="G458">
        <v>0.27</v>
      </c>
      <c r="H458" t="s">
        <v>13</v>
      </c>
    </row>
    <row r="459" spans="1:8" x14ac:dyDescent="0.25">
      <c r="A459" t="s">
        <v>18</v>
      </c>
      <c r="B459">
        <v>63161</v>
      </c>
      <c r="C459">
        <v>23</v>
      </c>
      <c r="D459" t="s">
        <v>28</v>
      </c>
      <c r="E459">
        <v>0.49</v>
      </c>
      <c r="F459">
        <v>0.57999999999999996</v>
      </c>
      <c r="G459">
        <v>0.55000000000000004</v>
      </c>
      <c r="H459" t="s">
        <v>17</v>
      </c>
    </row>
    <row r="460" spans="1:8" x14ac:dyDescent="0.25">
      <c r="A460" t="s">
        <v>26</v>
      </c>
      <c r="B460">
        <v>103889</v>
      </c>
      <c r="C460">
        <v>10</v>
      </c>
      <c r="D460" t="s">
        <v>28</v>
      </c>
      <c r="E460">
        <v>0.62</v>
      </c>
      <c r="F460">
        <v>0.93</v>
      </c>
      <c r="G460">
        <v>0.42</v>
      </c>
      <c r="H460" t="s">
        <v>17</v>
      </c>
    </row>
    <row r="461" spans="1:8" x14ac:dyDescent="0.25">
      <c r="A461" t="s">
        <v>33</v>
      </c>
      <c r="B461">
        <v>135584</v>
      </c>
      <c r="C461">
        <v>11</v>
      </c>
      <c r="D461" t="s">
        <v>12</v>
      </c>
      <c r="E461">
        <v>0.69</v>
      </c>
      <c r="F461">
        <v>1.38</v>
      </c>
      <c r="G461">
        <v>0.28999999999999998</v>
      </c>
      <c r="H461" t="s">
        <v>13</v>
      </c>
    </row>
    <row r="462" spans="1:8" x14ac:dyDescent="0.25">
      <c r="A462" t="s">
        <v>16</v>
      </c>
      <c r="B462">
        <v>50968</v>
      </c>
      <c r="C462">
        <v>29</v>
      </c>
      <c r="D462" t="s">
        <v>15</v>
      </c>
      <c r="E462">
        <v>0.65</v>
      </c>
      <c r="F462">
        <v>1.25</v>
      </c>
      <c r="G462">
        <v>0.55000000000000004</v>
      </c>
      <c r="H462" t="s">
        <v>17</v>
      </c>
    </row>
    <row r="463" spans="1:8" x14ac:dyDescent="0.25">
      <c r="A463" t="s">
        <v>20</v>
      </c>
      <c r="B463">
        <v>137814</v>
      </c>
      <c r="C463">
        <v>16</v>
      </c>
      <c r="D463" t="s">
        <v>9</v>
      </c>
      <c r="E463">
        <v>0.28000000000000003</v>
      </c>
      <c r="F463">
        <v>0.56999999999999995</v>
      </c>
      <c r="G463">
        <v>0.57999999999999996</v>
      </c>
      <c r="H463" t="s">
        <v>17</v>
      </c>
    </row>
    <row r="464" spans="1:8" x14ac:dyDescent="0.25">
      <c r="A464" t="s">
        <v>20</v>
      </c>
      <c r="B464">
        <v>83015</v>
      </c>
      <c r="C464">
        <v>10</v>
      </c>
      <c r="D464" t="s">
        <v>15</v>
      </c>
      <c r="E464">
        <v>0.04</v>
      </c>
      <c r="F464">
        <v>1.1599999999999999</v>
      </c>
      <c r="G464">
        <v>0.41</v>
      </c>
      <c r="H464" t="s">
        <v>17</v>
      </c>
    </row>
    <row r="465" spans="1:8" x14ac:dyDescent="0.25">
      <c r="A465" t="s">
        <v>26</v>
      </c>
      <c r="B465">
        <v>86862</v>
      </c>
      <c r="C465">
        <v>1</v>
      </c>
      <c r="D465" t="s">
        <v>28</v>
      </c>
      <c r="E465">
        <v>0.21</v>
      </c>
      <c r="F465">
        <v>1.04</v>
      </c>
      <c r="G465">
        <v>0.59</v>
      </c>
      <c r="H465" t="s">
        <v>17</v>
      </c>
    </row>
    <row r="466" spans="1:8" x14ac:dyDescent="0.25">
      <c r="A466" t="s">
        <v>33</v>
      </c>
      <c r="B466">
        <v>115501</v>
      </c>
      <c r="C466">
        <v>10</v>
      </c>
      <c r="D466" t="s">
        <v>9</v>
      </c>
      <c r="E466">
        <v>0.93</v>
      </c>
      <c r="F466">
        <v>0.51</v>
      </c>
      <c r="G466">
        <v>7.0000000000000007E-2</v>
      </c>
      <c r="H466" t="s">
        <v>13</v>
      </c>
    </row>
    <row r="467" spans="1:8" x14ac:dyDescent="0.25">
      <c r="A467" t="s">
        <v>20</v>
      </c>
      <c r="B467">
        <v>141768</v>
      </c>
      <c r="C467">
        <v>0</v>
      </c>
      <c r="D467" t="s">
        <v>9</v>
      </c>
      <c r="E467">
        <v>0.56000000000000005</v>
      </c>
      <c r="F467">
        <v>1</v>
      </c>
      <c r="G467">
        <v>0.36</v>
      </c>
      <c r="H467" t="s">
        <v>17</v>
      </c>
    </row>
    <row r="468" spans="1:8" x14ac:dyDescent="0.25">
      <c r="A468" t="s">
        <v>31</v>
      </c>
      <c r="B468">
        <v>53524</v>
      </c>
      <c r="C468">
        <v>25</v>
      </c>
      <c r="D468" t="s">
        <v>12</v>
      </c>
      <c r="E468">
        <v>0.24</v>
      </c>
      <c r="F468">
        <v>0.82</v>
      </c>
      <c r="G468">
        <v>0.75</v>
      </c>
      <c r="H468" t="s">
        <v>10</v>
      </c>
    </row>
    <row r="469" spans="1:8" x14ac:dyDescent="0.25">
      <c r="A469" t="s">
        <v>30</v>
      </c>
      <c r="B469">
        <v>38419</v>
      </c>
      <c r="C469">
        <v>16</v>
      </c>
      <c r="D469" t="s">
        <v>15</v>
      </c>
      <c r="E469">
        <v>0.08</v>
      </c>
      <c r="F469">
        <v>1.21</v>
      </c>
      <c r="G469">
        <v>0.28000000000000003</v>
      </c>
      <c r="H469" t="s">
        <v>13</v>
      </c>
    </row>
    <row r="470" spans="1:8" x14ac:dyDescent="0.25">
      <c r="A470" t="s">
        <v>27</v>
      </c>
      <c r="B470">
        <v>94800</v>
      </c>
      <c r="C470">
        <v>4</v>
      </c>
      <c r="D470" t="s">
        <v>12</v>
      </c>
      <c r="E470">
        <v>0.19</v>
      </c>
      <c r="F470">
        <v>1.29</v>
      </c>
      <c r="G470">
        <v>0.48</v>
      </c>
      <c r="H470" t="s">
        <v>17</v>
      </c>
    </row>
    <row r="471" spans="1:8" x14ac:dyDescent="0.25">
      <c r="A471" t="s">
        <v>25</v>
      </c>
      <c r="B471">
        <v>111976</v>
      </c>
      <c r="C471">
        <v>22</v>
      </c>
      <c r="D471" t="s">
        <v>15</v>
      </c>
      <c r="E471">
        <v>0.37</v>
      </c>
      <c r="F471">
        <v>1.31</v>
      </c>
      <c r="G471">
        <v>0.51</v>
      </c>
      <c r="H471" t="s">
        <v>17</v>
      </c>
    </row>
    <row r="472" spans="1:8" x14ac:dyDescent="0.25">
      <c r="A472" t="s">
        <v>14</v>
      </c>
      <c r="B472">
        <v>67909</v>
      </c>
      <c r="C472">
        <v>8</v>
      </c>
      <c r="D472" t="s">
        <v>15</v>
      </c>
      <c r="E472">
        <v>0.2</v>
      </c>
      <c r="F472">
        <v>0.87</v>
      </c>
      <c r="G472">
        <v>0.83</v>
      </c>
      <c r="H472" t="s">
        <v>10</v>
      </c>
    </row>
    <row r="473" spans="1:8" x14ac:dyDescent="0.25">
      <c r="A473" t="s">
        <v>19</v>
      </c>
      <c r="B473">
        <v>46934</v>
      </c>
      <c r="C473">
        <v>6</v>
      </c>
      <c r="D473" t="s">
        <v>28</v>
      </c>
      <c r="E473">
        <v>0.41</v>
      </c>
      <c r="F473">
        <v>0.64</v>
      </c>
      <c r="G473">
        <v>0.22</v>
      </c>
      <c r="H473" t="s">
        <v>13</v>
      </c>
    </row>
    <row r="474" spans="1:8" x14ac:dyDescent="0.25">
      <c r="A474" t="s">
        <v>18</v>
      </c>
      <c r="B474">
        <v>41586</v>
      </c>
      <c r="C474">
        <v>23</v>
      </c>
      <c r="D474" t="s">
        <v>28</v>
      </c>
      <c r="E474">
        <v>0.27</v>
      </c>
      <c r="F474">
        <v>0.91</v>
      </c>
      <c r="G474">
        <v>0.66</v>
      </c>
      <c r="H474" t="s">
        <v>17</v>
      </c>
    </row>
    <row r="475" spans="1:8" x14ac:dyDescent="0.25">
      <c r="A475" t="s">
        <v>18</v>
      </c>
      <c r="B475">
        <v>77013</v>
      </c>
      <c r="C475">
        <v>29</v>
      </c>
      <c r="D475" t="s">
        <v>9</v>
      </c>
      <c r="E475">
        <v>0.13</v>
      </c>
      <c r="F475">
        <v>0.8</v>
      </c>
      <c r="G475">
        <v>0.53</v>
      </c>
      <c r="H475" t="s">
        <v>17</v>
      </c>
    </row>
    <row r="476" spans="1:8" x14ac:dyDescent="0.25">
      <c r="A476" t="s">
        <v>24</v>
      </c>
      <c r="B476">
        <v>133693</v>
      </c>
      <c r="C476">
        <v>3</v>
      </c>
      <c r="D476" t="s">
        <v>15</v>
      </c>
      <c r="E476">
        <v>0.25</v>
      </c>
      <c r="F476">
        <v>0.56000000000000005</v>
      </c>
      <c r="G476">
        <v>0.35</v>
      </c>
      <c r="H476" t="s">
        <v>17</v>
      </c>
    </row>
    <row r="477" spans="1:8" x14ac:dyDescent="0.25">
      <c r="A477" t="s">
        <v>11</v>
      </c>
      <c r="B477">
        <v>78825</v>
      </c>
      <c r="C477">
        <v>21</v>
      </c>
      <c r="D477" t="s">
        <v>28</v>
      </c>
      <c r="E477">
        <v>0.37</v>
      </c>
      <c r="F477">
        <v>0.85</v>
      </c>
      <c r="G477">
        <v>0.19</v>
      </c>
      <c r="H477" t="s">
        <v>13</v>
      </c>
    </row>
    <row r="478" spans="1:8" x14ac:dyDescent="0.25">
      <c r="A478" t="s">
        <v>16</v>
      </c>
      <c r="B478">
        <v>131505</v>
      </c>
      <c r="C478">
        <v>16</v>
      </c>
      <c r="D478" t="s">
        <v>28</v>
      </c>
      <c r="E478">
        <v>0.56999999999999995</v>
      </c>
      <c r="F478">
        <v>1.25</v>
      </c>
      <c r="G478">
        <v>0.45</v>
      </c>
      <c r="H478" t="s">
        <v>17</v>
      </c>
    </row>
    <row r="479" spans="1:8" x14ac:dyDescent="0.25">
      <c r="A479" t="s">
        <v>31</v>
      </c>
      <c r="B479">
        <v>90107</v>
      </c>
      <c r="C479">
        <v>9</v>
      </c>
      <c r="D479" t="s">
        <v>28</v>
      </c>
      <c r="E479">
        <v>0.86</v>
      </c>
      <c r="F479">
        <v>0.92</v>
      </c>
      <c r="G479">
        <v>0.72</v>
      </c>
      <c r="H479" t="s">
        <v>10</v>
      </c>
    </row>
    <row r="480" spans="1:8" x14ac:dyDescent="0.25">
      <c r="A480" t="s">
        <v>22</v>
      </c>
      <c r="B480">
        <v>71916</v>
      </c>
      <c r="C480">
        <v>28</v>
      </c>
      <c r="D480" t="s">
        <v>12</v>
      </c>
      <c r="E480">
        <v>0.96</v>
      </c>
      <c r="F480">
        <v>1.31</v>
      </c>
      <c r="G480">
        <v>0.48</v>
      </c>
      <c r="H480" t="s">
        <v>17</v>
      </c>
    </row>
    <row r="481" spans="1:8" x14ac:dyDescent="0.25">
      <c r="A481" t="s">
        <v>29</v>
      </c>
      <c r="B481">
        <v>129794</v>
      </c>
      <c r="C481">
        <v>8</v>
      </c>
      <c r="D481" t="s">
        <v>28</v>
      </c>
      <c r="E481">
        <v>0.56999999999999995</v>
      </c>
      <c r="F481">
        <v>1.36</v>
      </c>
      <c r="G481">
        <v>0.82</v>
      </c>
      <c r="H481" t="s">
        <v>10</v>
      </c>
    </row>
    <row r="482" spans="1:8" x14ac:dyDescent="0.25">
      <c r="A482" t="s">
        <v>11</v>
      </c>
      <c r="B482">
        <v>82186</v>
      </c>
      <c r="C482">
        <v>8</v>
      </c>
      <c r="D482" t="s">
        <v>12</v>
      </c>
      <c r="E482">
        <v>0.18</v>
      </c>
      <c r="F482">
        <v>1.42</v>
      </c>
      <c r="G482">
        <v>0.17</v>
      </c>
      <c r="H482" t="s">
        <v>13</v>
      </c>
    </row>
    <row r="483" spans="1:8" x14ac:dyDescent="0.25">
      <c r="A483" t="s">
        <v>32</v>
      </c>
      <c r="B483">
        <v>72531</v>
      </c>
      <c r="C483">
        <v>15</v>
      </c>
      <c r="D483" t="s">
        <v>28</v>
      </c>
      <c r="E483">
        <v>0.51</v>
      </c>
      <c r="F483">
        <v>1.31</v>
      </c>
      <c r="G483">
        <v>0.32</v>
      </c>
      <c r="H483" t="s">
        <v>17</v>
      </c>
    </row>
    <row r="484" spans="1:8" x14ac:dyDescent="0.25">
      <c r="A484" t="s">
        <v>14</v>
      </c>
      <c r="B484">
        <v>127596</v>
      </c>
      <c r="C484">
        <v>19</v>
      </c>
      <c r="D484" t="s">
        <v>12</v>
      </c>
      <c r="E484">
        <v>0.87</v>
      </c>
      <c r="F484">
        <v>1.44</v>
      </c>
      <c r="G484">
        <v>0.9</v>
      </c>
      <c r="H484" t="s">
        <v>10</v>
      </c>
    </row>
    <row r="485" spans="1:8" x14ac:dyDescent="0.25">
      <c r="A485" t="s">
        <v>29</v>
      </c>
      <c r="B485">
        <v>124826</v>
      </c>
      <c r="C485">
        <v>16</v>
      </c>
      <c r="D485" t="s">
        <v>15</v>
      </c>
      <c r="E485">
        <v>0.53</v>
      </c>
      <c r="F485">
        <v>0.56000000000000005</v>
      </c>
      <c r="G485">
        <v>0.73</v>
      </c>
      <c r="H485" t="s">
        <v>10</v>
      </c>
    </row>
    <row r="486" spans="1:8" x14ac:dyDescent="0.25">
      <c r="A486" t="s">
        <v>21</v>
      </c>
      <c r="B486">
        <v>48320</v>
      </c>
      <c r="C486">
        <v>10</v>
      </c>
      <c r="D486" t="s">
        <v>15</v>
      </c>
      <c r="E486">
        <v>0.8</v>
      </c>
      <c r="F486">
        <v>0.98</v>
      </c>
      <c r="G486">
        <v>0.08</v>
      </c>
      <c r="H486" t="s">
        <v>13</v>
      </c>
    </row>
    <row r="487" spans="1:8" x14ac:dyDescent="0.25">
      <c r="A487" t="s">
        <v>18</v>
      </c>
      <c r="B487">
        <v>62449</v>
      </c>
      <c r="C487">
        <v>9</v>
      </c>
      <c r="D487" t="s">
        <v>9</v>
      </c>
      <c r="E487">
        <v>0.12</v>
      </c>
      <c r="F487">
        <v>1.46</v>
      </c>
      <c r="G487">
        <v>0.42</v>
      </c>
      <c r="H487" t="s">
        <v>17</v>
      </c>
    </row>
    <row r="488" spans="1:8" x14ac:dyDescent="0.25">
      <c r="A488" t="s">
        <v>8</v>
      </c>
      <c r="B488">
        <v>84097</v>
      </c>
      <c r="C488">
        <v>24</v>
      </c>
      <c r="D488" t="s">
        <v>9</v>
      </c>
      <c r="E488">
        <v>0.72</v>
      </c>
      <c r="F488">
        <v>1.25</v>
      </c>
      <c r="G488">
        <v>0.83</v>
      </c>
      <c r="H488" t="s">
        <v>10</v>
      </c>
    </row>
    <row r="489" spans="1:8" x14ac:dyDescent="0.25">
      <c r="A489" t="s">
        <v>14</v>
      </c>
      <c r="B489">
        <v>64629</v>
      </c>
      <c r="C489">
        <v>28</v>
      </c>
      <c r="D489" t="s">
        <v>9</v>
      </c>
      <c r="E489">
        <v>0.63</v>
      </c>
      <c r="F489">
        <v>0.78</v>
      </c>
      <c r="G489">
        <v>0.93</v>
      </c>
      <c r="H489" t="s">
        <v>10</v>
      </c>
    </row>
    <row r="490" spans="1:8" x14ac:dyDescent="0.25">
      <c r="A490" t="s">
        <v>32</v>
      </c>
      <c r="B490">
        <v>38859</v>
      </c>
      <c r="C490">
        <v>12</v>
      </c>
      <c r="D490" t="s">
        <v>15</v>
      </c>
      <c r="E490">
        <v>0.5</v>
      </c>
      <c r="F490">
        <v>0.57999999999999996</v>
      </c>
      <c r="G490">
        <v>0.55000000000000004</v>
      </c>
      <c r="H490" t="s">
        <v>17</v>
      </c>
    </row>
    <row r="491" spans="1:8" x14ac:dyDescent="0.25">
      <c r="A491" t="s">
        <v>32</v>
      </c>
      <c r="B491">
        <v>40082</v>
      </c>
      <c r="C491">
        <v>29</v>
      </c>
      <c r="D491" t="s">
        <v>9</v>
      </c>
      <c r="E491">
        <v>0.94</v>
      </c>
      <c r="F491">
        <v>1.43</v>
      </c>
      <c r="G491">
        <v>0.38</v>
      </c>
      <c r="H491" t="s">
        <v>17</v>
      </c>
    </row>
    <row r="492" spans="1:8" x14ac:dyDescent="0.25">
      <c r="A492" t="s">
        <v>24</v>
      </c>
      <c r="B492">
        <v>136153</v>
      </c>
      <c r="C492">
        <v>25</v>
      </c>
      <c r="D492" t="s">
        <v>9</v>
      </c>
      <c r="E492">
        <v>0.32</v>
      </c>
      <c r="F492">
        <v>0.92</v>
      </c>
      <c r="G492">
        <v>0.39</v>
      </c>
      <c r="H492" t="s">
        <v>17</v>
      </c>
    </row>
    <row r="493" spans="1:8" x14ac:dyDescent="0.25">
      <c r="A493" t="s">
        <v>14</v>
      </c>
      <c r="B493">
        <v>70612</v>
      </c>
      <c r="C493">
        <v>10</v>
      </c>
      <c r="D493" t="s">
        <v>9</v>
      </c>
      <c r="E493">
        <v>0.93</v>
      </c>
      <c r="F493">
        <v>1.1499999999999999</v>
      </c>
      <c r="G493">
        <v>0.79</v>
      </c>
      <c r="H493" t="s">
        <v>10</v>
      </c>
    </row>
    <row r="494" spans="1:8" x14ac:dyDescent="0.25">
      <c r="A494" t="s">
        <v>16</v>
      </c>
      <c r="B494">
        <v>118444</v>
      </c>
      <c r="C494">
        <v>8</v>
      </c>
      <c r="D494" t="s">
        <v>9</v>
      </c>
      <c r="E494">
        <v>0.38</v>
      </c>
      <c r="F494">
        <v>0.78</v>
      </c>
      <c r="G494">
        <v>0.59</v>
      </c>
      <c r="H494" t="s">
        <v>17</v>
      </c>
    </row>
    <row r="495" spans="1:8" x14ac:dyDescent="0.25">
      <c r="A495" t="s">
        <v>11</v>
      </c>
      <c r="B495">
        <v>94204</v>
      </c>
      <c r="C495">
        <v>25</v>
      </c>
      <c r="D495" t="s">
        <v>28</v>
      </c>
      <c r="E495">
        <v>0.59</v>
      </c>
      <c r="F495">
        <v>1.04</v>
      </c>
      <c r="G495">
        <v>0.05</v>
      </c>
      <c r="H495" t="s">
        <v>13</v>
      </c>
    </row>
    <row r="496" spans="1:8" x14ac:dyDescent="0.25">
      <c r="A496" t="s">
        <v>30</v>
      </c>
      <c r="B496">
        <v>39852</v>
      </c>
      <c r="C496">
        <v>11</v>
      </c>
      <c r="D496" t="s">
        <v>15</v>
      </c>
      <c r="E496">
        <v>0.89</v>
      </c>
      <c r="F496">
        <v>1.1399999999999999</v>
      </c>
      <c r="G496">
        <v>0.15</v>
      </c>
      <c r="H496" t="s">
        <v>13</v>
      </c>
    </row>
    <row r="497" spans="1:8" x14ac:dyDescent="0.25">
      <c r="A497" t="s">
        <v>33</v>
      </c>
      <c r="B497">
        <v>144476</v>
      </c>
      <c r="C497">
        <v>29</v>
      </c>
      <c r="D497" t="s">
        <v>15</v>
      </c>
      <c r="E497">
        <v>0.41</v>
      </c>
      <c r="F497">
        <v>0.61</v>
      </c>
      <c r="G497">
        <v>7.0000000000000007E-2</v>
      </c>
      <c r="H497" t="s">
        <v>13</v>
      </c>
    </row>
    <row r="498" spans="1:8" x14ac:dyDescent="0.25">
      <c r="A498" t="s">
        <v>16</v>
      </c>
      <c r="B498">
        <v>128336</v>
      </c>
      <c r="C498">
        <v>7</v>
      </c>
      <c r="D498" t="s">
        <v>15</v>
      </c>
      <c r="E498">
        <v>0.35</v>
      </c>
      <c r="F498">
        <v>0.83</v>
      </c>
      <c r="G498">
        <v>0.49</v>
      </c>
      <c r="H498" t="s">
        <v>17</v>
      </c>
    </row>
    <row r="499" spans="1:8" x14ac:dyDescent="0.25">
      <c r="A499" t="s">
        <v>22</v>
      </c>
      <c r="B499">
        <v>77598</v>
      </c>
      <c r="C499">
        <v>8</v>
      </c>
      <c r="D499" t="s">
        <v>28</v>
      </c>
      <c r="E499">
        <v>0.46</v>
      </c>
      <c r="F499">
        <v>1.21</v>
      </c>
      <c r="G499">
        <v>0.63</v>
      </c>
      <c r="H499" t="s">
        <v>17</v>
      </c>
    </row>
    <row r="500" spans="1:8" x14ac:dyDescent="0.25">
      <c r="A500" t="s">
        <v>11</v>
      </c>
      <c r="B500">
        <v>60628</v>
      </c>
      <c r="C500">
        <v>2</v>
      </c>
      <c r="D500" t="s">
        <v>15</v>
      </c>
      <c r="E500">
        <v>0.02</v>
      </c>
      <c r="F500">
        <v>0.67</v>
      </c>
      <c r="G500">
        <v>0.2</v>
      </c>
      <c r="H500" t="s">
        <v>13</v>
      </c>
    </row>
    <row r="501" spans="1:8" x14ac:dyDescent="0.25">
      <c r="A501" t="s">
        <v>26</v>
      </c>
      <c r="B501">
        <v>96188</v>
      </c>
      <c r="C501">
        <v>7</v>
      </c>
      <c r="D501" t="s">
        <v>15</v>
      </c>
      <c r="E501">
        <v>0.4</v>
      </c>
      <c r="F501">
        <v>0.57999999999999996</v>
      </c>
      <c r="G501">
        <v>0.59</v>
      </c>
      <c r="H501" t="s">
        <v>17</v>
      </c>
    </row>
    <row r="502" spans="1:8" x14ac:dyDescent="0.25">
      <c r="A502" t="s">
        <v>34</v>
      </c>
      <c r="B502">
        <v>42516</v>
      </c>
      <c r="C502">
        <v>19</v>
      </c>
      <c r="D502" t="s">
        <v>15</v>
      </c>
      <c r="E502">
        <v>0.27</v>
      </c>
      <c r="F502">
        <v>1.0900000000000001</v>
      </c>
      <c r="G502">
        <v>0.5</v>
      </c>
      <c r="H502" t="s">
        <v>17</v>
      </c>
    </row>
    <row r="503" spans="1:8" x14ac:dyDescent="0.25">
      <c r="A503" t="s">
        <v>19</v>
      </c>
      <c r="B503">
        <v>54722</v>
      </c>
      <c r="C503">
        <v>22</v>
      </c>
      <c r="D503" t="s">
        <v>15</v>
      </c>
      <c r="E503">
        <v>0.27</v>
      </c>
      <c r="F503">
        <v>0.96</v>
      </c>
      <c r="G503">
        <v>0.27</v>
      </c>
      <c r="H503" t="s">
        <v>13</v>
      </c>
    </row>
    <row r="504" spans="1:8" x14ac:dyDescent="0.25">
      <c r="A504" t="s">
        <v>25</v>
      </c>
      <c r="B504">
        <v>58743</v>
      </c>
      <c r="C504">
        <v>1</v>
      </c>
      <c r="D504" t="s">
        <v>12</v>
      </c>
      <c r="E504">
        <v>0.24</v>
      </c>
      <c r="F504">
        <v>1.42</v>
      </c>
      <c r="G504">
        <v>0.51</v>
      </c>
      <c r="H504" t="s">
        <v>17</v>
      </c>
    </row>
    <row r="505" spans="1:8" x14ac:dyDescent="0.25">
      <c r="A505" t="s">
        <v>30</v>
      </c>
      <c r="B505">
        <v>31695</v>
      </c>
      <c r="C505">
        <v>19</v>
      </c>
      <c r="D505" t="s">
        <v>12</v>
      </c>
      <c r="E505">
        <v>0.43</v>
      </c>
      <c r="F505">
        <v>0.98</v>
      </c>
      <c r="G505">
        <v>0.21</v>
      </c>
      <c r="H505" t="s">
        <v>13</v>
      </c>
    </row>
    <row r="506" spans="1:8" x14ac:dyDescent="0.25">
      <c r="A506" t="s">
        <v>23</v>
      </c>
      <c r="B506">
        <v>93294</v>
      </c>
      <c r="C506">
        <v>4</v>
      </c>
      <c r="D506" t="s">
        <v>12</v>
      </c>
      <c r="E506">
        <v>0.84</v>
      </c>
      <c r="F506">
        <v>0.54</v>
      </c>
      <c r="G506">
        <v>0.76</v>
      </c>
      <c r="H506" t="s">
        <v>10</v>
      </c>
    </row>
    <row r="507" spans="1:8" x14ac:dyDescent="0.25">
      <c r="A507" t="s">
        <v>11</v>
      </c>
      <c r="B507">
        <v>116310</v>
      </c>
      <c r="C507">
        <v>27</v>
      </c>
      <c r="D507" t="s">
        <v>15</v>
      </c>
      <c r="E507">
        <v>0.72</v>
      </c>
      <c r="F507">
        <v>1.42</v>
      </c>
      <c r="G507">
        <v>0.15</v>
      </c>
      <c r="H507" t="s">
        <v>13</v>
      </c>
    </row>
    <row r="508" spans="1:8" x14ac:dyDescent="0.25">
      <c r="A508" t="s">
        <v>33</v>
      </c>
      <c r="B508">
        <v>60615</v>
      </c>
      <c r="C508">
        <v>18</v>
      </c>
      <c r="D508" t="s">
        <v>9</v>
      </c>
      <c r="E508">
        <v>0.41</v>
      </c>
      <c r="F508">
        <v>0.98</v>
      </c>
      <c r="G508">
        <v>7.0000000000000007E-2</v>
      </c>
      <c r="H508" t="s">
        <v>13</v>
      </c>
    </row>
    <row r="509" spans="1:8" x14ac:dyDescent="0.25">
      <c r="A509" t="s">
        <v>26</v>
      </c>
      <c r="B509">
        <v>64568</v>
      </c>
      <c r="C509">
        <v>6</v>
      </c>
      <c r="D509" t="s">
        <v>15</v>
      </c>
      <c r="E509">
        <v>0.74</v>
      </c>
      <c r="F509">
        <v>1.27</v>
      </c>
      <c r="G509">
        <v>0.56000000000000005</v>
      </c>
      <c r="H509" t="s">
        <v>17</v>
      </c>
    </row>
    <row r="510" spans="1:8" x14ac:dyDescent="0.25">
      <c r="A510" t="s">
        <v>11</v>
      </c>
      <c r="B510">
        <v>34507</v>
      </c>
      <c r="C510">
        <v>20</v>
      </c>
      <c r="D510" t="s">
        <v>28</v>
      </c>
      <c r="E510">
        <v>0.89</v>
      </c>
      <c r="F510">
        <v>0.77</v>
      </c>
      <c r="G510">
        <v>0.26</v>
      </c>
      <c r="H510" t="s">
        <v>13</v>
      </c>
    </row>
    <row r="511" spans="1:8" x14ac:dyDescent="0.25">
      <c r="A511" t="s">
        <v>33</v>
      </c>
      <c r="B511">
        <v>58343</v>
      </c>
      <c r="C511">
        <v>26</v>
      </c>
      <c r="D511" t="s">
        <v>12</v>
      </c>
      <c r="E511">
        <v>0.46</v>
      </c>
      <c r="F511">
        <v>0.76</v>
      </c>
      <c r="G511">
        <v>0.11</v>
      </c>
      <c r="H511" t="s">
        <v>13</v>
      </c>
    </row>
    <row r="512" spans="1:8" x14ac:dyDescent="0.25">
      <c r="A512" t="s">
        <v>11</v>
      </c>
      <c r="B512">
        <v>84544</v>
      </c>
      <c r="C512">
        <v>3</v>
      </c>
      <c r="D512" t="s">
        <v>15</v>
      </c>
      <c r="E512">
        <v>0.41</v>
      </c>
      <c r="F512">
        <v>1.28</v>
      </c>
      <c r="G512">
        <v>0.24</v>
      </c>
      <c r="H512" t="s">
        <v>13</v>
      </c>
    </row>
    <row r="513" spans="1:8" x14ac:dyDescent="0.25">
      <c r="A513" t="s">
        <v>33</v>
      </c>
      <c r="B513">
        <v>112790</v>
      </c>
      <c r="C513">
        <v>2</v>
      </c>
      <c r="D513" t="s">
        <v>9</v>
      </c>
      <c r="E513">
        <v>0.54</v>
      </c>
      <c r="F513">
        <v>0.63</v>
      </c>
      <c r="G513">
        <v>0.24</v>
      </c>
      <c r="H513" t="s">
        <v>13</v>
      </c>
    </row>
    <row r="514" spans="1:8" x14ac:dyDescent="0.25">
      <c r="A514" t="s">
        <v>32</v>
      </c>
      <c r="B514">
        <v>99918</v>
      </c>
      <c r="C514">
        <v>19</v>
      </c>
      <c r="D514" t="s">
        <v>28</v>
      </c>
      <c r="E514">
        <v>0.79</v>
      </c>
      <c r="F514">
        <v>0.96</v>
      </c>
      <c r="G514">
        <v>0.37</v>
      </c>
      <c r="H514" t="s">
        <v>17</v>
      </c>
    </row>
    <row r="515" spans="1:8" x14ac:dyDescent="0.25">
      <c r="A515" t="s">
        <v>23</v>
      </c>
      <c r="B515">
        <v>47290</v>
      </c>
      <c r="C515">
        <v>27</v>
      </c>
      <c r="D515" t="s">
        <v>15</v>
      </c>
      <c r="E515">
        <v>0.3</v>
      </c>
      <c r="F515">
        <v>1.4</v>
      </c>
      <c r="G515">
        <v>0.94</v>
      </c>
      <c r="H515" t="s">
        <v>10</v>
      </c>
    </row>
    <row r="516" spans="1:8" x14ac:dyDescent="0.25">
      <c r="A516" t="s">
        <v>32</v>
      </c>
      <c r="B516">
        <v>78002</v>
      </c>
      <c r="C516">
        <v>21</v>
      </c>
      <c r="D516" t="s">
        <v>28</v>
      </c>
      <c r="E516">
        <v>0.87</v>
      </c>
      <c r="F516">
        <v>1.1599999999999999</v>
      </c>
      <c r="G516">
        <v>0.47</v>
      </c>
      <c r="H516" t="s">
        <v>17</v>
      </c>
    </row>
    <row r="517" spans="1:8" x14ac:dyDescent="0.25">
      <c r="A517" t="s">
        <v>24</v>
      </c>
      <c r="B517">
        <v>39372</v>
      </c>
      <c r="C517">
        <v>24</v>
      </c>
      <c r="D517" t="s">
        <v>28</v>
      </c>
      <c r="E517">
        <v>0.91</v>
      </c>
      <c r="F517">
        <v>0.77</v>
      </c>
      <c r="G517">
        <v>0.66</v>
      </c>
      <c r="H517" t="s">
        <v>17</v>
      </c>
    </row>
    <row r="518" spans="1:8" x14ac:dyDescent="0.25">
      <c r="A518" t="s">
        <v>30</v>
      </c>
      <c r="B518">
        <v>87911</v>
      </c>
      <c r="C518">
        <v>21</v>
      </c>
      <c r="D518" t="s">
        <v>28</v>
      </c>
      <c r="E518">
        <v>0.08</v>
      </c>
      <c r="F518">
        <v>0.55000000000000004</v>
      </c>
      <c r="G518">
        <v>0.16</v>
      </c>
      <c r="H518" t="s">
        <v>13</v>
      </c>
    </row>
    <row r="519" spans="1:8" x14ac:dyDescent="0.25">
      <c r="A519" t="s">
        <v>21</v>
      </c>
      <c r="B519">
        <v>87920</v>
      </c>
      <c r="C519">
        <v>14</v>
      </c>
      <c r="D519" t="s">
        <v>28</v>
      </c>
      <c r="E519">
        <v>0.66</v>
      </c>
      <c r="F519">
        <v>0.55000000000000004</v>
      </c>
      <c r="G519">
        <v>0.08</v>
      </c>
      <c r="H519" t="s">
        <v>13</v>
      </c>
    </row>
    <row r="520" spans="1:8" x14ac:dyDescent="0.25">
      <c r="A520" t="s">
        <v>30</v>
      </c>
      <c r="B520">
        <v>86768</v>
      </c>
      <c r="C520">
        <v>24</v>
      </c>
      <c r="D520" t="s">
        <v>12</v>
      </c>
      <c r="E520">
        <v>0.64</v>
      </c>
      <c r="F520">
        <v>1.0900000000000001</v>
      </c>
      <c r="G520">
        <v>0.27</v>
      </c>
      <c r="H520" t="s">
        <v>13</v>
      </c>
    </row>
    <row r="521" spans="1:8" x14ac:dyDescent="0.25">
      <c r="A521" t="s">
        <v>8</v>
      </c>
      <c r="B521">
        <v>43866</v>
      </c>
      <c r="C521">
        <v>24</v>
      </c>
      <c r="D521" t="s">
        <v>9</v>
      </c>
      <c r="E521">
        <v>0.48</v>
      </c>
      <c r="F521">
        <v>0.9</v>
      </c>
      <c r="G521">
        <v>0.74</v>
      </c>
      <c r="H521" t="s">
        <v>10</v>
      </c>
    </row>
    <row r="522" spans="1:8" x14ac:dyDescent="0.25">
      <c r="A522" t="s">
        <v>8</v>
      </c>
      <c r="B522">
        <v>133627</v>
      </c>
      <c r="C522">
        <v>16</v>
      </c>
      <c r="D522" t="s">
        <v>28</v>
      </c>
      <c r="E522">
        <v>0.61</v>
      </c>
      <c r="F522">
        <v>0.9</v>
      </c>
      <c r="G522">
        <v>0.75</v>
      </c>
      <c r="H522" t="s">
        <v>10</v>
      </c>
    </row>
    <row r="523" spans="1:8" x14ac:dyDescent="0.25">
      <c r="A523" t="s">
        <v>8</v>
      </c>
      <c r="B523">
        <v>45700</v>
      </c>
      <c r="C523">
        <v>9</v>
      </c>
      <c r="D523" t="s">
        <v>9</v>
      </c>
      <c r="E523">
        <v>0.78</v>
      </c>
      <c r="F523">
        <v>1.42</v>
      </c>
      <c r="G523">
        <v>0.75</v>
      </c>
      <c r="H523" t="s">
        <v>10</v>
      </c>
    </row>
    <row r="524" spans="1:8" x14ac:dyDescent="0.25">
      <c r="A524" t="s">
        <v>11</v>
      </c>
      <c r="B524">
        <v>112799</v>
      </c>
      <c r="C524">
        <v>18</v>
      </c>
      <c r="D524" t="s">
        <v>12</v>
      </c>
      <c r="E524">
        <v>0.56000000000000005</v>
      </c>
      <c r="F524">
        <v>1.1499999999999999</v>
      </c>
      <c r="G524">
        <v>0.05</v>
      </c>
      <c r="H524" t="s">
        <v>13</v>
      </c>
    </row>
    <row r="525" spans="1:8" x14ac:dyDescent="0.25">
      <c r="A525" t="s">
        <v>16</v>
      </c>
      <c r="B525">
        <v>74458</v>
      </c>
      <c r="C525">
        <v>4</v>
      </c>
      <c r="D525" t="s">
        <v>12</v>
      </c>
      <c r="E525">
        <v>0.19</v>
      </c>
      <c r="F525">
        <v>1.23</v>
      </c>
      <c r="G525">
        <v>0.36</v>
      </c>
      <c r="H525" t="s">
        <v>17</v>
      </c>
    </row>
    <row r="526" spans="1:8" x14ac:dyDescent="0.25">
      <c r="A526" t="s">
        <v>33</v>
      </c>
      <c r="B526">
        <v>50125</v>
      </c>
      <c r="C526">
        <v>19</v>
      </c>
      <c r="D526" t="s">
        <v>12</v>
      </c>
      <c r="E526">
        <v>0.25</v>
      </c>
      <c r="F526">
        <v>1.18</v>
      </c>
      <c r="G526">
        <v>0.22</v>
      </c>
      <c r="H526" t="s">
        <v>13</v>
      </c>
    </row>
    <row r="527" spans="1:8" x14ac:dyDescent="0.25">
      <c r="A527" t="s">
        <v>20</v>
      </c>
      <c r="B527">
        <v>78926</v>
      </c>
      <c r="C527">
        <v>28</v>
      </c>
      <c r="D527" t="s">
        <v>15</v>
      </c>
      <c r="E527">
        <v>0.18</v>
      </c>
      <c r="F527">
        <v>1.0900000000000001</v>
      </c>
      <c r="G527">
        <v>0.52</v>
      </c>
      <c r="H527" t="s">
        <v>17</v>
      </c>
    </row>
    <row r="528" spans="1:8" x14ac:dyDescent="0.25">
      <c r="A528" t="s">
        <v>27</v>
      </c>
      <c r="B528">
        <v>138778</v>
      </c>
      <c r="C528">
        <v>3</v>
      </c>
      <c r="D528" t="s">
        <v>9</v>
      </c>
      <c r="E528">
        <v>0.51</v>
      </c>
      <c r="F528">
        <v>1</v>
      </c>
      <c r="G528">
        <v>0.43</v>
      </c>
      <c r="H528" t="s">
        <v>17</v>
      </c>
    </row>
    <row r="529" spans="1:8" x14ac:dyDescent="0.25">
      <c r="A529" t="s">
        <v>29</v>
      </c>
      <c r="B529">
        <v>30671</v>
      </c>
      <c r="C529">
        <v>9</v>
      </c>
      <c r="D529" t="s">
        <v>15</v>
      </c>
      <c r="E529">
        <v>0.62</v>
      </c>
      <c r="F529">
        <v>0.94</v>
      </c>
      <c r="G529">
        <v>0.75</v>
      </c>
      <c r="H529" t="s">
        <v>10</v>
      </c>
    </row>
    <row r="530" spans="1:8" x14ac:dyDescent="0.25">
      <c r="A530" t="s">
        <v>22</v>
      </c>
      <c r="B530">
        <v>114153</v>
      </c>
      <c r="C530">
        <v>26</v>
      </c>
      <c r="D530" t="s">
        <v>9</v>
      </c>
      <c r="E530">
        <v>0.02</v>
      </c>
      <c r="F530">
        <v>1.4</v>
      </c>
      <c r="G530">
        <v>0.38</v>
      </c>
      <c r="H530" t="s">
        <v>17</v>
      </c>
    </row>
    <row r="531" spans="1:8" x14ac:dyDescent="0.25">
      <c r="A531" t="s">
        <v>32</v>
      </c>
      <c r="B531">
        <v>69574</v>
      </c>
      <c r="C531">
        <v>3</v>
      </c>
      <c r="D531" t="s">
        <v>12</v>
      </c>
      <c r="E531">
        <v>0.65</v>
      </c>
      <c r="F531">
        <v>0.62</v>
      </c>
      <c r="G531">
        <v>0.51</v>
      </c>
      <c r="H531" t="s">
        <v>17</v>
      </c>
    </row>
    <row r="532" spans="1:8" x14ac:dyDescent="0.25">
      <c r="A532" t="s">
        <v>22</v>
      </c>
      <c r="B532">
        <v>144616</v>
      </c>
      <c r="C532">
        <v>26</v>
      </c>
      <c r="D532" t="s">
        <v>28</v>
      </c>
      <c r="E532">
        <v>0.37</v>
      </c>
      <c r="F532">
        <v>0.87</v>
      </c>
      <c r="G532">
        <v>0.45</v>
      </c>
      <c r="H532" t="s">
        <v>17</v>
      </c>
    </row>
    <row r="533" spans="1:8" x14ac:dyDescent="0.25">
      <c r="A533" t="s">
        <v>14</v>
      </c>
      <c r="B533">
        <v>144313</v>
      </c>
      <c r="C533">
        <v>23</v>
      </c>
      <c r="D533" t="s">
        <v>12</v>
      </c>
      <c r="E533">
        <v>0.01</v>
      </c>
      <c r="F533">
        <v>1.37</v>
      </c>
      <c r="G533">
        <v>0.81</v>
      </c>
      <c r="H533" t="s">
        <v>10</v>
      </c>
    </row>
    <row r="534" spans="1:8" x14ac:dyDescent="0.25">
      <c r="A534" t="s">
        <v>19</v>
      </c>
      <c r="B534">
        <v>79047</v>
      </c>
      <c r="C534">
        <v>21</v>
      </c>
      <c r="D534" t="s">
        <v>12</v>
      </c>
      <c r="E534">
        <v>0.69</v>
      </c>
      <c r="F534">
        <v>0.67</v>
      </c>
      <c r="G534">
        <v>0.12</v>
      </c>
      <c r="H534" t="s">
        <v>13</v>
      </c>
    </row>
    <row r="535" spans="1:8" x14ac:dyDescent="0.25">
      <c r="A535" t="s">
        <v>29</v>
      </c>
      <c r="B535">
        <v>116649</v>
      </c>
      <c r="C535">
        <v>25</v>
      </c>
      <c r="D535" t="s">
        <v>15</v>
      </c>
      <c r="E535">
        <v>0.68</v>
      </c>
      <c r="F535">
        <v>0.75</v>
      </c>
      <c r="G535">
        <v>0.92</v>
      </c>
      <c r="H535" t="s">
        <v>10</v>
      </c>
    </row>
    <row r="536" spans="1:8" x14ac:dyDescent="0.25">
      <c r="A536" t="s">
        <v>22</v>
      </c>
      <c r="B536">
        <v>131192</v>
      </c>
      <c r="C536">
        <v>2</v>
      </c>
      <c r="D536" t="s">
        <v>12</v>
      </c>
      <c r="E536">
        <v>0.32</v>
      </c>
      <c r="F536">
        <v>1.22</v>
      </c>
      <c r="G536">
        <v>0.56000000000000005</v>
      </c>
      <c r="H536" t="s">
        <v>17</v>
      </c>
    </row>
    <row r="537" spans="1:8" x14ac:dyDescent="0.25">
      <c r="A537" t="s">
        <v>22</v>
      </c>
      <c r="B537">
        <v>84165</v>
      </c>
      <c r="C537">
        <v>10</v>
      </c>
      <c r="D537" t="s">
        <v>12</v>
      </c>
      <c r="E537">
        <v>0.46</v>
      </c>
      <c r="F537">
        <v>0.99</v>
      </c>
      <c r="G537">
        <v>0.31</v>
      </c>
      <c r="H537" t="s">
        <v>17</v>
      </c>
    </row>
    <row r="538" spans="1:8" x14ac:dyDescent="0.25">
      <c r="A538" t="s">
        <v>18</v>
      </c>
      <c r="B538">
        <v>132488</v>
      </c>
      <c r="C538">
        <v>5</v>
      </c>
      <c r="D538" t="s">
        <v>28</v>
      </c>
      <c r="E538">
        <v>0.94</v>
      </c>
      <c r="F538">
        <v>1.1000000000000001</v>
      </c>
      <c r="G538">
        <v>0.34</v>
      </c>
      <c r="H538" t="s">
        <v>17</v>
      </c>
    </row>
    <row r="539" spans="1:8" x14ac:dyDescent="0.25">
      <c r="A539" t="s">
        <v>31</v>
      </c>
      <c r="B539">
        <v>57757</v>
      </c>
      <c r="C539">
        <v>2</v>
      </c>
      <c r="D539" t="s">
        <v>15</v>
      </c>
      <c r="E539">
        <v>0.63</v>
      </c>
      <c r="F539">
        <v>0.85</v>
      </c>
      <c r="G539">
        <v>0.77</v>
      </c>
      <c r="H539" t="s">
        <v>10</v>
      </c>
    </row>
    <row r="540" spans="1:8" x14ac:dyDescent="0.25">
      <c r="A540" t="s">
        <v>34</v>
      </c>
      <c r="B540">
        <v>106095</v>
      </c>
      <c r="C540">
        <v>29</v>
      </c>
      <c r="D540" t="s">
        <v>12</v>
      </c>
      <c r="E540">
        <v>0.22</v>
      </c>
      <c r="F540">
        <v>1.43</v>
      </c>
      <c r="G540">
        <v>0.5</v>
      </c>
      <c r="H540" t="s">
        <v>17</v>
      </c>
    </row>
    <row r="541" spans="1:8" x14ac:dyDescent="0.25">
      <c r="A541" t="s">
        <v>33</v>
      </c>
      <c r="B541">
        <v>84304</v>
      </c>
      <c r="C541">
        <v>0</v>
      </c>
      <c r="D541" t="s">
        <v>28</v>
      </c>
      <c r="E541">
        <v>0.44</v>
      </c>
      <c r="F541">
        <v>1.44</v>
      </c>
      <c r="G541">
        <v>0.06</v>
      </c>
      <c r="H541" t="s">
        <v>13</v>
      </c>
    </row>
    <row r="542" spans="1:8" x14ac:dyDescent="0.25">
      <c r="A542" t="s">
        <v>33</v>
      </c>
      <c r="B542">
        <v>86414</v>
      </c>
      <c r="C542">
        <v>0</v>
      </c>
      <c r="D542" t="s">
        <v>12</v>
      </c>
      <c r="E542">
        <v>0.91</v>
      </c>
      <c r="F542">
        <v>1.34</v>
      </c>
      <c r="G542">
        <v>0.26</v>
      </c>
      <c r="H542" t="s">
        <v>13</v>
      </c>
    </row>
    <row r="543" spans="1:8" x14ac:dyDescent="0.25">
      <c r="A543" t="s">
        <v>26</v>
      </c>
      <c r="B543">
        <v>47040</v>
      </c>
      <c r="C543">
        <v>4</v>
      </c>
      <c r="D543" t="s">
        <v>28</v>
      </c>
      <c r="E543">
        <v>0.97</v>
      </c>
      <c r="F543">
        <v>0.94</v>
      </c>
      <c r="G543">
        <v>0.64</v>
      </c>
      <c r="H543" t="s">
        <v>17</v>
      </c>
    </row>
    <row r="544" spans="1:8" x14ac:dyDescent="0.25">
      <c r="A544" t="s">
        <v>26</v>
      </c>
      <c r="B544">
        <v>80192</v>
      </c>
      <c r="C544">
        <v>23</v>
      </c>
      <c r="D544" t="s">
        <v>28</v>
      </c>
      <c r="E544">
        <v>0.33</v>
      </c>
      <c r="F544">
        <v>1.48</v>
      </c>
      <c r="G544">
        <v>0.56999999999999995</v>
      </c>
      <c r="H544" t="s">
        <v>17</v>
      </c>
    </row>
    <row r="545" spans="1:8" x14ac:dyDescent="0.25">
      <c r="A545" t="s">
        <v>18</v>
      </c>
      <c r="B545">
        <v>141359</v>
      </c>
      <c r="C545">
        <v>16</v>
      </c>
      <c r="D545" t="s">
        <v>9</v>
      </c>
      <c r="E545">
        <v>0.51</v>
      </c>
      <c r="F545">
        <v>0.7</v>
      </c>
      <c r="G545">
        <v>0.43</v>
      </c>
      <c r="H545" t="s">
        <v>17</v>
      </c>
    </row>
    <row r="546" spans="1:8" x14ac:dyDescent="0.25">
      <c r="A546" t="s">
        <v>14</v>
      </c>
      <c r="B546">
        <v>52394</v>
      </c>
      <c r="C546">
        <v>29</v>
      </c>
      <c r="D546" t="s">
        <v>9</v>
      </c>
      <c r="E546">
        <v>0.04</v>
      </c>
      <c r="F546">
        <v>1.1200000000000001</v>
      </c>
      <c r="G546">
        <v>0.89</v>
      </c>
      <c r="H546" t="s">
        <v>10</v>
      </c>
    </row>
    <row r="547" spans="1:8" x14ac:dyDescent="0.25">
      <c r="A547" t="s">
        <v>29</v>
      </c>
      <c r="B547">
        <v>75482</v>
      </c>
      <c r="C547">
        <v>17</v>
      </c>
      <c r="D547" t="s">
        <v>12</v>
      </c>
      <c r="E547">
        <v>0.52</v>
      </c>
      <c r="F547">
        <v>1.08</v>
      </c>
      <c r="G547">
        <v>0.89</v>
      </c>
      <c r="H547" t="s">
        <v>10</v>
      </c>
    </row>
    <row r="548" spans="1:8" x14ac:dyDescent="0.25">
      <c r="A548" t="s">
        <v>31</v>
      </c>
      <c r="B548">
        <v>147232</v>
      </c>
      <c r="C548">
        <v>27</v>
      </c>
      <c r="D548" t="s">
        <v>15</v>
      </c>
      <c r="E548">
        <v>0.31</v>
      </c>
      <c r="F548">
        <v>1.34</v>
      </c>
      <c r="G548">
        <v>0.72</v>
      </c>
      <c r="H548" t="s">
        <v>10</v>
      </c>
    </row>
    <row r="549" spans="1:8" x14ac:dyDescent="0.25">
      <c r="A549" t="s">
        <v>24</v>
      </c>
      <c r="B549">
        <v>147220</v>
      </c>
      <c r="C549">
        <v>13</v>
      </c>
      <c r="D549" t="s">
        <v>12</v>
      </c>
      <c r="E549">
        <v>0.64</v>
      </c>
      <c r="F549">
        <v>0.86</v>
      </c>
      <c r="G549">
        <v>0.32</v>
      </c>
      <c r="H549" t="s">
        <v>17</v>
      </c>
    </row>
    <row r="550" spans="1:8" x14ac:dyDescent="0.25">
      <c r="A550" t="s">
        <v>32</v>
      </c>
      <c r="B550">
        <v>107078</v>
      </c>
      <c r="C550">
        <v>26</v>
      </c>
      <c r="D550" t="s">
        <v>28</v>
      </c>
      <c r="E550">
        <v>0.7</v>
      </c>
      <c r="F550">
        <v>0.64</v>
      </c>
      <c r="G550">
        <v>0.56000000000000005</v>
      </c>
      <c r="H550" t="s">
        <v>17</v>
      </c>
    </row>
    <row r="551" spans="1:8" x14ac:dyDescent="0.25">
      <c r="A551" t="s">
        <v>32</v>
      </c>
      <c r="B551">
        <v>63979</v>
      </c>
      <c r="C551">
        <v>7</v>
      </c>
      <c r="D551" t="s">
        <v>28</v>
      </c>
      <c r="E551">
        <v>0.18</v>
      </c>
      <c r="F551">
        <v>1.46</v>
      </c>
      <c r="G551">
        <v>0.45</v>
      </c>
      <c r="H551" t="s">
        <v>17</v>
      </c>
    </row>
    <row r="552" spans="1:8" x14ac:dyDescent="0.25">
      <c r="A552" t="s">
        <v>14</v>
      </c>
      <c r="B552">
        <v>120290</v>
      </c>
      <c r="C552">
        <v>17</v>
      </c>
      <c r="D552" t="s">
        <v>15</v>
      </c>
      <c r="E552">
        <v>0.6</v>
      </c>
      <c r="F552">
        <v>0.67</v>
      </c>
      <c r="G552">
        <v>0.89</v>
      </c>
      <c r="H552" t="s">
        <v>10</v>
      </c>
    </row>
    <row r="553" spans="1:8" x14ac:dyDescent="0.25">
      <c r="A553" t="s">
        <v>11</v>
      </c>
      <c r="B553">
        <v>51573</v>
      </c>
      <c r="C553">
        <v>17</v>
      </c>
      <c r="D553" t="s">
        <v>12</v>
      </c>
      <c r="E553">
        <v>0.2</v>
      </c>
      <c r="F553">
        <v>1.1100000000000001</v>
      </c>
      <c r="G553">
        <v>7.0000000000000007E-2</v>
      </c>
      <c r="H553" t="s">
        <v>13</v>
      </c>
    </row>
    <row r="554" spans="1:8" x14ac:dyDescent="0.25">
      <c r="A554" t="s">
        <v>21</v>
      </c>
      <c r="B554">
        <v>79984</v>
      </c>
      <c r="C554">
        <v>28</v>
      </c>
      <c r="D554" t="s">
        <v>15</v>
      </c>
      <c r="E554">
        <v>0.32</v>
      </c>
      <c r="F554">
        <v>0.83</v>
      </c>
      <c r="G554">
        <v>0.06</v>
      </c>
      <c r="H554" t="s">
        <v>13</v>
      </c>
    </row>
    <row r="555" spans="1:8" x14ac:dyDescent="0.25">
      <c r="A555" t="s">
        <v>27</v>
      </c>
      <c r="B555">
        <v>96770</v>
      </c>
      <c r="C555">
        <v>13</v>
      </c>
      <c r="D555" t="s">
        <v>28</v>
      </c>
      <c r="E555">
        <v>0.92</v>
      </c>
      <c r="F555">
        <v>0.52</v>
      </c>
      <c r="G555">
        <v>0.53</v>
      </c>
      <c r="H555" t="s">
        <v>17</v>
      </c>
    </row>
    <row r="556" spans="1:8" x14ac:dyDescent="0.25">
      <c r="A556" t="s">
        <v>20</v>
      </c>
      <c r="B556">
        <v>68031</v>
      </c>
      <c r="C556">
        <v>23</v>
      </c>
      <c r="D556" t="s">
        <v>12</v>
      </c>
      <c r="E556">
        <v>0.45</v>
      </c>
      <c r="F556">
        <v>1.17</v>
      </c>
      <c r="G556">
        <v>0.43</v>
      </c>
      <c r="H556" t="s">
        <v>17</v>
      </c>
    </row>
    <row r="557" spans="1:8" x14ac:dyDescent="0.25">
      <c r="A557" t="s">
        <v>8</v>
      </c>
      <c r="B557">
        <v>124238</v>
      </c>
      <c r="C557">
        <v>4</v>
      </c>
      <c r="D557" t="s">
        <v>12</v>
      </c>
      <c r="E557">
        <v>0.59</v>
      </c>
      <c r="F557">
        <v>1.1200000000000001</v>
      </c>
      <c r="G557">
        <v>0.86</v>
      </c>
      <c r="H557" t="s">
        <v>10</v>
      </c>
    </row>
    <row r="558" spans="1:8" x14ac:dyDescent="0.25">
      <c r="A558" t="s">
        <v>26</v>
      </c>
      <c r="B558">
        <v>105587</v>
      </c>
      <c r="C558">
        <v>24</v>
      </c>
      <c r="D558" t="s">
        <v>12</v>
      </c>
      <c r="E558">
        <v>0.41</v>
      </c>
      <c r="F558">
        <v>0.63</v>
      </c>
      <c r="G558">
        <v>0.63</v>
      </c>
      <c r="H558" t="s">
        <v>17</v>
      </c>
    </row>
    <row r="559" spans="1:8" x14ac:dyDescent="0.25">
      <c r="A559" t="s">
        <v>19</v>
      </c>
      <c r="B559">
        <v>34023</v>
      </c>
      <c r="C559">
        <v>14</v>
      </c>
      <c r="D559" t="s">
        <v>15</v>
      </c>
      <c r="E559">
        <v>0.84</v>
      </c>
      <c r="F559">
        <v>0.73</v>
      </c>
      <c r="G559">
        <v>0.27</v>
      </c>
      <c r="H559" t="s">
        <v>13</v>
      </c>
    </row>
    <row r="560" spans="1:8" x14ac:dyDescent="0.25">
      <c r="A560" t="s">
        <v>20</v>
      </c>
      <c r="B560">
        <v>72215</v>
      </c>
      <c r="C560">
        <v>8</v>
      </c>
      <c r="D560" t="s">
        <v>12</v>
      </c>
      <c r="E560">
        <v>0.88</v>
      </c>
      <c r="F560">
        <v>0.91</v>
      </c>
      <c r="G560">
        <v>0.42</v>
      </c>
      <c r="H560" t="s">
        <v>17</v>
      </c>
    </row>
    <row r="561" spans="1:8" x14ac:dyDescent="0.25">
      <c r="A561" t="s">
        <v>34</v>
      </c>
      <c r="B561">
        <v>82870</v>
      </c>
      <c r="C561">
        <v>8</v>
      </c>
      <c r="D561" t="s">
        <v>9</v>
      </c>
      <c r="E561">
        <v>0.33</v>
      </c>
      <c r="F561">
        <v>1.1100000000000001</v>
      </c>
      <c r="G561">
        <v>0.65</v>
      </c>
      <c r="H561" t="s">
        <v>17</v>
      </c>
    </row>
    <row r="562" spans="1:8" x14ac:dyDescent="0.25">
      <c r="A562" t="s">
        <v>34</v>
      </c>
      <c r="B562">
        <v>32978</v>
      </c>
      <c r="C562">
        <v>15</v>
      </c>
      <c r="D562" t="s">
        <v>9</v>
      </c>
      <c r="E562">
        <v>0.38</v>
      </c>
      <c r="F562">
        <v>1.44</v>
      </c>
      <c r="G562">
        <v>0.49</v>
      </c>
      <c r="H562" t="s">
        <v>17</v>
      </c>
    </row>
    <row r="563" spans="1:8" x14ac:dyDescent="0.25">
      <c r="A563" t="s">
        <v>34</v>
      </c>
      <c r="B563">
        <v>45522</v>
      </c>
      <c r="C563">
        <v>9</v>
      </c>
      <c r="D563" t="s">
        <v>9</v>
      </c>
      <c r="E563">
        <v>0.32</v>
      </c>
      <c r="F563">
        <v>1.28</v>
      </c>
      <c r="G563">
        <v>0.6</v>
      </c>
      <c r="H563" t="s">
        <v>17</v>
      </c>
    </row>
    <row r="564" spans="1:8" x14ac:dyDescent="0.25">
      <c r="A564" t="s">
        <v>16</v>
      </c>
      <c r="B564">
        <v>63414</v>
      </c>
      <c r="C564">
        <v>0</v>
      </c>
      <c r="D564" t="s">
        <v>15</v>
      </c>
      <c r="E564">
        <v>0.61</v>
      </c>
      <c r="F564">
        <v>1.27</v>
      </c>
      <c r="G564">
        <v>0.48</v>
      </c>
      <c r="H564" t="s">
        <v>17</v>
      </c>
    </row>
    <row r="565" spans="1:8" x14ac:dyDescent="0.25">
      <c r="A565" t="s">
        <v>11</v>
      </c>
      <c r="B565">
        <v>47140</v>
      </c>
      <c r="C565">
        <v>14</v>
      </c>
      <c r="D565" t="s">
        <v>28</v>
      </c>
      <c r="E565">
        <v>0.1</v>
      </c>
      <c r="F565">
        <v>0.59</v>
      </c>
      <c r="G565">
        <v>0.23</v>
      </c>
      <c r="H565" t="s">
        <v>13</v>
      </c>
    </row>
    <row r="566" spans="1:8" x14ac:dyDescent="0.25">
      <c r="A566" t="s">
        <v>11</v>
      </c>
      <c r="B566">
        <v>140261</v>
      </c>
      <c r="C566">
        <v>8</v>
      </c>
      <c r="D566" t="s">
        <v>15</v>
      </c>
      <c r="E566">
        <v>0.21</v>
      </c>
      <c r="F566">
        <v>0.65</v>
      </c>
      <c r="G566">
        <v>0.28000000000000003</v>
      </c>
      <c r="H566" t="s">
        <v>13</v>
      </c>
    </row>
    <row r="567" spans="1:8" x14ac:dyDescent="0.25">
      <c r="A567" t="s">
        <v>30</v>
      </c>
      <c r="B567">
        <v>62975</v>
      </c>
      <c r="C567">
        <v>1</v>
      </c>
      <c r="D567" t="s">
        <v>9</v>
      </c>
      <c r="E567">
        <v>0.88</v>
      </c>
      <c r="F567">
        <v>1.5</v>
      </c>
      <c r="G567">
        <v>0.11</v>
      </c>
      <c r="H567" t="s">
        <v>13</v>
      </c>
    </row>
    <row r="568" spans="1:8" x14ac:dyDescent="0.25">
      <c r="A568" t="s">
        <v>19</v>
      </c>
      <c r="B568">
        <v>146004</v>
      </c>
      <c r="C568">
        <v>26</v>
      </c>
      <c r="D568" t="s">
        <v>12</v>
      </c>
      <c r="E568">
        <v>0.08</v>
      </c>
      <c r="F568">
        <v>0.76</v>
      </c>
      <c r="G568">
        <v>0.05</v>
      </c>
      <c r="H568" t="s">
        <v>13</v>
      </c>
    </row>
    <row r="569" spans="1:8" x14ac:dyDescent="0.25">
      <c r="A569" t="s">
        <v>27</v>
      </c>
      <c r="B569">
        <v>57167</v>
      </c>
      <c r="C569">
        <v>19</v>
      </c>
      <c r="D569" t="s">
        <v>15</v>
      </c>
      <c r="E569">
        <v>0.48</v>
      </c>
      <c r="F569">
        <v>0.82</v>
      </c>
      <c r="G569">
        <v>0.64</v>
      </c>
      <c r="H569" t="s">
        <v>17</v>
      </c>
    </row>
    <row r="570" spans="1:8" x14ac:dyDescent="0.25">
      <c r="A570" t="s">
        <v>32</v>
      </c>
      <c r="B570">
        <v>39046</v>
      </c>
      <c r="C570">
        <v>24</v>
      </c>
      <c r="D570" t="s">
        <v>15</v>
      </c>
      <c r="E570">
        <v>0.71</v>
      </c>
      <c r="F570">
        <v>1.24</v>
      </c>
      <c r="G570">
        <v>0.42</v>
      </c>
      <c r="H570" t="s">
        <v>17</v>
      </c>
    </row>
    <row r="571" spans="1:8" x14ac:dyDescent="0.25">
      <c r="A571" t="s">
        <v>30</v>
      </c>
      <c r="B571">
        <v>113184</v>
      </c>
      <c r="C571">
        <v>12</v>
      </c>
      <c r="D571" t="s">
        <v>15</v>
      </c>
      <c r="E571">
        <v>0.4</v>
      </c>
      <c r="F571">
        <v>1.02</v>
      </c>
      <c r="G571">
        <v>0.15</v>
      </c>
      <c r="H571" t="s">
        <v>13</v>
      </c>
    </row>
    <row r="572" spans="1:8" x14ac:dyDescent="0.25">
      <c r="A572" t="s">
        <v>26</v>
      </c>
      <c r="B572">
        <v>52689</v>
      </c>
      <c r="C572">
        <v>4</v>
      </c>
      <c r="D572" t="s">
        <v>15</v>
      </c>
      <c r="E572">
        <v>0.01</v>
      </c>
      <c r="F572">
        <v>1.28</v>
      </c>
      <c r="G572">
        <v>0.63</v>
      </c>
      <c r="H572" t="s">
        <v>17</v>
      </c>
    </row>
    <row r="573" spans="1:8" x14ac:dyDescent="0.25">
      <c r="A573" t="s">
        <v>31</v>
      </c>
      <c r="B573">
        <v>125494</v>
      </c>
      <c r="C573">
        <v>16</v>
      </c>
      <c r="D573" t="s">
        <v>9</v>
      </c>
      <c r="E573">
        <v>0.46</v>
      </c>
      <c r="F573">
        <v>1.44</v>
      </c>
      <c r="G573">
        <v>0.92</v>
      </c>
      <c r="H573" t="s">
        <v>10</v>
      </c>
    </row>
    <row r="574" spans="1:8" x14ac:dyDescent="0.25">
      <c r="A574" t="s">
        <v>30</v>
      </c>
      <c r="B574">
        <v>111214</v>
      </c>
      <c r="C574">
        <v>12</v>
      </c>
      <c r="D574" t="s">
        <v>28</v>
      </c>
      <c r="E574">
        <v>0.77</v>
      </c>
      <c r="F574">
        <v>0.86</v>
      </c>
      <c r="G574">
        <v>0.1</v>
      </c>
      <c r="H574" t="s">
        <v>13</v>
      </c>
    </row>
    <row r="575" spans="1:8" x14ac:dyDescent="0.25">
      <c r="A575" t="s">
        <v>14</v>
      </c>
      <c r="B575">
        <v>139071</v>
      </c>
      <c r="C575">
        <v>16</v>
      </c>
      <c r="D575" t="s">
        <v>12</v>
      </c>
      <c r="E575">
        <v>0.21</v>
      </c>
      <c r="F575">
        <v>0.74</v>
      </c>
      <c r="G575">
        <v>0.73</v>
      </c>
      <c r="H575" t="s">
        <v>10</v>
      </c>
    </row>
    <row r="576" spans="1:8" x14ac:dyDescent="0.25">
      <c r="A576" t="s">
        <v>26</v>
      </c>
      <c r="B576">
        <v>34027</v>
      </c>
      <c r="C576">
        <v>8</v>
      </c>
      <c r="D576" t="s">
        <v>28</v>
      </c>
      <c r="E576">
        <v>0.74</v>
      </c>
      <c r="F576">
        <v>1.39</v>
      </c>
      <c r="G576">
        <v>0.48</v>
      </c>
      <c r="H576" t="s">
        <v>17</v>
      </c>
    </row>
    <row r="577" spans="1:8" x14ac:dyDescent="0.25">
      <c r="A577" t="s">
        <v>22</v>
      </c>
      <c r="B577">
        <v>129074</v>
      </c>
      <c r="C577">
        <v>19</v>
      </c>
      <c r="D577" t="s">
        <v>28</v>
      </c>
      <c r="E577">
        <v>0.41</v>
      </c>
      <c r="F577">
        <v>1.25</v>
      </c>
      <c r="G577">
        <v>0.35</v>
      </c>
      <c r="H577" t="s">
        <v>17</v>
      </c>
    </row>
    <row r="578" spans="1:8" x14ac:dyDescent="0.25">
      <c r="A578" t="s">
        <v>26</v>
      </c>
      <c r="B578">
        <v>114785</v>
      </c>
      <c r="C578">
        <v>13</v>
      </c>
      <c r="D578" t="s">
        <v>15</v>
      </c>
      <c r="E578">
        <v>0.13</v>
      </c>
      <c r="F578">
        <v>1.29</v>
      </c>
      <c r="G578">
        <v>0.31</v>
      </c>
      <c r="H578" t="s">
        <v>17</v>
      </c>
    </row>
    <row r="579" spans="1:8" x14ac:dyDescent="0.25">
      <c r="A579" t="s">
        <v>14</v>
      </c>
      <c r="B579">
        <v>149107</v>
      </c>
      <c r="C579">
        <v>24</v>
      </c>
      <c r="D579" t="s">
        <v>9</v>
      </c>
      <c r="E579">
        <v>0.34</v>
      </c>
      <c r="F579">
        <v>0.61</v>
      </c>
      <c r="G579">
        <v>0.77</v>
      </c>
      <c r="H579" t="s">
        <v>10</v>
      </c>
    </row>
    <row r="580" spans="1:8" x14ac:dyDescent="0.25">
      <c r="A580" t="s">
        <v>20</v>
      </c>
      <c r="B580">
        <v>42380</v>
      </c>
      <c r="C580">
        <v>21</v>
      </c>
      <c r="D580" t="s">
        <v>12</v>
      </c>
      <c r="E580">
        <v>0.4</v>
      </c>
      <c r="F580">
        <v>1.38</v>
      </c>
      <c r="G580">
        <v>0.47</v>
      </c>
      <c r="H580" t="s">
        <v>17</v>
      </c>
    </row>
    <row r="581" spans="1:8" x14ac:dyDescent="0.25">
      <c r="A581" t="s">
        <v>30</v>
      </c>
      <c r="B581">
        <v>81331</v>
      </c>
      <c r="C581">
        <v>7</v>
      </c>
      <c r="D581" t="s">
        <v>15</v>
      </c>
      <c r="E581">
        <v>0.9</v>
      </c>
      <c r="F581">
        <v>0.61</v>
      </c>
      <c r="G581">
        <v>0.23</v>
      </c>
      <c r="H581" t="s">
        <v>13</v>
      </c>
    </row>
    <row r="582" spans="1:8" x14ac:dyDescent="0.25">
      <c r="A582" t="s">
        <v>21</v>
      </c>
      <c r="B582">
        <v>38245</v>
      </c>
      <c r="C582">
        <v>22</v>
      </c>
      <c r="D582" t="s">
        <v>9</v>
      </c>
      <c r="E582">
        <v>0.81</v>
      </c>
      <c r="F582">
        <v>0.61</v>
      </c>
      <c r="G582">
        <v>0.3</v>
      </c>
      <c r="H582" t="s">
        <v>13</v>
      </c>
    </row>
    <row r="583" spans="1:8" x14ac:dyDescent="0.25">
      <c r="A583" t="s">
        <v>24</v>
      </c>
      <c r="B583">
        <v>76766</v>
      </c>
      <c r="C583">
        <v>22</v>
      </c>
      <c r="D583" t="s">
        <v>12</v>
      </c>
      <c r="E583">
        <v>0.28999999999999998</v>
      </c>
      <c r="F583">
        <v>0.5</v>
      </c>
      <c r="G583">
        <v>0.39</v>
      </c>
      <c r="H583" t="s">
        <v>17</v>
      </c>
    </row>
    <row r="584" spans="1:8" x14ac:dyDescent="0.25">
      <c r="A584" t="s">
        <v>32</v>
      </c>
      <c r="B584">
        <v>121865</v>
      </c>
      <c r="C584">
        <v>16</v>
      </c>
      <c r="D584" t="s">
        <v>12</v>
      </c>
      <c r="E584">
        <v>0.35</v>
      </c>
      <c r="F584">
        <v>1.26</v>
      </c>
      <c r="G584">
        <v>0.53</v>
      </c>
      <c r="H584" t="s">
        <v>17</v>
      </c>
    </row>
    <row r="585" spans="1:8" x14ac:dyDescent="0.25">
      <c r="A585" t="s">
        <v>21</v>
      </c>
      <c r="B585">
        <v>133457</v>
      </c>
      <c r="C585">
        <v>6</v>
      </c>
      <c r="D585" t="s">
        <v>12</v>
      </c>
      <c r="E585">
        <v>0.16</v>
      </c>
      <c r="F585">
        <v>0.67</v>
      </c>
      <c r="G585">
        <v>0.24</v>
      </c>
      <c r="H585" t="s">
        <v>13</v>
      </c>
    </row>
    <row r="586" spans="1:8" x14ac:dyDescent="0.25">
      <c r="A586" t="s">
        <v>31</v>
      </c>
      <c r="B586">
        <v>131126</v>
      </c>
      <c r="C586">
        <v>12</v>
      </c>
      <c r="D586" t="s">
        <v>28</v>
      </c>
      <c r="E586">
        <v>0.9</v>
      </c>
      <c r="F586">
        <v>0.85</v>
      </c>
      <c r="G586">
        <v>0.84</v>
      </c>
      <c r="H586" t="s">
        <v>10</v>
      </c>
    </row>
    <row r="587" spans="1:8" x14ac:dyDescent="0.25">
      <c r="A587" t="s">
        <v>14</v>
      </c>
      <c r="B587">
        <v>73066</v>
      </c>
      <c r="C587">
        <v>29</v>
      </c>
      <c r="D587" t="s">
        <v>9</v>
      </c>
      <c r="E587">
        <v>0.79</v>
      </c>
      <c r="F587">
        <v>1.1299999999999999</v>
      </c>
      <c r="G587">
        <v>0.74</v>
      </c>
      <c r="H587" t="s">
        <v>10</v>
      </c>
    </row>
    <row r="588" spans="1:8" x14ac:dyDescent="0.25">
      <c r="A588" t="s">
        <v>30</v>
      </c>
      <c r="B588">
        <v>72875</v>
      </c>
      <c r="C588">
        <v>27</v>
      </c>
      <c r="D588" t="s">
        <v>9</v>
      </c>
      <c r="E588">
        <v>0.98</v>
      </c>
      <c r="F588">
        <v>0.51</v>
      </c>
      <c r="G588">
        <v>0.21</v>
      </c>
      <c r="H588" t="s">
        <v>13</v>
      </c>
    </row>
    <row r="589" spans="1:8" x14ac:dyDescent="0.25">
      <c r="A589" t="s">
        <v>8</v>
      </c>
      <c r="B589">
        <v>90011</v>
      </c>
      <c r="C589">
        <v>18</v>
      </c>
      <c r="D589" t="s">
        <v>15</v>
      </c>
      <c r="E589">
        <v>0.01</v>
      </c>
      <c r="F589">
        <v>1.1599999999999999</v>
      </c>
      <c r="G589">
        <v>0.79</v>
      </c>
      <c r="H589" t="s">
        <v>10</v>
      </c>
    </row>
    <row r="590" spans="1:8" x14ac:dyDescent="0.25">
      <c r="A590" t="s">
        <v>16</v>
      </c>
      <c r="B590">
        <v>98232</v>
      </c>
      <c r="C590">
        <v>12</v>
      </c>
      <c r="D590" t="s">
        <v>12</v>
      </c>
      <c r="E590">
        <v>0.03</v>
      </c>
      <c r="F590">
        <v>0.84</v>
      </c>
      <c r="G590">
        <v>0.69</v>
      </c>
      <c r="H590" t="s">
        <v>17</v>
      </c>
    </row>
    <row r="591" spans="1:8" x14ac:dyDescent="0.25">
      <c r="A591" t="s">
        <v>32</v>
      </c>
      <c r="B591">
        <v>132491</v>
      </c>
      <c r="C591">
        <v>23</v>
      </c>
      <c r="D591" t="s">
        <v>9</v>
      </c>
      <c r="E591">
        <v>0.19</v>
      </c>
      <c r="F591">
        <v>1.27</v>
      </c>
      <c r="G591">
        <v>0.64</v>
      </c>
      <c r="H591" t="s">
        <v>17</v>
      </c>
    </row>
    <row r="592" spans="1:8" x14ac:dyDescent="0.25">
      <c r="A592" t="s">
        <v>26</v>
      </c>
      <c r="B592">
        <v>70741</v>
      </c>
      <c r="C592">
        <v>18</v>
      </c>
      <c r="D592" t="s">
        <v>15</v>
      </c>
      <c r="E592">
        <v>0.34</v>
      </c>
      <c r="F592">
        <v>0.92</v>
      </c>
      <c r="G592">
        <v>0.5</v>
      </c>
      <c r="H592" t="s">
        <v>17</v>
      </c>
    </row>
    <row r="593" spans="1:8" x14ac:dyDescent="0.25">
      <c r="A593" t="s">
        <v>31</v>
      </c>
      <c r="B593">
        <v>76566</v>
      </c>
      <c r="C593">
        <v>24</v>
      </c>
      <c r="D593" t="s">
        <v>15</v>
      </c>
      <c r="E593">
        <v>0.7</v>
      </c>
      <c r="F593">
        <v>0.71</v>
      </c>
      <c r="G593">
        <v>0.81</v>
      </c>
      <c r="H593" t="s">
        <v>10</v>
      </c>
    </row>
    <row r="594" spans="1:8" x14ac:dyDescent="0.25">
      <c r="A594" t="s">
        <v>19</v>
      </c>
      <c r="B594">
        <v>78817</v>
      </c>
      <c r="C594">
        <v>28</v>
      </c>
      <c r="D594" t="s">
        <v>15</v>
      </c>
      <c r="E594">
        <v>0.46</v>
      </c>
      <c r="F594">
        <v>1.44</v>
      </c>
      <c r="G594">
        <v>0.17</v>
      </c>
      <c r="H594" t="s">
        <v>13</v>
      </c>
    </row>
    <row r="595" spans="1:8" x14ac:dyDescent="0.25">
      <c r="A595" t="s">
        <v>16</v>
      </c>
      <c r="B595">
        <v>137334</v>
      </c>
      <c r="C595">
        <v>1</v>
      </c>
      <c r="D595" t="s">
        <v>9</v>
      </c>
      <c r="E595">
        <v>0.65</v>
      </c>
      <c r="F595">
        <v>1.33</v>
      </c>
      <c r="G595">
        <v>0.32</v>
      </c>
      <c r="H595" t="s">
        <v>17</v>
      </c>
    </row>
    <row r="596" spans="1:8" x14ac:dyDescent="0.25">
      <c r="A596" t="s">
        <v>18</v>
      </c>
      <c r="B596">
        <v>30591</v>
      </c>
      <c r="C596">
        <v>5</v>
      </c>
      <c r="D596" t="s">
        <v>9</v>
      </c>
      <c r="E596">
        <v>0.63</v>
      </c>
      <c r="F596">
        <v>1.2</v>
      </c>
      <c r="G596">
        <v>0.56000000000000005</v>
      </c>
      <c r="H596" t="s">
        <v>17</v>
      </c>
    </row>
    <row r="597" spans="1:8" x14ac:dyDescent="0.25">
      <c r="A597" t="s">
        <v>29</v>
      </c>
      <c r="B597">
        <v>42938</v>
      </c>
      <c r="C597">
        <v>26</v>
      </c>
      <c r="D597" t="s">
        <v>28</v>
      </c>
      <c r="E597">
        <v>0.5</v>
      </c>
      <c r="F597">
        <v>0.66</v>
      </c>
      <c r="G597">
        <v>0.79</v>
      </c>
      <c r="H597" t="s">
        <v>10</v>
      </c>
    </row>
    <row r="598" spans="1:8" x14ac:dyDescent="0.25">
      <c r="A598" t="s">
        <v>14</v>
      </c>
      <c r="B598">
        <v>82076</v>
      </c>
      <c r="C598">
        <v>5</v>
      </c>
      <c r="D598" t="s">
        <v>9</v>
      </c>
      <c r="E598">
        <v>0.97</v>
      </c>
      <c r="F598">
        <v>1.25</v>
      </c>
      <c r="G598">
        <v>0.74</v>
      </c>
      <c r="H598" t="s">
        <v>10</v>
      </c>
    </row>
    <row r="599" spans="1:8" x14ac:dyDescent="0.25">
      <c r="A599" t="s">
        <v>33</v>
      </c>
      <c r="B599">
        <v>71628</v>
      </c>
      <c r="C599">
        <v>19</v>
      </c>
      <c r="D599" t="s">
        <v>12</v>
      </c>
      <c r="E599">
        <v>0.85</v>
      </c>
      <c r="F599">
        <v>0.92</v>
      </c>
      <c r="G599">
        <v>7.0000000000000007E-2</v>
      </c>
      <c r="H599" t="s">
        <v>13</v>
      </c>
    </row>
    <row r="600" spans="1:8" x14ac:dyDescent="0.25">
      <c r="A600" t="s">
        <v>31</v>
      </c>
      <c r="B600">
        <v>82136</v>
      </c>
      <c r="C600">
        <v>2</v>
      </c>
      <c r="D600" t="s">
        <v>9</v>
      </c>
      <c r="E600">
        <v>0.38</v>
      </c>
      <c r="F600">
        <v>0.97</v>
      </c>
      <c r="G600">
        <v>0.86</v>
      </c>
      <c r="H600" t="s">
        <v>10</v>
      </c>
    </row>
    <row r="601" spans="1:8" x14ac:dyDescent="0.25">
      <c r="A601" t="s">
        <v>34</v>
      </c>
      <c r="B601">
        <v>74440</v>
      </c>
      <c r="C601">
        <v>7</v>
      </c>
      <c r="D601" t="s">
        <v>12</v>
      </c>
      <c r="E601">
        <v>0.5</v>
      </c>
      <c r="F601">
        <v>0.92</v>
      </c>
      <c r="G601">
        <v>0.38</v>
      </c>
      <c r="H601" t="s">
        <v>17</v>
      </c>
    </row>
    <row r="602" spans="1:8" x14ac:dyDescent="0.25">
      <c r="A602" t="s">
        <v>30</v>
      </c>
      <c r="B602">
        <v>43453</v>
      </c>
      <c r="C602">
        <v>7</v>
      </c>
      <c r="D602" t="s">
        <v>12</v>
      </c>
      <c r="E602">
        <v>0.31</v>
      </c>
      <c r="F602">
        <v>0.74</v>
      </c>
      <c r="G602">
        <v>0.12</v>
      </c>
      <c r="H602" t="s">
        <v>13</v>
      </c>
    </row>
    <row r="603" spans="1:8" x14ac:dyDescent="0.25">
      <c r="A603" t="s">
        <v>32</v>
      </c>
      <c r="B603">
        <v>140252</v>
      </c>
      <c r="C603">
        <v>7</v>
      </c>
      <c r="D603" t="s">
        <v>9</v>
      </c>
      <c r="E603">
        <v>0.27</v>
      </c>
      <c r="F603">
        <v>1.3</v>
      </c>
      <c r="G603">
        <v>0.7</v>
      </c>
      <c r="H603" t="s">
        <v>17</v>
      </c>
    </row>
    <row r="604" spans="1:8" x14ac:dyDescent="0.25">
      <c r="A604" t="s">
        <v>18</v>
      </c>
      <c r="B604">
        <v>99212</v>
      </c>
      <c r="C604">
        <v>29</v>
      </c>
      <c r="D604" t="s">
        <v>15</v>
      </c>
      <c r="E604">
        <v>0.09</v>
      </c>
      <c r="F604">
        <v>1.1499999999999999</v>
      </c>
      <c r="G604">
        <v>0.56000000000000005</v>
      </c>
      <c r="H604" t="s">
        <v>17</v>
      </c>
    </row>
    <row r="605" spans="1:8" x14ac:dyDescent="0.25">
      <c r="A605" t="s">
        <v>27</v>
      </c>
      <c r="B605">
        <v>50043</v>
      </c>
      <c r="C605">
        <v>3</v>
      </c>
      <c r="D605" t="s">
        <v>9</v>
      </c>
      <c r="E605">
        <v>0.81</v>
      </c>
      <c r="F605">
        <v>0.64</v>
      </c>
      <c r="G605">
        <v>0.49</v>
      </c>
      <c r="H605" t="s">
        <v>17</v>
      </c>
    </row>
    <row r="606" spans="1:8" x14ac:dyDescent="0.25">
      <c r="A606" t="s">
        <v>18</v>
      </c>
      <c r="B606">
        <v>33017</v>
      </c>
      <c r="C606">
        <v>21</v>
      </c>
      <c r="D606" t="s">
        <v>9</v>
      </c>
      <c r="E606">
        <v>0.15</v>
      </c>
      <c r="F606">
        <v>1.23</v>
      </c>
      <c r="G606">
        <v>0.3</v>
      </c>
      <c r="H606" t="s">
        <v>13</v>
      </c>
    </row>
    <row r="607" spans="1:8" x14ac:dyDescent="0.25">
      <c r="A607" t="s">
        <v>21</v>
      </c>
      <c r="B607">
        <v>118913</v>
      </c>
      <c r="C607">
        <v>2</v>
      </c>
      <c r="D607" t="s">
        <v>9</v>
      </c>
      <c r="E607">
        <v>0.46</v>
      </c>
      <c r="F607">
        <v>1.35</v>
      </c>
      <c r="G607">
        <v>0.16</v>
      </c>
      <c r="H607" t="s">
        <v>13</v>
      </c>
    </row>
    <row r="608" spans="1:8" x14ac:dyDescent="0.25">
      <c r="A608" t="s">
        <v>23</v>
      </c>
      <c r="B608">
        <v>144420</v>
      </c>
      <c r="C608">
        <v>2</v>
      </c>
      <c r="D608" t="s">
        <v>9</v>
      </c>
      <c r="E608">
        <v>0.56000000000000005</v>
      </c>
      <c r="F608">
        <v>1.29</v>
      </c>
      <c r="G608">
        <v>0.84</v>
      </c>
      <c r="H608" t="s">
        <v>10</v>
      </c>
    </row>
    <row r="609" spans="1:8" x14ac:dyDescent="0.25">
      <c r="A609" t="s">
        <v>23</v>
      </c>
      <c r="B609">
        <v>126805</v>
      </c>
      <c r="C609">
        <v>15</v>
      </c>
      <c r="D609" t="s">
        <v>28</v>
      </c>
      <c r="E609">
        <v>0.8</v>
      </c>
      <c r="F609">
        <v>0.87</v>
      </c>
      <c r="G609">
        <v>0.8</v>
      </c>
      <c r="H609" t="s">
        <v>10</v>
      </c>
    </row>
    <row r="610" spans="1:8" x14ac:dyDescent="0.25">
      <c r="A610" t="s">
        <v>32</v>
      </c>
      <c r="B610">
        <v>144780</v>
      </c>
      <c r="C610">
        <v>8</v>
      </c>
      <c r="D610" t="s">
        <v>28</v>
      </c>
      <c r="E610">
        <v>0.17</v>
      </c>
      <c r="F610">
        <v>1.4</v>
      </c>
      <c r="G610">
        <v>0.56000000000000005</v>
      </c>
      <c r="H610" t="s">
        <v>17</v>
      </c>
    </row>
    <row r="611" spans="1:8" x14ac:dyDescent="0.25">
      <c r="A611" t="s">
        <v>32</v>
      </c>
      <c r="B611">
        <v>137009</v>
      </c>
      <c r="C611">
        <v>13</v>
      </c>
      <c r="D611" t="s">
        <v>28</v>
      </c>
      <c r="E611">
        <v>0.86</v>
      </c>
      <c r="F611">
        <v>0.56999999999999995</v>
      </c>
      <c r="G611">
        <v>0.56999999999999995</v>
      </c>
      <c r="H611" t="s">
        <v>17</v>
      </c>
    </row>
    <row r="612" spans="1:8" x14ac:dyDescent="0.25">
      <c r="A612" t="s">
        <v>19</v>
      </c>
      <c r="B612">
        <v>82328</v>
      </c>
      <c r="C612">
        <v>8</v>
      </c>
      <c r="D612" t="s">
        <v>28</v>
      </c>
      <c r="E612">
        <v>0.51</v>
      </c>
      <c r="F612">
        <v>1.17</v>
      </c>
      <c r="G612">
        <v>0.26</v>
      </c>
      <c r="H612" t="s">
        <v>13</v>
      </c>
    </row>
    <row r="613" spans="1:8" x14ac:dyDescent="0.25">
      <c r="A613" t="s">
        <v>16</v>
      </c>
      <c r="B613">
        <v>78542</v>
      </c>
      <c r="C613">
        <v>25</v>
      </c>
      <c r="D613" t="s">
        <v>9</v>
      </c>
      <c r="E613">
        <v>0.86</v>
      </c>
      <c r="F613">
        <v>0.65</v>
      </c>
      <c r="G613">
        <v>0.48</v>
      </c>
      <c r="H613" t="s">
        <v>17</v>
      </c>
    </row>
    <row r="614" spans="1:8" x14ac:dyDescent="0.25">
      <c r="A614" t="s">
        <v>24</v>
      </c>
      <c r="B614">
        <v>35703</v>
      </c>
      <c r="C614">
        <v>5</v>
      </c>
      <c r="D614" t="s">
        <v>12</v>
      </c>
      <c r="E614">
        <v>0.96</v>
      </c>
      <c r="F614">
        <v>0.6</v>
      </c>
      <c r="G614">
        <v>0.31</v>
      </c>
      <c r="H614" t="s">
        <v>17</v>
      </c>
    </row>
    <row r="615" spans="1:8" x14ac:dyDescent="0.25">
      <c r="A615" t="s">
        <v>26</v>
      </c>
      <c r="B615">
        <v>110146</v>
      </c>
      <c r="C615">
        <v>21</v>
      </c>
      <c r="D615" t="s">
        <v>12</v>
      </c>
      <c r="E615">
        <v>0.67</v>
      </c>
      <c r="F615">
        <v>0.72</v>
      </c>
      <c r="G615">
        <v>0.31</v>
      </c>
      <c r="H615" t="s">
        <v>17</v>
      </c>
    </row>
    <row r="616" spans="1:8" x14ac:dyDescent="0.25">
      <c r="A616" t="s">
        <v>16</v>
      </c>
      <c r="B616">
        <v>117052</v>
      </c>
      <c r="C616">
        <v>8</v>
      </c>
      <c r="D616" t="s">
        <v>12</v>
      </c>
      <c r="E616">
        <v>0.54</v>
      </c>
      <c r="F616">
        <v>0.95</v>
      </c>
      <c r="G616">
        <v>0.48</v>
      </c>
      <c r="H616" t="s">
        <v>17</v>
      </c>
    </row>
    <row r="617" spans="1:8" x14ac:dyDescent="0.25">
      <c r="A617" t="s">
        <v>21</v>
      </c>
      <c r="B617">
        <v>89254</v>
      </c>
      <c r="C617">
        <v>25</v>
      </c>
      <c r="D617" t="s">
        <v>12</v>
      </c>
      <c r="E617">
        <v>0.16</v>
      </c>
      <c r="F617">
        <v>1.38</v>
      </c>
      <c r="G617">
        <v>0.16</v>
      </c>
      <c r="H617" t="s">
        <v>13</v>
      </c>
    </row>
    <row r="618" spans="1:8" x14ac:dyDescent="0.25">
      <c r="A618" t="s">
        <v>20</v>
      </c>
      <c r="B618">
        <v>62009</v>
      </c>
      <c r="C618">
        <v>14</v>
      </c>
      <c r="D618" t="s">
        <v>12</v>
      </c>
      <c r="E618">
        <v>0.5</v>
      </c>
      <c r="F618">
        <v>0.71</v>
      </c>
      <c r="G618">
        <v>0.32</v>
      </c>
      <c r="H618" t="s">
        <v>17</v>
      </c>
    </row>
    <row r="619" spans="1:8" x14ac:dyDescent="0.25">
      <c r="A619" t="s">
        <v>22</v>
      </c>
      <c r="B619">
        <v>56651</v>
      </c>
      <c r="C619">
        <v>18</v>
      </c>
      <c r="D619" t="s">
        <v>28</v>
      </c>
      <c r="E619">
        <v>0.32</v>
      </c>
      <c r="F619">
        <v>0.59</v>
      </c>
      <c r="G619">
        <v>0.39</v>
      </c>
      <c r="H619" t="s">
        <v>17</v>
      </c>
    </row>
    <row r="620" spans="1:8" x14ac:dyDescent="0.25">
      <c r="A620" t="s">
        <v>27</v>
      </c>
      <c r="B620">
        <v>59410</v>
      </c>
      <c r="C620">
        <v>16</v>
      </c>
      <c r="D620" t="s">
        <v>12</v>
      </c>
      <c r="E620">
        <v>0.93</v>
      </c>
      <c r="F620">
        <v>1.33</v>
      </c>
      <c r="G620">
        <v>0.43</v>
      </c>
      <c r="H620" t="s">
        <v>17</v>
      </c>
    </row>
    <row r="621" spans="1:8" x14ac:dyDescent="0.25">
      <c r="A621" t="s">
        <v>33</v>
      </c>
      <c r="B621">
        <v>103844</v>
      </c>
      <c r="C621">
        <v>2</v>
      </c>
      <c r="D621" t="s">
        <v>9</v>
      </c>
      <c r="E621">
        <v>0.89</v>
      </c>
      <c r="F621">
        <v>1.35</v>
      </c>
      <c r="G621">
        <v>0.18</v>
      </c>
      <c r="H621" t="s">
        <v>13</v>
      </c>
    </row>
    <row r="622" spans="1:8" x14ac:dyDescent="0.25">
      <c r="A622" t="s">
        <v>29</v>
      </c>
      <c r="B622">
        <v>128035</v>
      </c>
      <c r="C622">
        <v>23</v>
      </c>
      <c r="D622" t="s">
        <v>9</v>
      </c>
      <c r="E622">
        <v>0.36</v>
      </c>
      <c r="F622">
        <v>0.78</v>
      </c>
      <c r="G622">
        <v>0.74</v>
      </c>
      <c r="H622" t="s">
        <v>10</v>
      </c>
    </row>
    <row r="623" spans="1:8" x14ac:dyDescent="0.25">
      <c r="A623" t="s">
        <v>31</v>
      </c>
      <c r="B623">
        <v>147270</v>
      </c>
      <c r="C623">
        <v>13</v>
      </c>
      <c r="D623" t="s">
        <v>28</v>
      </c>
      <c r="E623">
        <v>0.43</v>
      </c>
      <c r="F623">
        <v>0.55000000000000004</v>
      </c>
      <c r="G623">
        <v>0.83</v>
      </c>
      <c r="H623" t="s">
        <v>10</v>
      </c>
    </row>
    <row r="624" spans="1:8" x14ac:dyDescent="0.25">
      <c r="A624" t="s">
        <v>33</v>
      </c>
      <c r="B624">
        <v>43769</v>
      </c>
      <c r="C624">
        <v>2</v>
      </c>
      <c r="D624" t="s">
        <v>28</v>
      </c>
      <c r="E624">
        <v>0.23</v>
      </c>
      <c r="F624">
        <v>0.83</v>
      </c>
      <c r="G624">
        <v>0.1</v>
      </c>
      <c r="H624" t="s">
        <v>13</v>
      </c>
    </row>
    <row r="625" spans="1:8" x14ac:dyDescent="0.25">
      <c r="A625" t="s">
        <v>18</v>
      </c>
      <c r="B625">
        <v>103616</v>
      </c>
      <c r="C625">
        <v>14</v>
      </c>
      <c r="D625" t="s">
        <v>28</v>
      </c>
      <c r="E625">
        <v>0.25</v>
      </c>
      <c r="F625">
        <v>0.76</v>
      </c>
      <c r="G625">
        <v>0.52</v>
      </c>
      <c r="H625" t="s">
        <v>17</v>
      </c>
    </row>
    <row r="626" spans="1:8" x14ac:dyDescent="0.25">
      <c r="A626" t="s">
        <v>14</v>
      </c>
      <c r="B626">
        <v>79004</v>
      </c>
      <c r="C626">
        <v>28</v>
      </c>
      <c r="D626" t="s">
        <v>9</v>
      </c>
      <c r="E626">
        <v>0.56999999999999995</v>
      </c>
      <c r="F626">
        <v>0.97</v>
      </c>
      <c r="G626">
        <v>0.82</v>
      </c>
      <c r="H626" t="s">
        <v>10</v>
      </c>
    </row>
    <row r="627" spans="1:8" x14ac:dyDescent="0.25">
      <c r="A627" t="s">
        <v>27</v>
      </c>
      <c r="B627">
        <v>140190</v>
      </c>
      <c r="C627">
        <v>17</v>
      </c>
      <c r="D627" t="s">
        <v>9</v>
      </c>
      <c r="E627">
        <v>0.13</v>
      </c>
      <c r="F627">
        <v>0.98</v>
      </c>
      <c r="G627">
        <v>0.61</v>
      </c>
      <c r="H627" t="s">
        <v>17</v>
      </c>
    </row>
    <row r="628" spans="1:8" x14ac:dyDescent="0.25">
      <c r="A628" t="s">
        <v>31</v>
      </c>
      <c r="B628">
        <v>51071</v>
      </c>
      <c r="C628">
        <v>6</v>
      </c>
      <c r="D628" t="s">
        <v>12</v>
      </c>
      <c r="E628">
        <v>0.85</v>
      </c>
      <c r="F628">
        <v>0.85</v>
      </c>
      <c r="G628">
        <v>0.86</v>
      </c>
      <c r="H628" t="s">
        <v>10</v>
      </c>
    </row>
    <row r="629" spans="1:8" x14ac:dyDescent="0.25">
      <c r="A629" t="s">
        <v>34</v>
      </c>
      <c r="B629">
        <v>97913</v>
      </c>
      <c r="C629">
        <v>15</v>
      </c>
      <c r="D629" t="s">
        <v>15</v>
      </c>
      <c r="E629">
        <v>0.65</v>
      </c>
      <c r="F629">
        <v>0.83</v>
      </c>
      <c r="G629">
        <v>0.46</v>
      </c>
      <c r="H629" t="s">
        <v>17</v>
      </c>
    </row>
    <row r="630" spans="1:8" x14ac:dyDescent="0.25">
      <c r="A630" t="s">
        <v>25</v>
      </c>
      <c r="B630">
        <v>138336</v>
      </c>
      <c r="C630">
        <v>8</v>
      </c>
      <c r="D630" t="s">
        <v>28</v>
      </c>
      <c r="E630">
        <v>0.56999999999999995</v>
      </c>
      <c r="F630">
        <v>1.35</v>
      </c>
      <c r="G630">
        <v>0.4</v>
      </c>
      <c r="H630" t="s">
        <v>17</v>
      </c>
    </row>
    <row r="631" spans="1:8" x14ac:dyDescent="0.25">
      <c r="A631" t="s">
        <v>30</v>
      </c>
      <c r="B631">
        <v>37432</v>
      </c>
      <c r="C631">
        <v>23</v>
      </c>
      <c r="D631" t="s">
        <v>15</v>
      </c>
      <c r="E631">
        <v>0.48</v>
      </c>
      <c r="F631">
        <v>0.62</v>
      </c>
      <c r="G631">
        <v>0.1</v>
      </c>
      <c r="H631" t="s">
        <v>13</v>
      </c>
    </row>
    <row r="632" spans="1:8" x14ac:dyDescent="0.25">
      <c r="A632" t="s">
        <v>25</v>
      </c>
      <c r="B632">
        <v>54578</v>
      </c>
      <c r="C632">
        <v>27</v>
      </c>
      <c r="D632" t="s">
        <v>15</v>
      </c>
      <c r="E632">
        <v>0.65</v>
      </c>
      <c r="F632">
        <v>0.85</v>
      </c>
      <c r="G632">
        <v>0.67</v>
      </c>
      <c r="H632" t="s">
        <v>17</v>
      </c>
    </row>
    <row r="633" spans="1:8" x14ac:dyDescent="0.25">
      <c r="A633" t="s">
        <v>18</v>
      </c>
      <c r="B633">
        <v>83609</v>
      </c>
      <c r="C633">
        <v>24</v>
      </c>
      <c r="D633" t="s">
        <v>15</v>
      </c>
      <c r="E633">
        <v>0.03</v>
      </c>
      <c r="F633">
        <v>0.82</v>
      </c>
      <c r="G633">
        <v>0.62</v>
      </c>
      <c r="H633" t="s">
        <v>17</v>
      </c>
    </row>
    <row r="634" spans="1:8" x14ac:dyDescent="0.25">
      <c r="A634" t="s">
        <v>16</v>
      </c>
      <c r="B634">
        <v>51182</v>
      </c>
      <c r="C634">
        <v>8</v>
      </c>
      <c r="D634" t="s">
        <v>15</v>
      </c>
      <c r="E634">
        <v>0.05</v>
      </c>
      <c r="F634">
        <v>1.44</v>
      </c>
      <c r="G634">
        <v>0.51</v>
      </c>
      <c r="H634" t="s">
        <v>17</v>
      </c>
    </row>
    <row r="635" spans="1:8" x14ac:dyDescent="0.25">
      <c r="A635" t="s">
        <v>24</v>
      </c>
      <c r="B635">
        <v>127841</v>
      </c>
      <c r="C635">
        <v>1</v>
      </c>
      <c r="D635" t="s">
        <v>12</v>
      </c>
      <c r="E635">
        <v>0.2</v>
      </c>
      <c r="F635">
        <v>0.53</v>
      </c>
      <c r="G635">
        <v>0.62</v>
      </c>
      <c r="H635" t="s">
        <v>17</v>
      </c>
    </row>
    <row r="636" spans="1:8" x14ac:dyDescent="0.25">
      <c r="A636" t="s">
        <v>11</v>
      </c>
      <c r="B636">
        <v>101160</v>
      </c>
      <c r="C636">
        <v>5</v>
      </c>
      <c r="D636" t="s">
        <v>15</v>
      </c>
      <c r="E636">
        <v>0.72</v>
      </c>
      <c r="F636">
        <v>0.51</v>
      </c>
      <c r="G636">
        <v>0.2</v>
      </c>
      <c r="H636" t="s">
        <v>13</v>
      </c>
    </row>
    <row r="637" spans="1:8" x14ac:dyDescent="0.25">
      <c r="A637" t="s">
        <v>34</v>
      </c>
      <c r="B637">
        <v>38711</v>
      </c>
      <c r="C637">
        <v>7</v>
      </c>
      <c r="D637" t="s">
        <v>28</v>
      </c>
      <c r="E637">
        <v>0.37</v>
      </c>
      <c r="F637">
        <v>1.26</v>
      </c>
      <c r="G637">
        <v>0.69</v>
      </c>
      <c r="H637" t="s">
        <v>17</v>
      </c>
    </row>
    <row r="638" spans="1:8" x14ac:dyDescent="0.25">
      <c r="A638" t="s">
        <v>27</v>
      </c>
      <c r="B638">
        <v>138886</v>
      </c>
      <c r="C638">
        <v>23</v>
      </c>
      <c r="D638" t="s">
        <v>9</v>
      </c>
      <c r="E638">
        <v>0.76</v>
      </c>
      <c r="F638">
        <v>1.27</v>
      </c>
      <c r="G638">
        <v>0.65</v>
      </c>
      <c r="H638" t="s">
        <v>17</v>
      </c>
    </row>
    <row r="639" spans="1:8" x14ac:dyDescent="0.25">
      <c r="A639" t="s">
        <v>11</v>
      </c>
      <c r="B639">
        <v>97696</v>
      </c>
      <c r="C639">
        <v>20</v>
      </c>
      <c r="D639" t="s">
        <v>15</v>
      </c>
      <c r="E639">
        <v>0.53</v>
      </c>
      <c r="F639">
        <v>0.69</v>
      </c>
      <c r="G639">
        <v>0.16</v>
      </c>
      <c r="H639" t="s">
        <v>13</v>
      </c>
    </row>
    <row r="640" spans="1:8" x14ac:dyDescent="0.25">
      <c r="A640" t="s">
        <v>31</v>
      </c>
      <c r="B640">
        <v>105948</v>
      </c>
      <c r="C640">
        <v>10</v>
      </c>
      <c r="D640" t="s">
        <v>15</v>
      </c>
      <c r="E640">
        <v>0.76</v>
      </c>
      <c r="F640">
        <v>1.27</v>
      </c>
      <c r="G640">
        <v>0.81</v>
      </c>
      <c r="H640" t="s">
        <v>10</v>
      </c>
    </row>
    <row r="641" spans="1:8" x14ac:dyDescent="0.25">
      <c r="A641" t="s">
        <v>25</v>
      </c>
      <c r="B641">
        <v>44235</v>
      </c>
      <c r="C641">
        <v>15</v>
      </c>
      <c r="D641" t="s">
        <v>12</v>
      </c>
      <c r="E641">
        <v>0.1</v>
      </c>
      <c r="F641">
        <v>1.45</v>
      </c>
      <c r="G641">
        <v>0.62</v>
      </c>
      <c r="H641" t="s">
        <v>17</v>
      </c>
    </row>
    <row r="642" spans="1:8" x14ac:dyDescent="0.25">
      <c r="A642" t="s">
        <v>31</v>
      </c>
      <c r="B642">
        <v>61688</v>
      </c>
      <c r="C642">
        <v>26</v>
      </c>
      <c r="D642" t="s">
        <v>15</v>
      </c>
      <c r="E642">
        <v>0.12</v>
      </c>
      <c r="F642">
        <v>1.26</v>
      </c>
      <c r="G642">
        <v>0.93</v>
      </c>
      <c r="H642" t="s">
        <v>10</v>
      </c>
    </row>
    <row r="643" spans="1:8" x14ac:dyDescent="0.25">
      <c r="A643" t="s">
        <v>8</v>
      </c>
      <c r="B643">
        <v>47883</v>
      </c>
      <c r="C643">
        <v>22</v>
      </c>
      <c r="D643" t="s">
        <v>15</v>
      </c>
      <c r="E643">
        <v>0.53</v>
      </c>
      <c r="F643">
        <v>0.6</v>
      </c>
      <c r="G643">
        <v>0.92</v>
      </c>
      <c r="H643" t="s">
        <v>10</v>
      </c>
    </row>
    <row r="644" spans="1:8" x14ac:dyDescent="0.25">
      <c r="A644" t="s">
        <v>23</v>
      </c>
      <c r="B644">
        <v>105569</v>
      </c>
      <c r="C644">
        <v>15</v>
      </c>
      <c r="D644" t="s">
        <v>12</v>
      </c>
      <c r="E644">
        <v>0.57999999999999996</v>
      </c>
      <c r="F644">
        <v>1.2</v>
      </c>
      <c r="G644">
        <v>0.86</v>
      </c>
      <c r="H644" t="s">
        <v>10</v>
      </c>
    </row>
    <row r="645" spans="1:8" x14ac:dyDescent="0.25">
      <c r="A645" t="s">
        <v>16</v>
      </c>
      <c r="B645">
        <v>73271</v>
      </c>
      <c r="C645">
        <v>9</v>
      </c>
      <c r="D645" t="s">
        <v>28</v>
      </c>
      <c r="E645">
        <v>0.31</v>
      </c>
      <c r="F645">
        <v>0.61</v>
      </c>
      <c r="G645">
        <v>0.64</v>
      </c>
      <c r="H645" t="s">
        <v>17</v>
      </c>
    </row>
    <row r="646" spans="1:8" x14ac:dyDescent="0.25">
      <c r="A646" t="s">
        <v>21</v>
      </c>
      <c r="B646">
        <v>147327</v>
      </c>
      <c r="C646">
        <v>15</v>
      </c>
      <c r="D646" t="s">
        <v>28</v>
      </c>
      <c r="E646">
        <v>0.18</v>
      </c>
      <c r="F646">
        <v>1.32</v>
      </c>
      <c r="G646">
        <v>0.12</v>
      </c>
      <c r="H646" t="s">
        <v>13</v>
      </c>
    </row>
    <row r="647" spans="1:8" x14ac:dyDescent="0.25">
      <c r="A647" t="s">
        <v>8</v>
      </c>
      <c r="B647">
        <v>76798</v>
      </c>
      <c r="C647">
        <v>0</v>
      </c>
      <c r="D647" t="s">
        <v>9</v>
      </c>
      <c r="E647">
        <v>0.2</v>
      </c>
      <c r="F647">
        <v>0.84</v>
      </c>
      <c r="G647">
        <v>0.82</v>
      </c>
      <c r="H647" t="s">
        <v>10</v>
      </c>
    </row>
    <row r="648" spans="1:8" x14ac:dyDescent="0.25">
      <c r="A648" t="s">
        <v>30</v>
      </c>
      <c r="B648">
        <v>127077</v>
      </c>
      <c r="C648">
        <v>9</v>
      </c>
      <c r="D648" t="s">
        <v>9</v>
      </c>
      <c r="E648">
        <v>0.7</v>
      </c>
      <c r="F648">
        <v>1.01</v>
      </c>
      <c r="G648">
        <v>0.27</v>
      </c>
      <c r="H648" t="s">
        <v>13</v>
      </c>
    </row>
    <row r="649" spans="1:8" x14ac:dyDescent="0.25">
      <c r="A649" t="s">
        <v>14</v>
      </c>
      <c r="B649">
        <v>145088</v>
      </c>
      <c r="C649">
        <v>12</v>
      </c>
      <c r="D649" t="s">
        <v>9</v>
      </c>
      <c r="E649">
        <v>0.81</v>
      </c>
      <c r="F649">
        <v>0.72</v>
      </c>
      <c r="G649">
        <v>0.88</v>
      </c>
      <c r="H649" t="s">
        <v>10</v>
      </c>
    </row>
    <row r="650" spans="1:8" x14ac:dyDescent="0.25">
      <c r="A650" t="s">
        <v>26</v>
      </c>
      <c r="B650">
        <v>33841</v>
      </c>
      <c r="C650">
        <v>28</v>
      </c>
      <c r="D650" t="s">
        <v>15</v>
      </c>
      <c r="E650">
        <v>0.47</v>
      </c>
      <c r="F650">
        <v>1.1599999999999999</v>
      </c>
      <c r="G650">
        <v>0.66</v>
      </c>
      <c r="H650" t="s">
        <v>17</v>
      </c>
    </row>
    <row r="651" spans="1:8" x14ac:dyDescent="0.25">
      <c r="A651" t="s">
        <v>26</v>
      </c>
      <c r="B651">
        <v>141789</v>
      </c>
      <c r="C651">
        <v>27</v>
      </c>
      <c r="D651" t="s">
        <v>28</v>
      </c>
      <c r="E651">
        <v>0.55000000000000004</v>
      </c>
      <c r="F651">
        <v>1.1599999999999999</v>
      </c>
      <c r="G651">
        <v>0.43</v>
      </c>
      <c r="H651" t="s">
        <v>17</v>
      </c>
    </row>
    <row r="652" spans="1:8" x14ac:dyDescent="0.25">
      <c r="A652" t="s">
        <v>21</v>
      </c>
      <c r="B652">
        <v>102828</v>
      </c>
      <c r="C652">
        <v>1</v>
      </c>
      <c r="D652" t="s">
        <v>28</v>
      </c>
      <c r="E652">
        <v>0.54</v>
      </c>
      <c r="F652">
        <v>1.04</v>
      </c>
      <c r="G652">
        <v>0.17</v>
      </c>
      <c r="H652" t="s">
        <v>13</v>
      </c>
    </row>
    <row r="653" spans="1:8" x14ac:dyDescent="0.25">
      <c r="A653" t="s">
        <v>24</v>
      </c>
      <c r="B653">
        <v>50754</v>
      </c>
      <c r="C653">
        <v>13</v>
      </c>
      <c r="D653" t="s">
        <v>15</v>
      </c>
      <c r="E653">
        <v>0.37</v>
      </c>
      <c r="F653">
        <v>1.46</v>
      </c>
      <c r="G653">
        <v>0.63</v>
      </c>
      <c r="H653" t="s">
        <v>17</v>
      </c>
    </row>
    <row r="654" spans="1:8" x14ac:dyDescent="0.25">
      <c r="A654" t="s">
        <v>14</v>
      </c>
      <c r="B654">
        <v>105481</v>
      </c>
      <c r="C654">
        <v>14</v>
      </c>
      <c r="D654" t="s">
        <v>15</v>
      </c>
      <c r="E654">
        <v>0.8</v>
      </c>
      <c r="F654">
        <v>1.06</v>
      </c>
      <c r="G654">
        <v>0.7</v>
      </c>
      <c r="H654" t="s">
        <v>17</v>
      </c>
    </row>
    <row r="655" spans="1:8" x14ac:dyDescent="0.25">
      <c r="A655" t="s">
        <v>24</v>
      </c>
      <c r="B655">
        <v>118110</v>
      </c>
      <c r="C655">
        <v>3</v>
      </c>
      <c r="D655" t="s">
        <v>9</v>
      </c>
      <c r="E655">
        <v>0.02</v>
      </c>
      <c r="F655">
        <v>1.43</v>
      </c>
      <c r="G655">
        <v>0.62</v>
      </c>
      <c r="H655" t="s">
        <v>17</v>
      </c>
    </row>
    <row r="656" spans="1:8" x14ac:dyDescent="0.25">
      <c r="A656" t="s">
        <v>20</v>
      </c>
      <c r="B656">
        <v>96178</v>
      </c>
      <c r="C656">
        <v>16</v>
      </c>
      <c r="D656" t="s">
        <v>15</v>
      </c>
      <c r="E656">
        <v>0.08</v>
      </c>
      <c r="F656">
        <v>1</v>
      </c>
      <c r="G656">
        <v>0.56999999999999995</v>
      </c>
      <c r="H656" t="s">
        <v>17</v>
      </c>
    </row>
    <row r="657" spans="1:8" x14ac:dyDescent="0.25">
      <c r="A657" t="s">
        <v>22</v>
      </c>
      <c r="B657">
        <v>146903</v>
      </c>
      <c r="C657">
        <v>21</v>
      </c>
      <c r="D657" t="s">
        <v>12</v>
      </c>
      <c r="E657">
        <v>0.13</v>
      </c>
      <c r="F657">
        <v>0.59</v>
      </c>
      <c r="G657">
        <v>0.54</v>
      </c>
      <c r="H657" t="s">
        <v>17</v>
      </c>
    </row>
    <row r="658" spans="1:8" x14ac:dyDescent="0.25">
      <c r="A658" t="s">
        <v>32</v>
      </c>
      <c r="B658">
        <v>101835</v>
      </c>
      <c r="C658">
        <v>22</v>
      </c>
      <c r="D658" t="s">
        <v>9</v>
      </c>
      <c r="E658">
        <v>0.45</v>
      </c>
      <c r="F658">
        <v>1.23</v>
      </c>
      <c r="G658">
        <v>0.45</v>
      </c>
      <c r="H658" t="s">
        <v>17</v>
      </c>
    </row>
    <row r="659" spans="1:8" x14ac:dyDescent="0.25">
      <c r="A659" t="s">
        <v>24</v>
      </c>
      <c r="B659">
        <v>144300</v>
      </c>
      <c r="C659">
        <v>13</v>
      </c>
      <c r="D659" t="s">
        <v>12</v>
      </c>
      <c r="E659">
        <v>0.27</v>
      </c>
      <c r="F659">
        <v>1.03</v>
      </c>
      <c r="G659">
        <v>0.63</v>
      </c>
      <c r="H659" t="s">
        <v>17</v>
      </c>
    </row>
    <row r="660" spans="1:8" x14ac:dyDescent="0.25">
      <c r="A660" t="s">
        <v>30</v>
      </c>
      <c r="B660">
        <v>80908</v>
      </c>
      <c r="C660">
        <v>14</v>
      </c>
      <c r="D660" t="s">
        <v>15</v>
      </c>
      <c r="E660">
        <v>0.43</v>
      </c>
      <c r="F660">
        <v>0.83</v>
      </c>
      <c r="G660">
        <v>0.09</v>
      </c>
      <c r="H660" t="s">
        <v>13</v>
      </c>
    </row>
    <row r="661" spans="1:8" x14ac:dyDescent="0.25">
      <c r="A661" t="s">
        <v>22</v>
      </c>
      <c r="B661">
        <v>30567</v>
      </c>
      <c r="C661">
        <v>8</v>
      </c>
      <c r="D661" t="s">
        <v>28</v>
      </c>
      <c r="E661">
        <v>0.98</v>
      </c>
      <c r="F661">
        <v>1.1399999999999999</v>
      </c>
      <c r="G661">
        <v>0.41</v>
      </c>
      <c r="H661" t="s">
        <v>17</v>
      </c>
    </row>
    <row r="662" spans="1:8" x14ac:dyDescent="0.25">
      <c r="A662" t="s">
        <v>31</v>
      </c>
      <c r="B662">
        <v>119342</v>
      </c>
      <c r="C662">
        <v>3</v>
      </c>
      <c r="D662" t="s">
        <v>15</v>
      </c>
      <c r="E662">
        <v>0.8</v>
      </c>
      <c r="F662">
        <v>1.47</v>
      </c>
      <c r="G662">
        <v>0.82</v>
      </c>
      <c r="H662" t="s">
        <v>10</v>
      </c>
    </row>
    <row r="663" spans="1:8" x14ac:dyDescent="0.25">
      <c r="A663" t="s">
        <v>23</v>
      </c>
      <c r="B663">
        <v>106762</v>
      </c>
      <c r="C663">
        <v>7</v>
      </c>
      <c r="D663" t="s">
        <v>28</v>
      </c>
      <c r="E663">
        <v>0.06</v>
      </c>
      <c r="F663">
        <v>0.68</v>
      </c>
      <c r="G663">
        <v>0.89</v>
      </c>
      <c r="H663" t="s">
        <v>10</v>
      </c>
    </row>
    <row r="664" spans="1:8" x14ac:dyDescent="0.25">
      <c r="A664" t="s">
        <v>34</v>
      </c>
      <c r="B664">
        <v>101486</v>
      </c>
      <c r="C664">
        <v>16</v>
      </c>
      <c r="D664" t="s">
        <v>12</v>
      </c>
      <c r="E664">
        <v>0.95</v>
      </c>
      <c r="F664">
        <v>0.86</v>
      </c>
      <c r="G664">
        <v>0.4</v>
      </c>
      <c r="H664" t="s">
        <v>17</v>
      </c>
    </row>
    <row r="665" spans="1:8" x14ac:dyDescent="0.25">
      <c r="A665" t="s">
        <v>20</v>
      </c>
      <c r="B665">
        <v>56926</v>
      </c>
      <c r="C665">
        <v>15</v>
      </c>
      <c r="D665" t="s">
        <v>9</v>
      </c>
      <c r="E665">
        <v>0.91</v>
      </c>
      <c r="F665">
        <v>1.03</v>
      </c>
      <c r="G665">
        <v>0.36</v>
      </c>
      <c r="H665" t="s">
        <v>17</v>
      </c>
    </row>
    <row r="666" spans="1:8" x14ac:dyDescent="0.25">
      <c r="A666" t="s">
        <v>11</v>
      </c>
      <c r="B666">
        <v>64986</v>
      </c>
      <c r="C666">
        <v>26</v>
      </c>
      <c r="D666" t="s">
        <v>12</v>
      </c>
      <c r="E666">
        <v>0.75</v>
      </c>
      <c r="F666">
        <v>1.36</v>
      </c>
      <c r="G666">
        <v>0.21</v>
      </c>
      <c r="H666" t="s">
        <v>13</v>
      </c>
    </row>
    <row r="667" spans="1:8" x14ac:dyDescent="0.25">
      <c r="A667" t="s">
        <v>18</v>
      </c>
      <c r="B667">
        <v>30944</v>
      </c>
      <c r="C667">
        <v>9</v>
      </c>
      <c r="D667" t="s">
        <v>15</v>
      </c>
      <c r="E667">
        <v>0.52</v>
      </c>
      <c r="F667">
        <v>1.33</v>
      </c>
      <c r="G667">
        <v>0.47</v>
      </c>
      <c r="H667" t="s">
        <v>17</v>
      </c>
    </row>
    <row r="668" spans="1:8" x14ac:dyDescent="0.25">
      <c r="A668" t="s">
        <v>22</v>
      </c>
      <c r="B668">
        <v>60540</v>
      </c>
      <c r="C668">
        <v>11</v>
      </c>
      <c r="D668" t="s">
        <v>9</v>
      </c>
      <c r="E668">
        <v>0.08</v>
      </c>
      <c r="F668">
        <v>0.75</v>
      </c>
      <c r="G668">
        <v>0.57999999999999996</v>
      </c>
      <c r="H668" t="s">
        <v>17</v>
      </c>
    </row>
    <row r="669" spans="1:8" x14ac:dyDescent="0.25">
      <c r="A669" t="s">
        <v>26</v>
      </c>
      <c r="B669">
        <v>87410</v>
      </c>
      <c r="C669">
        <v>12</v>
      </c>
      <c r="D669" t="s">
        <v>28</v>
      </c>
      <c r="E669">
        <v>0.46</v>
      </c>
      <c r="F669">
        <v>1.05</v>
      </c>
      <c r="G669">
        <v>0.68</v>
      </c>
      <c r="H669" t="s">
        <v>17</v>
      </c>
    </row>
    <row r="670" spans="1:8" x14ac:dyDescent="0.25">
      <c r="A670" t="s">
        <v>26</v>
      </c>
      <c r="B670">
        <v>148362</v>
      </c>
      <c r="C670">
        <v>2</v>
      </c>
      <c r="D670" t="s">
        <v>9</v>
      </c>
      <c r="E670">
        <v>0.56000000000000005</v>
      </c>
      <c r="F670">
        <v>0.8</v>
      </c>
      <c r="G670">
        <v>0.37</v>
      </c>
      <c r="H670" t="s">
        <v>17</v>
      </c>
    </row>
    <row r="671" spans="1:8" x14ac:dyDescent="0.25">
      <c r="A671" t="s">
        <v>16</v>
      </c>
      <c r="B671">
        <v>72460</v>
      </c>
      <c r="C671">
        <v>12</v>
      </c>
      <c r="D671" t="s">
        <v>9</v>
      </c>
      <c r="E671">
        <v>0.6</v>
      </c>
      <c r="F671">
        <v>0.76</v>
      </c>
      <c r="G671">
        <v>0.51</v>
      </c>
      <c r="H671" t="s">
        <v>17</v>
      </c>
    </row>
    <row r="672" spans="1:8" x14ac:dyDescent="0.25">
      <c r="A672" t="s">
        <v>32</v>
      </c>
      <c r="B672">
        <v>130257</v>
      </c>
      <c r="C672">
        <v>4</v>
      </c>
      <c r="D672" t="s">
        <v>9</v>
      </c>
      <c r="E672">
        <v>0.82</v>
      </c>
      <c r="F672">
        <v>0.69</v>
      </c>
      <c r="G672">
        <v>0.57999999999999996</v>
      </c>
      <c r="H672" t="s">
        <v>17</v>
      </c>
    </row>
    <row r="673" spans="1:8" x14ac:dyDescent="0.25">
      <c r="A673" t="s">
        <v>31</v>
      </c>
      <c r="B673">
        <v>106054</v>
      </c>
      <c r="C673">
        <v>29</v>
      </c>
      <c r="D673" t="s">
        <v>15</v>
      </c>
      <c r="E673">
        <v>0.48</v>
      </c>
      <c r="F673">
        <v>0.54</v>
      </c>
      <c r="G673">
        <v>0.94</v>
      </c>
      <c r="H673" t="s">
        <v>10</v>
      </c>
    </row>
    <row r="674" spans="1:8" x14ac:dyDescent="0.25">
      <c r="A674" t="s">
        <v>21</v>
      </c>
      <c r="B674">
        <v>139588</v>
      </c>
      <c r="C674">
        <v>26</v>
      </c>
      <c r="D674" t="s">
        <v>12</v>
      </c>
      <c r="E674">
        <v>0.66</v>
      </c>
      <c r="F674">
        <v>0.84</v>
      </c>
      <c r="G674">
        <v>0.22</v>
      </c>
      <c r="H674" t="s">
        <v>13</v>
      </c>
    </row>
    <row r="675" spans="1:8" x14ac:dyDescent="0.25">
      <c r="A675" t="s">
        <v>22</v>
      </c>
      <c r="B675">
        <v>97143</v>
      </c>
      <c r="C675">
        <v>15</v>
      </c>
      <c r="D675" t="s">
        <v>28</v>
      </c>
      <c r="E675">
        <v>0.88</v>
      </c>
      <c r="F675">
        <v>0.71</v>
      </c>
      <c r="G675">
        <v>0.67</v>
      </c>
      <c r="H675" t="s">
        <v>17</v>
      </c>
    </row>
    <row r="676" spans="1:8" x14ac:dyDescent="0.25">
      <c r="A676" t="s">
        <v>20</v>
      </c>
      <c r="B676">
        <v>49798</v>
      </c>
      <c r="C676">
        <v>14</v>
      </c>
      <c r="D676" t="s">
        <v>12</v>
      </c>
      <c r="E676">
        <v>0.01</v>
      </c>
      <c r="F676">
        <v>0.69</v>
      </c>
      <c r="G676">
        <v>0.34</v>
      </c>
      <c r="H676" t="s">
        <v>17</v>
      </c>
    </row>
    <row r="677" spans="1:8" x14ac:dyDescent="0.25">
      <c r="A677" t="s">
        <v>30</v>
      </c>
      <c r="B677">
        <v>87748</v>
      </c>
      <c r="C677">
        <v>7</v>
      </c>
      <c r="D677" t="s">
        <v>12</v>
      </c>
      <c r="E677">
        <v>0.52</v>
      </c>
      <c r="F677">
        <v>1.24</v>
      </c>
      <c r="G677">
        <v>0.19</v>
      </c>
      <c r="H677" t="s">
        <v>13</v>
      </c>
    </row>
    <row r="678" spans="1:8" x14ac:dyDescent="0.25">
      <c r="A678" t="s">
        <v>29</v>
      </c>
      <c r="B678">
        <v>46254</v>
      </c>
      <c r="C678">
        <v>16</v>
      </c>
      <c r="D678" t="s">
        <v>15</v>
      </c>
      <c r="E678">
        <v>0.62</v>
      </c>
      <c r="F678">
        <v>0.69</v>
      </c>
      <c r="G678">
        <v>0.82</v>
      </c>
      <c r="H678" t="s">
        <v>10</v>
      </c>
    </row>
    <row r="679" spans="1:8" x14ac:dyDescent="0.25">
      <c r="A679" t="s">
        <v>32</v>
      </c>
      <c r="B679">
        <v>75211</v>
      </c>
      <c r="C679">
        <v>1</v>
      </c>
      <c r="D679" t="s">
        <v>28</v>
      </c>
      <c r="E679">
        <v>0.99</v>
      </c>
      <c r="F679">
        <v>1.45</v>
      </c>
      <c r="G679">
        <v>0.33</v>
      </c>
      <c r="H679" t="s">
        <v>17</v>
      </c>
    </row>
    <row r="680" spans="1:8" x14ac:dyDescent="0.25">
      <c r="A680" t="s">
        <v>22</v>
      </c>
      <c r="B680">
        <v>39695</v>
      </c>
      <c r="C680">
        <v>6</v>
      </c>
      <c r="D680" t="s">
        <v>12</v>
      </c>
      <c r="E680">
        <v>0.35</v>
      </c>
      <c r="F680">
        <v>0.97</v>
      </c>
      <c r="G680">
        <v>0.43</v>
      </c>
      <c r="H680" t="s">
        <v>17</v>
      </c>
    </row>
    <row r="681" spans="1:8" x14ac:dyDescent="0.25">
      <c r="A681" t="s">
        <v>20</v>
      </c>
      <c r="B681">
        <v>57740</v>
      </c>
      <c r="C681">
        <v>0</v>
      </c>
      <c r="D681" t="s">
        <v>28</v>
      </c>
      <c r="E681">
        <v>0.11</v>
      </c>
      <c r="F681">
        <v>1</v>
      </c>
      <c r="G681">
        <v>0.57999999999999996</v>
      </c>
      <c r="H681" t="s">
        <v>17</v>
      </c>
    </row>
    <row r="682" spans="1:8" x14ac:dyDescent="0.25">
      <c r="A682" t="s">
        <v>8</v>
      </c>
      <c r="B682">
        <v>99306</v>
      </c>
      <c r="C682">
        <v>14</v>
      </c>
      <c r="D682" t="s">
        <v>28</v>
      </c>
      <c r="E682">
        <v>0.4</v>
      </c>
      <c r="F682">
        <v>0.6</v>
      </c>
      <c r="G682">
        <v>0.72</v>
      </c>
      <c r="H682" t="s">
        <v>10</v>
      </c>
    </row>
    <row r="683" spans="1:8" x14ac:dyDescent="0.25">
      <c r="A683" t="s">
        <v>24</v>
      </c>
      <c r="B683">
        <v>54524</v>
      </c>
      <c r="C683">
        <v>17</v>
      </c>
      <c r="D683" t="s">
        <v>15</v>
      </c>
      <c r="E683">
        <v>0.42</v>
      </c>
      <c r="F683">
        <v>0.56999999999999995</v>
      </c>
      <c r="G683">
        <v>0.5</v>
      </c>
      <c r="H683" t="s">
        <v>17</v>
      </c>
    </row>
    <row r="684" spans="1:8" x14ac:dyDescent="0.25">
      <c r="A684" t="s">
        <v>24</v>
      </c>
      <c r="B684">
        <v>92345</v>
      </c>
      <c r="C684">
        <v>23</v>
      </c>
      <c r="D684" t="s">
        <v>28</v>
      </c>
      <c r="E684">
        <v>0.19</v>
      </c>
      <c r="F684">
        <v>1.41</v>
      </c>
      <c r="G684">
        <v>0.51</v>
      </c>
      <c r="H684" t="s">
        <v>17</v>
      </c>
    </row>
    <row r="685" spans="1:8" x14ac:dyDescent="0.25">
      <c r="A685" t="s">
        <v>21</v>
      </c>
      <c r="B685">
        <v>93220</v>
      </c>
      <c r="C685">
        <v>27</v>
      </c>
      <c r="D685" t="s">
        <v>9</v>
      </c>
      <c r="E685">
        <v>0.45</v>
      </c>
      <c r="F685">
        <v>1.47</v>
      </c>
      <c r="G685">
        <v>0.26</v>
      </c>
      <c r="H685" t="s">
        <v>13</v>
      </c>
    </row>
    <row r="686" spans="1:8" x14ac:dyDescent="0.25">
      <c r="A686" t="s">
        <v>25</v>
      </c>
      <c r="B686">
        <v>108610</v>
      </c>
      <c r="C686">
        <v>13</v>
      </c>
      <c r="D686" t="s">
        <v>9</v>
      </c>
      <c r="E686">
        <v>0.43</v>
      </c>
      <c r="F686">
        <v>0.73</v>
      </c>
      <c r="G686">
        <v>0.7</v>
      </c>
      <c r="H686" t="s">
        <v>17</v>
      </c>
    </row>
    <row r="687" spans="1:8" x14ac:dyDescent="0.25">
      <c r="A687" t="s">
        <v>18</v>
      </c>
      <c r="B687">
        <v>64722</v>
      </c>
      <c r="C687">
        <v>23</v>
      </c>
      <c r="D687" t="s">
        <v>28</v>
      </c>
      <c r="E687">
        <v>0.19</v>
      </c>
      <c r="F687">
        <v>1.17</v>
      </c>
      <c r="G687">
        <v>0.34</v>
      </c>
      <c r="H687" t="s">
        <v>17</v>
      </c>
    </row>
    <row r="688" spans="1:8" x14ac:dyDescent="0.25">
      <c r="A688" t="s">
        <v>8</v>
      </c>
      <c r="B688">
        <v>70910</v>
      </c>
      <c r="C688">
        <v>20</v>
      </c>
      <c r="D688" t="s">
        <v>12</v>
      </c>
      <c r="E688">
        <v>0.92</v>
      </c>
      <c r="F688">
        <v>0.87</v>
      </c>
      <c r="G688">
        <v>0.93</v>
      </c>
      <c r="H688" t="s">
        <v>10</v>
      </c>
    </row>
    <row r="689" spans="1:8" x14ac:dyDescent="0.25">
      <c r="A689" t="s">
        <v>19</v>
      </c>
      <c r="B689">
        <v>138347</v>
      </c>
      <c r="C689">
        <v>21</v>
      </c>
      <c r="D689" t="s">
        <v>28</v>
      </c>
      <c r="E689">
        <v>0.78</v>
      </c>
      <c r="F689">
        <v>0.96</v>
      </c>
      <c r="G689">
        <v>0.22</v>
      </c>
      <c r="H689" t="s">
        <v>13</v>
      </c>
    </row>
    <row r="690" spans="1:8" x14ac:dyDescent="0.25">
      <c r="A690" t="s">
        <v>34</v>
      </c>
      <c r="B690">
        <v>58152</v>
      </c>
      <c r="C690">
        <v>13</v>
      </c>
      <c r="D690" t="s">
        <v>9</v>
      </c>
      <c r="E690">
        <v>0.82</v>
      </c>
      <c r="F690">
        <v>1.05</v>
      </c>
      <c r="G690">
        <v>0.48</v>
      </c>
      <c r="H690" t="s">
        <v>17</v>
      </c>
    </row>
    <row r="691" spans="1:8" x14ac:dyDescent="0.25">
      <c r="A691" t="s">
        <v>25</v>
      </c>
      <c r="B691">
        <v>95063</v>
      </c>
      <c r="C691">
        <v>3</v>
      </c>
      <c r="D691" t="s">
        <v>12</v>
      </c>
      <c r="E691">
        <v>0.74</v>
      </c>
      <c r="F691">
        <v>1.03</v>
      </c>
      <c r="G691">
        <v>0.62</v>
      </c>
      <c r="H691" t="s">
        <v>17</v>
      </c>
    </row>
    <row r="692" spans="1:8" x14ac:dyDescent="0.25">
      <c r="A692" t="s">
        <v>29</v>
      </c>
      <c r="B692">
        <v>125761</v>
      </c>
      <c r="C692">
        <v>21</v>
      </c>
      <c r="D692" t="s">
        <v>12</v>
      </c>
      <c r="E692">
        <v>0.86</v>
      </c>
      <c r="F692">
        <v>0.76</v>
      </c>
      <c r="G692">
        <v>0.76</v>
      </c>
      <c r="H692" t="s">
        <v>10</v>
      </c>
    </row>
    <row r="693" spans="1:8" x14ac:dyDescent="0.25">
      <c r="A693" t="s">
        <v>27</v>
      </c>
      <c r="B693">
        <v>31645</v>
      </c>
      <c r="C693">
        <v>4</v>
      </c>
      <c r="D693" t="s">
        <v>15</v>
      </c>
      <c r="E693">
        <v>0.97</v>
      </c>
      <c r="F693">
        <v>1.32</v>
      </c>
      <c r="G693">
        <v>0.38</v>
      </c>
      <c r="H693" t="s">
        <v>17</v>
      </c>
    </row>
    <row r="694" spans="1:8" x14ac:dyDescent="0.25">
      <c r="A694" t="s">
        <v>23</v>
      </c>
      <c r="B694">
        <v>73262</v>
      </c>
      <c r="C694">
        <v>2</v>
      </c>
      <c r="D694" t="s">
        <v>12</v>
      </c>
      <c r="E694">
        <v>0.64</v>
      </c>
      <c r="F694">
        <v>0.51</v>
      </c>
      <c r="G694">
        <v>0.71</v>
      </c>
      <c r="H694" t="s">
        <v>10</v>
      </c>
    </row>
    <row r="695" spans="1:8" x14ac:dyDescent="0.25">
      <c r="A695" t="s">
        <v>29</v>
      </c>
      <c r="B695">
        <v>51730</v>
      </c>
      <c r="C695">
        <v>25</v>
      </c>
      <c r="D695" t="s">
        <v>15</v>
      </c>
      <c r="E695">
        <v>0.77</v>
      </c>
      <c r="F695">
        <v>0.72</v>
      </c>
      <c r="G695">
        <v>0.77</v>
      </c>
      <c r="H695" t="s">
        <v>10</v>
      </c>
    </row>
    <row r="696" spans="1:8" x14ac:dyDescent="0.25">
      <c r="A696" t="s">
        <v>8</v>
      </c>
      <c r="B696">
        <v>123878</v>
      </c>
      <c r="C696">
        <v>5</v>
      </c>
      <c r="D696" t="s">
        <v>28</v>
      </c>
      <c r="E696">
        <v>0.76</v>
      </c>
      <c r="F696">
        <v>0.77</v>
      </c>
      <c r="G696">
        <v>0.82</v>
      </c>
      <c r="H696" t="s">
        <v>10</v>
      </c>
    </row>
    <row r="697" spans="1:8" x14ac:dyDescent="0.25">
      <c r="A697" t="s">
        <v>16</v>
      </c>
      <c r="B697">
        <v>89300</v>
      </c>
      <c r="C697">
        <v>11</v>
      </c>
      <c r="D697" t="s">
        <v>15</v>
      </c>
      <c r="E697">
        <v>0.04</v>
      </c>
      <c r="F697">
        <v>0.93</v>
      </c>
      <c r="G697">
        <v>0.32</v>
      </c>
      <c r="H697" t="s">
        <v>17</v>
      </c>
    </row>
    <row r="698" spans="1:8" x14ac:dyDescent="0.25">
      <c r="A698" t="s">
        <v>26</v>
      </c>
      <c r="B698">
        <v>131971</v>
      </c>
      <c r="C698">
        <v>5</v>
      </c>
      <c r="D698" t="s">
        <v>28</v>
      </c>
      <c r="E698">
        <v>0.87</v>
      </c>
      <c r="F698">
        <v>1.43</v>
      </c>
      <c r="G698">
        <v>0.43</v>
      </c>
      <c r="H698" t="s">
        <v>17</v>
      </c>
    </row>
    <row r="699" spans="1:8" x14ac:dyDescent="0.25">
      <c r="A699" t="s">
        <v>22</v>
      </c>
      <c r="B699">
        <v>113441</v>
      </c>
      <c r="C699">
        <v>10</v>
      </c>
      <c r="D699" t="s">
        <v>28</v>
      </c>
      <c r="E699">
        <v>0.26</v>
      </c>
      <c r="F699">
        <v>1.1599999999999999</v>
      </c>
      <c r="G699">
        <v>0.31</v>
      </c>
      <c r="H699" t="s">
        <v>17</v>
      </c>
    </row>
    <row r="700" spans="1:8" x14ac:dyDescent="0.25">
      <c r="A700" t="s">
        <v>23</v>
      </c>
      <c r="B700">
        <v>87589</v>
      </c>
      <c r="C700">
        <v>15</v>
      </c>
      <c r="D700" t="s">
        <v>28</v>
      </c>
      <c r="E700">
        <v>0.99</v>
      </c>
      <c r="F700">
        <v>1.48</v>
      </c>
      <c r="G700">
        <v>0.92</v>
      </c>
      <c r="H700" t="s">
        <v>10</v>
      </c>
    </row>
    <row r="701" spans="1:8" x14ac:dyDescent="0.25">
      <c r="A701" t="s">
        <v>27</v>
      </c>
      <c r="B701">
        <v>113446</v>
      </c>
      <c r="C701">
        <v>8</v>
      </c>
      <c r="D701" t="s">
        <v>15</v>
      </c>
      <c r="E701">
        <v>0.73</v>
      </c>
      <c r="F701">
        <v>1.31</v>
      </c>
      <c r="G701">
        <v>0.64</v>
      </c>
      <c r="H701" t="s">
        <v>17</v>
      </c>
    </row>
    <row r="702" spans="1:8" x14ac:dyDescent="0.25">
      <c r="A702" t="s">
        <v>29</v>
      </c>
      <c r="B702">
        <v>135301</v>
      </c>
      <c r="C702">
        <v>25</v>
      </c>
      <c r="D702" t="s">
        <v>9</v>
      </c>
      <c r="E702">
        <v>0.06</v>
      </c>
      <c r="F702">
        <v>1.07</v>
      </c>
      <c r="G702">
        <v>0.92</v>
      </c>
      <c r="H702" t="s">
        <v>10</v>
      </c>
    </row>
    <row r="703" spans="1:8" x14ac:dyDescent="0.25">
      <c r="A703" t="s">
        <v>25</v>
      </c>
      <c r="B703">
        <v>118552</v>
      </c>
      <c r="C703">
        <v>4</v>
      </c>
      <c r="D703" t="s">
        <v>9</v>
      </c>
      <c r="E703">
        <v>0.43</v>
      </c>
      <c r="F703">
        <v>0.7</v>
      </c>
      <c r="G703">
        <v>0.66</v>
      </c>
      <c r="H703" t="s">
        <v>17</v>
      </c>
    </row>
    <row r="704" spans="1:8" x14ac:dyDescent="0.25">
      <c r="A704" t="s">
        <v>34</v>
      </c>
      <c r="B704">
        <v>148977</v>
      </c>
      <c r="C704">
        <v>29</v>
      </c>
      <c r="D704" t="s">
        <v>12</v>
      </c>
      <c r="E704">
        <v>0.42</v>
      </c>
      <c r="F704">
        <v>1.07</v>
      </c>
      <c r="G704">
        <v>0.45</v>
      </c>
      <c r="H704" t="s">
        <v>17</v>
      </c>
    </row>
    <row r="705" spans="1:8" x14ac:dyDescent="0.25">
      <c r="A705" t="s">
        <v>24</v>
      </c>
      <c r="B705">
        <v>48715</v>
      </c>
      <c r="C705">
        <v>17</v>
      </c>
      <c r="D705" t="s">
        <v>9</v>
      </c>
      <c r="E705">
        <v>0.73</v>
      </c>
      <c r="F705">
        <v>0.6</v>
      </c>
      <c r="G705">
        <v>0.59</v>
      </c>
      <c r="H705" t="s">
        <v>17</v>
      </c>
    </row>
    <row r="706" spans="1:8" x14ac:dyDescent="0.25">
      <c r="A706" t="s">
        <v>22</v>
      </c>
      <c r="B706">
        <v>147045</v>
      </c>
      <c r="C706">
        <v>19</v>
      </c>
      <c r="D706" t="s">
        <v>12</v>
      </c>
      <c r="E706">
        <v>0.17</v>
      </c>
      <c r="F706">
        <v>0.53</v>
      </c>
      <c r="G706">
        <v>0.43</v>
      </c>
      <c r="H706" t="s">
        <v>17</v>
      </c>
    </row>
    <row r="707" spans="1:8" x14ac:dyDescent="0.25">
      <c r="A707" t="s">
        <v>16</v>
      </c>
      <c r="B707">
        <v>40196</v>
      </c>
      <c r="C707">
        <v>16</v>
      </c>
      <c r="D707" t="s">
        <v>15</v>
      </c>
      <c r="E707">
        <v>0.6</v>
      </c>
      <c r="F707">
        <v>1.1100000000000001</v>
      </c>
      <c r="G707">
        <v>0.51</v>
      </c>
      <c r="H707" t="s">
        <v>17</v>
      </c>
    </row>
    <row r="708" spans="1:8" x14ac:dyDescent="0.25">
      <c r="A708" t="s">
        <v>31</v>
      </c>
      <c r="B708">
        <v>141054</v>
      </c>
      <c r="C708">
        <v>25</v>
      </c>
      <c r="D708" t="s">
        <v>12</v>
      </c>
      <c r="E708">
        <v>0.47</v>
      </c>
      <c r="F708">
        <v>1.18</v>
      </c>
      <c r="G708">
        <v>0.92</v>
      </c>
      <c r="H708" t="s">
        <v>10</v>
      </c>
    </row>
    <row r="709" spans="1:8" x14ac:dyDescent="0.25">
      <c r="A709" t="s">
        <v>23</v>
      </c>
      <c r="B709">
        <v>132785</v>
      </c>
      <c r="C709">
        <v>24</v>
      </c>
      <c r="D709" t="s">
        <v>12</v>
      </c>
      <c r="E709">
        <v>0.51</v>
      </c>
      <c r="F709">
        <v>1.17</v>
      </c>
      <c r="G709">
        <v>0.8</v>
      </c>
      <c r="H709" t="s">
        <v>10</v>
      </c>
    </row>
    <row r="710" spans="1:8" x14ac:dyDescent="0.25">
      <c r="A710" t="s">
        <v>24</v>
      </c>
      <c r="B710">
        <v>123249</v>
      </c>
      <c r="C710">
        <v>23</v>
      </c>
      <c r="D710" t="s">
        <v>9</v>
      </c>
      <c r="E710">
        <v>0.49</v>
      </c>
      <c r="F710">
        <v>1.07</v>
      </c>
      <c r="G710">
        <v>0.59</v>
      </c>
      <c r="H710" t="s">
        <v>17</v>
      </c>
    </row>
    <row r="711" spans="1:8" x14ac:dyDescent="0.25">
      <c r="A711" t="s">
        <v>11</v>
      </c>
      <c r="B711">
        <v>62500</v>
      </c>
      <c r="C711">
        <v>21</v>
      </c>
      <c r="D711" t="s">
        <v>28</v>
      </c>
      <c r="E711">
        <v>0.95</v>
      </c>
      <c r="F711">
        <v>1.1299999999999999</v>
      </c>
      <c r="G711">
        <v>0.14000000000000001</v>
      </c>
      <c r="H711" t="s">
        <v>13</v>
      </c>
    </row>
    <row r="712" spans="1:8" x14ac:dyDescent="0.25">
      <c r="A712" t="s">
        <v>23</v>
      </c>
      <c r="B712">
        <v>136128</v>
      </c>
      <c r="C712">
        <v>9</v>
      </c>
      <c r="D712" t="s">
        <v>28</v>
      </c>
      <c r="E712">
        <v>0.49</v>
      </c>
      <c r="F712">
        <v>1.41</v>
      </c>
      <c r="G712">
        <v>0.91</v>
      </c>
      <c r="H712" t="s">
        <v>10</v>
      </c>
    </row>
    <row r="713" spans="1:8" x14ac:dyDescent="0.25">
      <c r="A713" t="s">
        <v>19</v>
      </c>
      <c r="B713">
        <v>142109</v>
      </c>
      <c r="C713">
        <v>8</v>
      </c>
      <c r="D713" t="s">
        <v>28</v>
      </c>
      <c r="E713">
        <v>0.94</v>
      </c>
      <c r="F713">
        <v>0.87</v>
      </c>
      <c r="G713">
        <v>0.06</v>
      </c>
      <c r="H713" t="s">
        <v>13</v>
      </c>
    </row>
    <row r="714" spans="1:8" x14ac:dyDescent="0.25">
      <c r="A714" t="s">
        <v>24</v>
      </c>
      <c r="B714">
        <v>87737</v>
      </c>
      <c r="C714">
        <v>25</v>
      </c>
      <c r="D714" t="s">
        <v>9</v>
      </c>
      <c r="E714">
        <v>0.75</v>
      </c>
      <c r="F714">
        <v>1.44</v>
      </c>
      <c r="G714">
        <v>0.54</v>
      </c>
      <c r="H714" t="s">
        <v>17</v>
      </c>
    </row>
    <row r="715" spans="1:8" x14ac:dyDescent="0.25">
      <c r="A715" t="s">
        <v>21</v>
      </c>
      <c r="B715">
        <v>121903</v>
      </c>
      <c r="C715">
        <v>0</v>
      </c>
      <c r="D715" t="s">
        <v>9</v>
      </c>
      <c r="E715">
        <v>0.96</v>
      </c>
      <c r="F715">
        <v>0.71</v>
      </c>
      <c r="G715">
        <v>0.13</v>
      </c>
      <c r="H715" t="s">
        <v>13</v>
      </c>
    </row>
    <row r="716" spans="1:8" x14ac:dyDescent="0.25">
      <c r="A716" t="s">
        <v>19</v>
      </c>
      <c r="B716">
        <v>141654</v>
      </c>
      <c r="C716">
        <v>27</v>
      </c>
      <c r="D716" t="s">
        <v>15</v>
      </c>
      <c r="E716">
        <v>0.64</v>
      </c>
      <c r="F716">
        <v>1.39</v>
      </c>
      <c r="G716">
        <v>0.27</v>
      </c>
      <c r="H716" t="s">
        <v>13</v>
      </c>
    </row>
    <row r="717" spans="1:8" x14ac:dyDescent="0.25">
      <c r="A717" t="s">
        <v>24</v>
      </c>
      <c r="B717">
        <v>50662</v>
      </c>
      <c r="C717">
        <v>20</v>
      </c>
      <c r="D717" t="s">
        <v>15</v>
      </c>
      <c r="E717">
        <v>0.61</v>
      </c>
      <c r="F717">
        <v>1.2</v>
      </c>
      <c r="G717">
        <v>0.48</v>
      </c>
      <c r="H717" t="s">
        <v>17</v>
      </c>
    </row>
    <row r="718" spans="1:8" x14ac:dyDescent="0.25">
      <c r="A718" t="s">
        <v>16</v>
      </c>
      <c r="B718">
        <v>116755</v>
      </c>
      <c r="C718">
        <v>1</v>
      </c>
      <c r="D718" t="s">
        <v>28</v>
      </c>
      <c r="E718">
        <v>0.44</v>
      </c>
      <c r="F718">
        <v>0.56000000000000005</v>
      </c>
      <c r="G718">
        <v>0.69</v>
      </c>
      <c r="H718" t="s">
        <v>17</v>
      </c>
    </row>
    <row r="719" spans="1:8" x14ac:dyDescent="0.25">
      <c r="A719" t="s">
        <v>26</v>
      </c>
      <c r="B719">
        <v>133719</v>
      </c>
      <c r="C719">
        <v>6</v>
      </c>
      <c r="D719" t="s">
        <v>15</v>
      </c>
      <c r="E719">
        <v>0.16</v>
      </c>
      <c r="F719">
        <v>0.87</v>
      </c>
      <c r="G719">
        <v>0.64</v>
      </c>
      <c r="H719" t="s">
        <v>17</v>
      </c>
    </row>
    <row r="720" spans="1:8" x14ac:dyDescent="0.25">
      <c r="A720" t="s">
        <v>22</v>
      </c>
      <c r="B720">
        <v>127427</v>
      </c>
      <c r="C720">
        <v>21</v>
      </c>
      <c r="D720" t="s">
        <v>28</v>
      </c>
      <c r="E720">
        <v>0.34</v>
      </c>
      <c r="F720">
        <v>1.04</v>
      </c>
      <c r="G720">
        <v>0.56999999999999995</v>
      </c>
      <c r="H720" t="s">
        <v>17</v>
      </c>
    </row>
    <row r="721" spans="1:8" x14ac:dyDescent="0.25">
      <c r="A721" t="s">
        <v>32</v>
      </c>
      <c r="B721">
        <v>130628</v>
      </c>
      <c r="C721">
        <v>7</v>
      </c>
      <c r="D721" t="s">
        <v>12</v>
      </c>
      <c r="E721">
        <v>0.01</v>
      </c>
      <c r="F721">
        <v>1.49</v>
      </c>
      <c r="G721">
        <v>0.56999999999999995</v>
      </c>
      <c r="H721" t="s">
        <v>17</v>
      </c>
    </row>
    <row r="722" spans="1:8" x14ac:dyDescent="0.25">
      <c r="A722" t="s">
        <v>21</v>
      </c>
      <c r="B722">
        <v>43686</v>
      </c>
      <c r="C722">
        <v>3</v>
      </c>
      <c r="D722" t="s">
        <v>15</v>
      </c>
      <c r="E722">
        <v>0.12</v>
      </c>
      <c r="F722">
        <v>0.99</v>
      </c>
      <c r="G722">
        <v>0.21</v>
      </c>
      <c r="H722" t="s">
        <v>13</v>
      </c>
    </row>
    <row r="723" spans="1:8" x14ac:dyDescent="0.25">
      <c r="A723" t="s">
        <v>11</v>
      </c>
      <c r="B723">
        <v>57313</v>
      </c>
      <c r="C723">
        <v>26</v>
      </c>
      <c r="D723" t="s">
        <v>12</v>
      </c>
      <c r="E723">
        <v>0.85</v>
      </c>
      <c r="F723">
        <v>1.35</v>
      </c>
      <c r="G723">
        <v>0.17</v>
      </c>
      <c r="H723" t="s">
        <v>13</v>
      </c>
    </row>
    <row r="724" spans="1:8" x14ac:dyDescent="0.25">
      <c r="A724" t="s">
        <v>24</v>
      </c>
      <c r="B724">
        <v>91404</v>
      </c>
      <c r="C724">
        <v>6</v>
      </c>
      <c r="D724" t="s">
        <v>9</v>
      </c>
      <c r="E724">
        <v>0.83</v>
      </c>
      <c r="F724">
        <v>0.91</v>
      </c>
      <c r="G724">
        <v>0.51</v>
      </c>
      <c r="H724" t="s">
        <v>17</v>
      </c>
    </row>
    <row r="725" spans="1:8" x14ac:dyDescent="0.25">
      <c r="A725" t="s">
        <v>18</v>
      </c>
      <c r="B725">
        <v>109794</v>
      </c>
      <c r="C725">
        <v>20</v>
      </c>
      <c r="D725" t="s">
        <v>28</v>
      </c>
      <c r="E725">
        <v>0.54</v>
      </c>
      <c r="F725">
        <v>1.19</v>
      </c>
      <c r="G725">
        <v>0.49</v>
      </c>
      <c r="H725" t="s">
        <v>17</v>
      </c>
    </row>
    <row r="726" spans="1:8" x14ac:dyDescent="0.25">
      <c r="A726" t="s">
        <v>22</v>
      </c>
      <c r="B726">
        <v>49416</v>
      </c>
      <c r="C726">
        <v>8</v>
      </c>
      <c r="D726" t="s">
        <v>12</v>
      </c>
      <c r="E726">
        <v>0.19</v>
      </c>
      <c r="F726">
        <v>0.52</v>
      </c>
      <c r="G726">
        <v>0.51</v>
      </c>
      <c r="H726" t="s">
        <v>17</v>
      </c>
    </row>
    <row r="727" spans="1:8" x14ac:dyDescent="0.25">
      <c r="A727" t="s">
        <v>33</v>
      </c>
      <c r="B727">
        <v>56162</v>
      </c>
      <c r="C727">
        <v>9</v>
      </c>
      <c r="D727" t="s">
        <v>15</v>
      </c>
      <c r="E727">
        <v>0.43</v>
      </c>
      <c r="F727">
        <v>1.46</v>
      </c>
      <c r="G727">
        <v>0.23</v>
      </c>
      <c r="H727" t="s">
        <v>13</v>
      </c>
    </row>
    <row r="728" spans="1:8" x14ac:dyDescent="0.25">
      <c r="A728" t="s">
        <v>23</v>
      </c>
      <c r="B728">
        <v>85420</v>
      </c>
      <c r="C728">
        <v>4</v>
      </c>
      <c r="D728" t="s">
        <v>28</v>
      </c>
      <c r="E728">
        <v>0.17</v>
      </c>
      <c r="F728">
        <v>1.21</v>
      </c>
      <c r="G728">
        <v>0.77</v>
      </c>
      <c r="H728" t="s">
        <v>10</v>
      </c>
    </row>
    <row r="729" spans="1:8" x14ac:dyDescent="0.25">
      <c r="A729" t="s">
        <v>18</v>
      </c>
      <c r="B729">
        <v>82948</v>
      </c>
      <c r="C729">
        <v>4</v>
      </c>
      <c r="D729" t="s">
        <v>28</v>
      </c>
      <c r="E729">
        <v>0.59</v>
      </c>
      <c r="F729">
        <v>1.1499999999999999</v>
      </c>
      <c r="G729">
        <v>0.48</v>
      </c>
      <c r="H729" t="s">
        <v>17</v>
      </c>
    </row>
    <row r="730" spans="1:8" x14ac:dyDescent="0.25">
      <c r="A730" t="s">
        <v>33</v>
      </c>
      <c r="B730">
        <v>91336</v>
      </c>
      <c r="C730">
        <v>8</v>
      </c>
      <c r="D730" t="s">
        <v>12</v>
      </c>
      <c r="E730">
        <v>0.16</v>
      </c>
      <c r="F730">
        <v>1.29</v>
      </c>
      <c r="G730">
        <v>0.3</v>
      </c>
      <c r="H730" t="s">
        <v>13</v>
      </c>
    </row>
    <row r="731" spans="1:8" x14ac:dyDescent="0.25">
      <c r="A731" t="s">
        <v>22</v>
      </c>
      <c r="B731">
        <v>104474</v>
      </c>
      <c r="C731">
        <v>16</v>
      </c>
      <c r="D731" t="s">
        <v>9</v>
      </c>
      <c r="E731">
        <v>0.68</v>
      </c>
      <c r="F731">
        <v>1.18</v>
      </c>
      <c r="G731">
        <v>0.56999999999999995</v>
      </c>
      <c r="H731" t="s">
        <v>17</v>
      </c>
    </row>
    <row r="732" spans="1:8" x14ac:dyDescent="0.25">
      <c r="A732" t="s">
        <v>23</v>
      </c>
      <c r="B732">
        <v>72628</v>
      </c>
      <c r="C732">
        <v>8</v>
      </c>
      <c r="D732" t="s">
        <v>9</v>
      </c>
      <c r="E732">
        <v>0.92</v>
      </c>
      <c r="F732">
        <v>0.98</v>
      </c>
      <c r="G732">
        <v>0.86</v>
      </c>
      <c r="H732" t="s">
        <v>10</v>
      </c>
    </row>
    <row r="733" spans="1:8" x14ac:dyDescent="0.25">
      <c r="A733" t="s">
        <v>11</v>
      </c>
      <c r="B733">
        <v>135494</v>
      </c>
      <c r="C733">
        <v>19</v>
      </c>
      <c r="D733" t="s">
        <v>15</v>
      </c>
      <c r="E733">
        <v>0.62</v>
      </c>
      <c r="F733">
        <v>0.64</v>
      </c>
      <c r="G733">
        <v>0.18</v>
      </c>
      <c r="H733" t="s">
        <v>13</v>
      </c>
    </row>
    <row r="734" spans="1:8" x14ac:dyDescent="0.25">
      <c r="A734" t="s">
        <v>20</v>
      </c>
      <c r="B734">
        <v>71751</v>
      </c>
      <c r="C734">
        <v>2</v>
      </c>
      <c r="D734" t="s">
        <v>15</v>
      </c>
      <c r="E734">
        <v>0.37</v>
      </c>
      <c r="F734">
        <v>0.57999999999999996</v>
      </c>
      <c r="G734">
        <v>0.59</v>
      </c>
      <c r="H734" t="s">
        <v>17</v>
      </c>
    </row>
    <row r="735" spans="1:8" x14ac:dyDescent="0.25">
      <c r="A735" t="s">
        <v>31</v>
      </c>
      <c r="B735">
        <v>86087</v>
      </c>
      <c r="C735">
        <v>1</v>
      </c>
      <c r="D735" t="s">
        <v>15</v>
      </c>
      <c r="E735">
        <v>0.55000000000000004</v>
      </c>
      <c r="F735">
        <v>0.57999999999999996</v>
      </c>
      <c r="G735">
        <v>0.9</v>
      </c>
      <c r="H735" t="s">
        <v>10</v>
      </c>
    </row>
    <row r="736" spans="1:8" x14ac:dyDescent="0.25">
      <c r="A736" t="s">
        <v>33</v>
      </c>
      <c r="B736">
        <v>127425</v>
      </c>
      <c r="C736">
        <v>29</v>
      </c>
      <c r="D736" t="s">
        <v>15</v>
      </c>
      <c r="E736">
        <v>0.61</v>
      </c>
      <c r="F736">
        <v>0.85</v>
      </c>
      <c r="G736">
        <v>0.13</v>
      </c>
      <c r="H736" t="s">
        <v>13</v>
      </c>
    </row>
    <row r="737" spans="1:8" x14ac:dyDescent="0.25">
      <c r="A737" t="s">
        <v>26</v>
      </c>
      <c r="B737">
        <v>133587</v>
      </c>
      <c r="C737">
        <v>16</v>
      </c>
      <c r="D737" t="s">
        <v>28</v>
      </c>
      <c r="E737">
        <v>0.43</v>
      </c>
      <c r="F737">
        <v>0.99</v>
      </c>
      <c r="G737">
        <v>0.67</v>
      </c>
      <c r="H737" t="s">
        <v>17</v>
      </c>
    </row>
    <row r="738" spans="1:8" x14ac:dyDescent="0.25">
      <c r="A738" t="s">
        <v>8</v>
      </c>
      <c r="B738">
        <v>140373</v>
      </c>
      <c r="C738">
        <v>5</v>
      </c>
      <c r="D738" t="s">
        <v>9</v>
      </c>
      <c r="E738">
        <v>0.63</v>
      </c>
      <c r="F738">
        <v>1.38</v>
      </c>
      <c r="G738">
        <v>0.92</v>
      </c>
      <c r="H738" t="s">
        <v>10</v>
      </c>
    </row>
    <row r="739" spans="1:8" x14ac:dyDescent="0.25">
      <c r="A739" t="s">
        <v>19</v>
      </c>
      <c r="B739">
        <v>133080</v>
      </c>
      <c r="C739">
        <v>14</v>
      </c>
      <c r="D739" t="s">
        <v>28</v>
      </c>
      <c r="E739">
        <v>0.13</v>
      </c>
      <c r="F739">
        <v>1.0900000000000001</v>
      </c>
      <c r="G739">
        <v>0.21</v>
      </c>
      <c r="H739" t="s">
        <v>13</v>
      </c>
    </row>
    <row r="740" spans="1:8" x14ac:dyDescent="0.25">
      <c r="A740" t="s">
        <v>32</v>
      </c>
      <c r="B740">
        <v>123012</v>
      </c>
      <c r="C740">
        <v>20</v>
      </c>
      <c r="D740" t="s">
        <v>12</v>
      </c>
      <c r="E740">
        <v>0.31</v>
      </c>
      <c r="F740">
        <v>1.07</v>
      </c>
      <c r="G740">
        <v>0.4</v>
      </c>
      <c r="H740" t="s">
        <v>17</v>
      </c>
    </row>
    <row r="741" spans="1:8" x14ac:dyDescent="0.25">
      <c r="A741" t="s">
        <v>18</v>
      </c>
      <c r="B741">
        <v>76629</v>
      </c>
      <c r="C741">
        <v>11</v>
      </c>
      <c r="D741" t="s">
        <v>9</v>
      </c>
      <c r="E741">
        <v>0.61</v>
      </c>
      <c r="F741">
        <v>0.9</v>
      </c>
      <c r="G741">
        <v>0.56000000000000005</v>
      </c>
      <c r="H741" t="s">
        <v>17</v>
      </c>
    </row>
    <row r="742" spans="1:8" x14ac:dyDescent="0.25">
      <c r="A742" t="s">
        <v>18</v>
      </c>
      <c r="B742">
        <v>33811</v>
      </c>
      <c r="C742">
        <v>3</v>
      </c>
      <c r="D742" t="s">
        <v>12</v>
      </c>
      <c r="E742">
        <v>0.55000000000000004</v>
      </c>
      <c r="F742">
        <v>0.88</v>
      </c>
      <c r="G742">
        <v>0.36</v>
      </c>
      <c r="H742" t="s">
        <v>17</v>
      </c>
    </row>
    <row r="743" spans="1:8" x14ac:dyDescent="0.25">
      <c r="A743" t="s">
        <v>21</v>
      </c>
      <c r="B743">
        <v>95283</v>
      </c>
      <c r="C743">
        <v>4</v>
      </c>
      <c r="D743" t="s">
        <v>15</v>
      </c>
      <c r="E743">
        <v>0.3</v>
      </c>
      <c r="F743">
        <v>1.39</v>
      </c>
      <c r="G743">
        <v>0.3</v>
      </c>
      <c r="H743" t="s">
        <v>13</v>
      </c>
    </row>
    <row r="744" spans="1:8" x14ac:dyDescent="0.25">
      <c r="A744" t="s">
        <v>33</v>
      </c>
      <c r="B744">
        <v>113205</v>
      </c>
      <c r="C744">
        <v>1</v>
      </c>
      <c r="D744" t="s">
        <v>15</v>
      </c>
      <c r="E744">
        <v>0.15</v>
      </c>
      <c r="F744">
        <v>0.77</v>
      </c>
      <c r="G744">
        <v>0.11</v>
      </c>
      <c r="H744" t="s">
        <v>13</v>
      </c>
    </row>
    <row r="745" spans="1:8" x14ac:dyDescent="0.25">
      <c r="A745" t="s">
        <v>22</v>
      </c>
      <c r="B745">
        <v>100453</v>
      </c>
      <c r="C745">
        <v>28</v>
      </c>
      <c r="D745" t="s">
        <v>28</v>
      </c>
      <c r="E745">
        <v>0.57999999999999996</v>
      </c>
      <c r="F745">
        <v>0.67</v>
      </c>
      <c r="G745">
        <v>0.47</v>
      </c>
      <c r="H745" t="s">
        <v>17</v>
      </c>
    </row>
    <row r="746" spans="1:8" x14ac:dyDescent="0.25">
      <c r="A746" t="s">
        <v>33</v>
      </c>
      <c r="B746">
        <v>68397</v>
      </c>
      <c r="C746">
        <v>14</v>
      </c>
      <c r="D746" t="s">
        <v>9</v>
      </c>
      <c r="E746">
        <v>0.84</v>
      </c>
      <c r="F746">
        <v>1.18</v>
      </c>
      <c r="G746">
        <v>0.1</v>
      </c>
      <c r="H746" t="s">
        <v>13</v>
      </c>
    </row>
    <row r="747" spans="1:8" x14ac:dyDescent="0.25">
      <c r="A747" t="s">
        <v>25</v>
      </c>
      <c r="B747">
        <v>113824</v>
      </c>
      <c r="C747">
        <v>10</v>
      </c>
      <c r="D747" t="s">
        <v>28</v>
      </c>
      <c r="E747">
        <v>0.1</v>
      </c>
      <c r="F747">
        <v>1.34</v>
      </c>
      <c r="G747">
        <v>0.63</v>
      </c>
      <c r="H747" t="s">
        <v>17</v>
      </c>
    </row>
    <row r="748" spans="1:8" x14ac:dyDescent="0.25">
      <c r="A748" t="s">
        <v>26</v>
      </c>
      <c r="B748">
        <v>50758</v>
      </c>
      <c r="C748">
        <v>26</v>
      </c>
      <c r="D748" t="s">
        <v>28</v>
      </c>
      <c r="E748">
        <v>0.79</v>
      </c>
      <c r="F748">
        <v>0.72</v>
      </c>
      <c r="G748">
        <v>0.33</v>
      </c>
      <c r="H748" t="s">
        <v>17</v>
      </c>
    </row>
    <row r="749" spans="1:8" x14ac:dyDescent="0.25">
      <c r="A749" t="s">
        <v>20</v>
      </c>
      <c r="B749">
        <v>135900</v>
      </c>
      <c r="C749">
        <v>8</v>
      </c>
      <c r="D749" t="s">
        <v>9</v>
      </c>
      <c r="E749">
        <v>0.78</v>
      </c>
      <c r="F749">
        <v>0.83</v>
      </c>
      <c r="G749">
        <v>0.43</v>
      </c>
      <c r="H749" t="s">
        <v>17</v>
      </c>
    </row>
    <row r="750" spans="1:8" x14ac:dyDescent="0.25">
      <c r="A750" t="s">
        <v>19</v>
      </c>
      <c r="B750">
        <v>133613</v>
      </c>
      <c r="C750">
        <v>11</v>
      </c>
      <c r="D750" t="s">
        <v>12</v>
      </c>
      <c r="E750">
        <v>0.71</v>
      </c>
      <c r="F750">
        <v>1.37</v>
      </c>
      <c r="G750">
        <v>0.06</v>
      </c>
      <c r="H750" t="s">
        <v>13</v>
      </c>
    </row>
    <row r="751" spans="1:8" x14ac:dyDescent="0.25">
      <c r="A751" t="s">
        <v>22</v>
      </c>
      <c r="B751">
        <v>93115</v>
      </c>
      <c r="C751">
        <v>10</v>
      </c>
      <c r="D751" t="s">
        <v>15</v>
      </c>
      <c r="E751">
        <v>7.0000000000000007E-2</v>
      </c>
      <c r="F751">
        <v>0.67</v>
      </c>
      <c r="G751">
        <v>0.42</v>
      </c>
      <c r="H751" t="s">
        <v>17</v>
      </c>
    </row>
    <row r="752" spans="1:8" x14ac:dyDescent="0.25">
      <c r="A752" t="s">
        <v>11</v>
      </c>
      <c r="B752">
        <v>129683</v>
      </c>
      <c r="C752">
        <v>11</v>
      </c>
      <c r="D752" t="s">
        <v>9</v>
      </c>
      <c r="E752">
        <v>0.38</v>
      </c>
      <c r="F752">
        <v>1.21</v>
      </c>
      <c r="G752">
        <v>0.06</v>
      </c>
      <c r="H752" t="s">
        <v>13</v>
      </c>
    </row>
    <row r="753" spans="1:8" x14ac:dyDescent="0.25">
      <c r="A753" t="s">
        <v>34</v>
      </c>
      <c r="B753">
        <v>83013</v>
      </c>
      <c r="C753">
        <v>15</v>
      </c>
      <c r="D753" t="s">
        <v>28</v>
      </c>
      <c r="E753">
        <v>0.25</v>
      </c>
      <c r="F753">
        <v>0.84</v>
      </c>
      <c r="G753">
        <v>0.48</v>
      </c>
      <c r="H753" t="s">
        <v>17</v>
      </c>
    </row>
    <row r="754" spans="1:8" x14ac:dyDescent="0.25">
      <c r="A754" t="s">
        <v>21</v>
      </c>
      <c r="B754">
        <v>45233</v>
      </c>
      <c r="C754">
        <v>16</v>
      </c>
      <c r="D754" t="s">
        <v>15</v>
      </c>
      <c r="E754">
        <v>0.68</v>
      </c>
      <c r="F754">
        <v>0.98</v>
      </c>
      <c r="G754">
        <v>0.09</v>
      </c>
      <c r="H754" t="s">
        <v>13</v>
      </c>
    </row>
    <row r="755" spans="1:8" x14ac:dyDescent="0.25">
      <c r="A755" t="s">
        <v>33</v>
      </c>
      <c r="B755">
        <v>50765</v>
      </c>
      <c r="C755">
        <v>19</v>
      </c>
      <c r="D755" t="s">
        <v>12</v>
      </c>
      <c r="E755">
        <v>0.68</v>
      </c>
      <c r="F755">
        <v>0.56000000000000005</v>
      </c>
      <c r="G755">
        <v>0.19</v>
      </c>
      <c r="H755" t="s">
        <v>13</v>
      </c>
    </row>
    <row r="756" spans="1:8" x14ac:dyDescent="0.25">
      <c r="A756" t="s">
        <v>29</v>
      </c>
      <c r="B756">
        <v>108766</v>
      </c>
      <c r="C756">
        <v>18</v>
      </c>
      <c r="D756" t="s">
        <v>28</v>
      </c>
      <c r="E756">
        <v>0.14000000000000001</v>
      </c>
      <c r="F756">
        <v>0.85</v>
      </c>
      <c r="G756">
        <v>0.8</v>
      </c>
      <c r="H756" t="s">
        <v>10</v>
      </c>
    </row>
    <row r="757" spans="1:8" x14ac:dyDescent="0.25">
      <c r="A757" t="s">
        <v>31</v>
      </c>
      <c r="B757">
        <v>64297</v>
      </c>
      <c r="C757">
        <v>16</v>
      </c>
      <c r="D757" t="s">
        <v>15</v>
      </c>
      <c r="E757">
        <v>0.84</v>
      </c>
      <c r="F757">
        <v>1.03</v>
      </c>
      <c r="G757">
        <v>0.75</v>
      </c>
      <c r="H757" t="s">
        <v>10</v>
      </c>
    </row>
    <row r="758" spans="1:8" x14ac:dyDescent="0.25">
      <c r="A758" t="s">
        <v>22</v>
      </c>
      <c r="B758">
        <v>76126</v>
      </c>
      <c r="C758">
        <v>10</v>
      </c>
      <c r="D758" t="s">
        <v>15</v>
      </c>
      <c r="E758">
        <v>0.56999999999999995</v>
      </c>
      <c r="F758">
        <v>1.39</v>
      </c>
      <c r="G758">
        <v>0.49</v>
      </c>
      <c r="H758" t="s">
        <v>17</v>
      </c>
    </row>
    <row r="759" spans="1:8" x14ac:dyDescent="0.25">
      <c r="A759" t="s">
        <v>21</v>
      </c>
      <c r="B759">
        <v>112694</v>
      </c>
      <c r="C759">
        <v>27</v>
      </c>
      <c r="D759" t="s">
        <v>9</v>
      </c>
      <c r="E759">
        <v>0.38</v>
      </c>
      <c r="F759">
        <v>1.43</v>
      </c>
      <c r="G759">
        <v>0.16</v>
      </c>
      <c r="H759" t="s">
        <v>13</v>
      </c>
    </row>
    <row r="760" spans="1:8" x14ac:dyDescent="0.25">
      <c r="A760" t="s">
        <v>30</v>
      </c>
      <c r="B760">
        <v>117287</v>
      </c>
      <c r="C760">
        <v>21</v>
      </c>
      <c r="D760" t="s">
        <v>15</v>
      </c>
      <c r="E760">
        <v>0.7</v>
      </c>
      <c r="F760">
        <v>0.6</v>
      </c>
      <c r="G760">
        <v>0.28000000000000003</v>
      </c>
      <c r="H760" t="s">
        <v>13</v>
      </c>
    </row>
    <row r="761" spans="1:8" x14ac:dyDescent="0.25">
      <c r="A761" t="s">
        <v>33</v>
      </c>
      <c r="B761">
        <v>31082</v>
      </c>
      <c r="C761">
        <v>12</v>
      </c>
      <c r="D761" t="s">
        <v>28</v>
      </c>
      <c r="E761">
        <v>0.25</v>
      </c>
      <c r="F761">
        <v>1.23</v>
      </c>
      <c r="G761">
        <v>0.16</v>
      </c>
      <c r="H761" t="s">
        <v>13</v>
      </c>
    </row>
    <row r="762" spans="1:8" x14ac:dyDescent="0.25">
      <c r="A762" t="s">
        <v>8</v>
      </c>
      <c r="B762">
        <v>137252</v>
      </c>
      <c r="C762">
        <v>23</v>
      </c>
      <c r="D762" t="s">
        <v>28</v>
      </c>
      <c r="E762">
        <v>0.97</v>
      </c>
      <c r="F762">
        <v>0.98</v>
      </c>
      <c r="G762">
        <v>0.88</v>
      </c>
      <c r="H762" t="s">
        <v>10</v>
      </c>
    </row>
    <row r="763" spans="1:8" x14ac:dyDescent="0.25">
      <c r="A763" t="s">
        <v>18</v>
      </c>
      <c r="B763">
        <v>31511</v>
      </c>
      <c r="C763">
        <v>17</v>
      </c>
      <c r="D763" t="s">
        <v>28</v>
      </c>
      <c r="E763">
        <v>0.56000000000000005</v>
      </c>
      <c r="F763">
        <v>0.79</v>
      </c>
      <c r="G763">
        <v>0.68</v>
      </c>
      <c r="H763" t="s">
        <v>17</v>
      </c>
    </row>
    <row r="764" spans="1:8" x14ac:dyDescent="0.25">
      <c r="A764" t="s">
        <v>31</v>
      </c>
      <c r="B764">
        <v>33145</v>
      </c>
      <c r="C764">
        <v>9</v>
      </c>
      <c r="D764" t="s">
        <v>9</v>
      </c>
      <c r="E764">
        <v>0.69</v>
      </c>
      <c r="F764">
        <v>0.89</v>
      </c>
      <c r="G764">
        <v>0.79</v>
      </c>
      <c r="H764" t="s">
        <v>10</v>
      </c>
    </row>
    <row r="765" spans="1:8" x14ac:dyDescent="0.25">
      <c r="A765" t="s">
        <v>16</v>
      </c>
      <c r="B765">
        <v>115642</v>
      </c>
      <c r="C765">
        <v>19</v>
      </c>
      <c r="D765" t="s">
        <v>12</v>
      </c>
      <c r="E765">
        <v>0.22</v>
      </c>
      <c r="F765">
        <v>0.7</v>
      </c>
      <c r="G765">
        <v>0.37</v>
      </c>
      <c r="H765" t="s">
        <v>17</v>
      </c>
    </row>
    <row r="766" spans="1:8" x14ac:dyDescent="0.25">
      <c r="A766" t="s">
        <v>30</v>
      </c>
      <c r="B766">
        <v>128303</v>
      </c>
      <c r="C766">
        <v>9</v>
      </c>
      <c r="D766" t="s">
        <v>28</v>
      </c>
      <c r="E766">
        <v>0.56000000000000005</v>
      </c>
      <c r="F766">
        <v>1.1499999999999999</v>
      </c>
      <c r="G766">
        <v>0.09</v>
      </c>
      <c r="H766" t="s">
        <v>13</v>
      </c>
    </row>
    <row r="767" spans="1:8" x14ac:dyDescent="0.25">
      <c r="A767" t="s">
        <v>14</v>
      </c>
      <c r="B767">
        <v>81142</v>
      </c>
      <c r="C767">
        <v>16</v>
      </c>
      <c r="D767" t="s">
        <v>28</v>
      </c>
      <c r="E767">
        <v>0.59</v>
      </c>
      <c r="F767">
        <v>0.85</v>
      </c>
      <c r="G767">
        <v>0.82</v>
      </c>
      <c r="H767" t="s">
        <v>10</v>
      </c>
    </row>
    <row r="768" spans="1:8" x14ac:dyDescent="0.25">
      <c r="A768" t="s">
        <v>11</v>
      </c>
      <c r="B768">
        <v>89817</v>
      </c>
      <c r="C768">
        <v>13</v>
      </c>
      <c r="D768" t="s">
        <v>12</v>
      </c>
      <c r="E768">
        <v>0.96</v>
      </c>
      <c r="F768">
        <v>1</v>
      </c>
      <c r="G768">
        <v>0.28000000000000003</v>
      </c>
      <c r="H768" t="s">
        <v>13</v>
      </c>
    </row>
    <row r="769" spans="1:8" x14ac:dyDescent="0.25">
      <c r="A769" t="s">
        <v>25</v>
      </c>
      <c r="B769">
        <v>124410</v>
      </c>
      <c r="C769">
        <v>0</v>
      </c>
      <c r="D769" t="s">
        <v>9</v>
      </c>
      <c r="E769">
        <v>0.17</v>
      </c>
      <c r="F769">
        <v>0.84</v>
      </c>
      <c r="G769">
        <v>0.46</v>
      </c>
      <c r="H769" t="s">
        <v>17</v>
      </c>
    </row>
    <row r="770" spans="1:8" x14ac:dyDescent="0.25">
      <c r="A770" t="s">
        <v>32</v>
      </c>
      <c r="B770">
        <v>138139</v>
      </c>
      <c r="C770">
        <v>15</v>
      </c>
      <c r="D770" t="s">
        <v>28</v>
      </c>
      <c r="E770">
        <v>0.78</v>
      </c>
      <c r="F770">
        <v>1.1000000000000001</v>
      </c>
      <c r="G770">
        <v>0.56000000000000005</v>
      </c>
      <c r="H770" t="s">
        <v>17</v>
      </c>
    </row>
    <row r="771" spans="1:8" x14ac:dyDescent="0.25">
      <c r="A771" t="s">
        <v>11</v>
      </c>
      <c r="B771">
        <v>78657</v>
      </c>
      <c r="C771">
        <v>18</v>
      </c>
      <c r="D771" t="s">
        <v>12</v>
      </c>
      <c r="E771">
        <v>0.95</v>
      </c>
      <c r="F771">
        <v>0.63</v>
      </c>
      <c r="G771">
        <v>0.22</v>
      </c>
      <c r="H771" t="s">
        <v>13</v>
      </c>
    </row>
    <row r="772" spans="1:8" x14ac:dyDescent="0.25">
      <c r="A772" t="s">
        <v>31</v>
      </c>
      <c r="B772">
        <v>69309</v>
      </c>
      <c r="C772">
        <v>8</v>
      </c>
      <c r="D772" t="s">
        <v>12</v>
      </c>
      <c r="E772">
        <v>0.56999999999999995</v>
      </c>
      <c r="F772">
        <v>1.39</v>
      </c>
      <c r="G772">
        <v>0.86</v>
      </c>
      <c r="H772" t="s">
        <v>10</v>
      </c>
    </row>
    <row r="773" spans="1:8" x14ac:dyDescent="0.25">
      <c r="A773" t="s">
        <v>24</v>
      </c>
      <c r="B773">
        <v>68669</v>
      </c>
      <c r="C773">
        <v>17</v>
      </c>
      <c r="D773" t="s">
        <v>9</v>
      </c>
      <c r="E773">
        <v>0.49</v>
      </c>
      <c r="F773">
        <v>1.36</v>
      </c>
      <c r="G773">
        <v>0.34</v>
      </c>
      <c r="H773" t="s">
        <v>17</v>
      </c>
    </row>
    <row r="774" spans="1:8" x14ac:dyDescent="0.25">
      <c r="A774" t="s">
        <v>31</v>
      </c>
      <c r="B774">
        <v>87033</v>
      </c>
      <c r="C774">
        <v>27</v>
      </c>
      <c r="D774" t="s">
        <v>12</v>
      </c>
      <c r="E774">
        <v>0.82</v>
      </c>
      <c r="F774">
        <v>0.7</v>
      </c>
      <c r="G774">
        <v>0.75</v>
      </c>
      <c r="H774" t="s">
        <v>10</v>
      </c>
    </row>
    <row r="775" spans="1:8" x14ac:dyDescent="0.25">
      <c r="A775" t="s">
        <v>21</v>
      </c>
      <c r="B775">
        <v>80658</v>
      </c>
      <c r="C775">
        <v>5</v>
      </c>
      <c r="D775" t="s">
        <v>12</v>
      </c>
      <c r="E775">
        <v>0.96</v>
      </c>
      <c r="F775">
        <v>0.57999999999999996</v>
      </c>
      <c r="G775">
        <v>0.16</v>
      </c>
      <c r="H775" t="s">
        <v>13</v>
      </c>
    </row>
    <row r="776" spans="1:8" x14ac:dyDescent="0.25">
      <c r="A776" t="s">
        <v>16</v>
      </c>
      <c r="B776">
        <v>136081</v>
      </c>
      <c r="C776">
        <v>29</v>
      </c>
      <c r="D776" t="s">
        <v>15</v>
      </c>
      <c r="E776">
        <v>0.84</v>
      </c>
      <c r="F776">
        <v>0.98</v>
      </c>
      <c r="G776">
        <v>0.51</v>
      </c>
      <c r="H776" t="s">
        <v>17</v>
      </c>
    </row>
    <row r="777" spans="1:8" x14ac:dyDescent="0.25">
      <c r="A777" t="s">
        <v>16</v>
      </c>
      <c r="B777">
        <v>48728</v>
      </c>
      <c r="C777">
        <v>11</v>
      </c>
      <c r="D777" t="s">
        <v>28</v>
      </c>
      <c r="E777">
        <v>0.65</v>
      </c>
      <c r="F777">
        <v>1.43</v>
      </c>
      <c r="G777">
        <v>0.36</v>
      </c>
      <c r="H777" t="s">
        <v>17</v>
      </c>
    </row>
    <row r="778" spans="1:8" x14ac:dyDescent="0.25">
      <c r="A778" t="s">
        <v>22</v>
      </c>
      <c r="B778">
        <v>52286</v>
      </c>
      <c r="C778">
        <v>15</v>
      </c>
      <c r="D778" t="s">
        <v>15</v>
      </c>
      <c r="E778">
        <v>0.97</v>
      </c>
      <c r="F778">
        <v>1.18</v>
      </c>
      <c r="G778">
        <v>0.3</v>
      </c>
      <c r="H778" t="s">
        <v>13</v>
      </c>
    </row>
    <row r="779" spans="1:8" x14ac:dyDescent="0.25">
      <c r="A779" t="s">
        <v>18</v>
      </c>
      <c r="B779">
        <v>55727</v>
      </c>
      <c r="C779">
        <v>28</v>
      </c>
      <c r="D779" t="s">
        <v>12</v>
      </c>
      <c r="E779">
        <v>0.19</v>
      </c>
      <c r="F779">
        <v>1.4</v>
      </c>
      <c r="G779">
        <v>0.38</v>
      </c>
      <c r="H779" t="s">
        <v>17</v>
      </c>
    </row>
    <row r="780" spans="1:8" x14ac:dyDescent="0.25">
      <c r="A780" t="s">
        <v>34</v>
      </c>
      <c r="B780">
        <v>104638</v>
      </c>
      <c r="C780">
        <v>10</v>
      </c>
      <c r="D780" t="s">
        <v>9</v>
      </c>
      <c r="E780">
        <v>1</v>
      </c>
      <c r="F780">
        <v>0.67</v>
      </c>
      <c r="G780">
        <v>0.61</v>
      </c>
      <c r="H780" t="s">
        <v>17</v>
      </c>
    </row>
    <row r="781" spans="1:8" x14ac:dyDescent="0.25">
      <c r="A781" t="s">
        <v>26</v>
      </c>
      <c r="B781">
        <v>119363</v>
      </c>
      <c r="C781">
        <v>1</v>
      </c>
      <c r="D781" t="s">
        <v>12</v>
      </c>
      <c r="E781">
        <v>0.35</v>
      </c>
      <c r="F781">
        <v>1.39</v>
      </c>
      <c r="G781">
        <v>0.37</v>
      </c>
      <c r="H781" t="s">
        <v>17</v>
      </c>
    </row>
    <row r="782" spans="1:8" x14ac:dyDescent="0.25">
      <c r="A782" t="s">
        <v>14</v>
      </c>
      <c r="B782">
        <v>141597</v>
      </c>
      <c r="C782">
        <v>26</v>
      </c>
      <c r="D782" t="s">
        <v>28</v>
      </c>
      <c r="E782">
        <v>0.74</v>
      </c>
      <c r="F782">
        <v>0.96</v>
      </c>
      <c r="G782">
        <v>0.84</v>
      </c>
      <c r="H782" t="s">
        <v>10</v>
      </c>
    </row>
    <row r="783" spans="1:8" x14ac:dyDescent="0.25">
      <c r="A783" t="s">
        <v>34</v>
      </c>
      <c r="B783">
        <v>72756</v>
      </c>
      <c r="C783">
        <v>18</v>
      </c>
      <c r="D783" t="s">
        <v>12</v>
      </c>
      <c r="E783">
        <v>0.61</v>
      </c>
      <c r="F783">
        <v>1.35</v>
      </c>
      <c r="G783">
        <v>0.49</v>
      </c>
      <c r="H783" t="s">
        <v>17</v>
      </c>
    </row>
    <row r="784" spans="1:8" x14ac:dyDescent="0.25">
      <c r="A784" t="s">
        <v>11</v>
      </c>
      <c r="B784">
        <v>77774</v>
      </c>
      <c r="C784">
        <v>10</v>
      </c>
      <c r="D784" t="s">
        <v>15</v>
      </c>
      <c r="E784">
        <v>0.95</v>
      </c>
      <c r="F784">
        <v>1.1399999999999999</v>
      </c>
      <c r="G784">
        <v>0.27</v>
      </c>
      <c r="H784" t="s">
        <v>13</v>
      </c>
    </row>
    <row r="785" spans="1:8" x14ac:dyDescent="0.25">
      <c r="A785" t="s">
        <v>29</v>
      </c>
      <c r="B785">
        <v>119865</v>
      </c>
      <c r="C785">
        <v>12</v>
      </c>
      <c r="D785" t="s">
        <v>9</v>
      </c>
      <c r="E785">
        <v>0.95</v>
      </c>
      <c r="F785">
        <v>1.2</v>
      </c>
      <c r="G785">
        <v>0.71</v>
      </c>
      <c r="H785" t="s">
        <v>10</v>
      </c>
    </row>
    <row r="786" spans="1:8" x14ac:dyDescent="0.25">
      <c r="A786" t="s">
        <v>19</v>
      </c>
      <c r="B786">
        <v>33692</v>
      </c>
      <c r="C786">
        <v>25</v>
      </c>
      <c r="D786" t="s">
        <v>15</v>
      </c>
      <c r="E786">
        <v>0.73</v>
      </c>
      <c r="F786">
        <v>1.3</v>
      </c>
      <c r="G786">
        <v>0.28999999999999998</v>
      </c>
      <c r="H786" t="s">
        <v>13</v>
      </c>
    </row>
    <row r="787" spans="1:8" x14ac:dyDescent="0.25">
      <c r="A787" t="s">
        <v>11</v>
      </c>
      <c r="B787">
        <v>139419</v>
      </c>
      <c r="C787">
        <v>4</v>
      </c>
      <c r="D787" t="s">
        <v>12</v>
      </c>
      <c r="E787">
        <v>0.39</v>
      </c>
      <c r="F787">
        <v>0.91</v>
      </c>
      <c r="G787">
        <v>0.09</v>
      </c>
      <c r="H787" t="s">
        <v>13</v>
      </c>
    </row>
    <row r="788" spans="1:8" x14ac:dyDescent="0.25">
      <c r="A788" t="s">
        <v>31</v>
      </c>
      <c r="B788">
        <v>48782</v>
      </c>
      <c r="C788">
        <v>6</v>
      </c>
      <c r="D788" t="s">
        <v>28</v>
      </c>
      <c r="E788">
        <v>0.09</v>
      </c>
      <c r="F788">
        <v>1.36</v>
      </c>
      <c r="G788">
        <v>0.9</v>
      </c>
      <c r="H788" t="s">
        <v>10</v>
      </c>
    </row>
    <row r="789" spans="1:8" x14ac:dyDescent="0.25">
      <c r="A789" t="s">
        <v>29</v>
      </c>
      <c r="B789">
        <v>140349</v>
      </c>
      <c r="C789">
        <v>14</v>
      </c>
      <c r="D789" t="s">
        <v>9</v>
      </c>
      <c r="E789">
        <v>0.53</v>
      </c>
      <c r="F789">
        <v>0.91</v>
      </c>
      <c r="G789">
        <v>0.77</v>
      </c>
      <c r="H789" t="s">
        <v>10</v>
      </c>
    </row>
    <row r="790" spans="1:8" x14ac:dyDescent="0.25">
      <c r="A790" t="s">
        <v>16</v>
      </c>
      <c r="B790">
        <v>80075</v>
      </c>
      <c r="C790">
        <v>22</v>
      </c>
      <c r="D790" t="s">
        <v>28</v>
      </c>
      <c r="E790">
        <v>0.65</v>
      </c>
      <c r="F790">
        <v>1.45</v>
      </c>
      <c r="G790">
        <v>0.62</v>
      </c>
      <c r="H790" t="s">
        <v>17</v>
      </c>
    </row>
    <row r="791" spans="1:8" x14ac:dyDescent="0.25">
      <c r="A791" t="s">
        <v>20</v>
      </c>
      <c r="B791">
        <v>120629</v>
      </c>
      <c r="C791">
        <v>22</v>
      </c>
      <c r="D791" t="s">
        <v>28</v>
      </c>
      <c r="E791">
        <v>0.36</v>
      </c>
      <c r="F791">
        <v>1.23</v>
      </c>
      <c r="G791">
        <v>0.34</v>
      </c>
      <c r="H791" t="s">
        <v>17</v>
      </c>
    </row>
    <row r="792" spans="1:8" x14ac:dyDescent="0.25">
      <c r="A792" t="s">
        <v>19</v>
      </c>
      <c r="B792">
        <v>135899</v>
      </c>
      <c r="C792">
        <v>24</v>
      </c>
      <c r="D792" t="s">
        <v>28</v>
      </c>
      <c r="E792">
        <v>0.53</v>
      </c>
      <c r="F792">
        <v>1.25</v>
      </c>
      <c r="G792">
        <v>0.16</v>
      </c>
      <c r="H792" t="s">
        <v>13</v>
      </c>
    </row>
    <row r="793" spans="1:8" x14ac:dyDescent="0.25">
      <c r="A793" t="s">
        <v>34</v>
      </c>
      <c r="B793">
        <v>115333</v>
      </c>
      <c r="C793">
        <v>1</v>
      </c>
      <c r="D793" t="s">
        <v>9</v>
      </c>
      <c r="E793">
        <v>0.28999999999999998</v>
      </c>
      <c r="F793">
        <v>0.82</v>
      </c>
      <c r="G793">
        <v>0.56999999999999995</v>
      </c>
      <c r="H793" t="s">
        <v>17</v>
      </c>
    </row>
    <row r="794" spans="1:8" x14ac:dyDescent="0.25">
      <c r="A794" t="s">
        <v>20</v>
      </c>
      <c r="B794">
        <v>93908</v>
      </c>
      <c r="C794">
        <v>22</v>
      </c>
      <c r="D794" t="s">
        <v>9</v>
      </c>
      <c r="E794">
        <v>0.67</v>
      </c>
      <c r="F794">
        <v>0.97</v>
      </c>
      <c r="G794">
        <v>0.44</v>
      </c>
      <c r="H794" t="s">
        <v>17</v>
      </c>
    </row>
    <row r="795" spans="1:8" x14ac:dyDescent="0.25">
      <c r="A795" t="s">
        <v>29</v>
      </c>
      <c r="B795">
        <v>41564</v>
      </c>
      <c r="C795">
        <v>3</v>
      </c>
      <c r="D795" t="s">
        <v>9</v>
      </c>
      <c r="E795">
        <v>0.67</v>
      </c>
      <c r="F795">
        <v>0.75</v>
      </c>
      <c r="G795">
        <v>0.78</v>
      </c>
      <c r="H795" t="s">
        <v>10</v>
      </c>
    </row>
    <row r="796" spans="1:8" x14ac:dyDescent="0.25">
      <c r="A796" t="s">
        <v>31</v>
      </c>
      <c r="B796">
        <v>144507</v>
      </c>
      <c r="C796">
        <v>9</v>
      </c>
      <c r="D796" t="s">
        <v>15</v>
      </c>
      <c r="E796">
        <v>0.56000000000000005</v>
      </c>
      <c r="F796">
        <v>1.0900000000000001</v>
      </c>
      <c r="G796">
        <v>0.79</v>
      </c>
      <c r="H796" t="s">
        <v>10</v>
      </c>
    </row>
    <row r="797" spans="1:8" x14ac:dyDescent="0.25">
      <c r="A797" t="s">
        <v>27</v>
      </c>
      <c r="B797">
        <v>147679</v>
      </c>
      <c r="C797">
        <v>29</v>
      </c>
      <c r="D797" t="s">
        <v>9</v>
      </c>
      <c r="E797">
        <v>0.92</v>
      </c>
      <c r="F797">
        <v>1.19</v>
      </c>
      <c r="G797">
        <v>0.6</v>
      </c>
      <c r="H797" t="s">
        <v>17</v>
      </c>
    </row>
    <row r="798" spans="1:8" x14ac:dyDescent="0.25">
      <c r="A798" t="s">
        <v>11</v>
      </c>
      <c r="B798">
        <v>132811</v>
      </c>
      <c r="C798">
        <v>12</v>
      </c>
      <c r="D798" t="s">
        <v>9</v>
      </c>
      <c r="E798">
        <v>0.82</v>
      </c>
      <c r="F798">
        <v>1.26</v>
      </c>
      <c r="G798">
        <v>0.3</v>
      </c>
      <c r="H798" t="s">
        <v>13</v>
      </c>
    </row>
    <row r="799" spans="1:8" x14ac:dyDescent="0.25">
      <c r="A799" t="s">
        <v>24</v>
      </c>
      <c r="B799">
        <v>54940</v>
      </c>
      <c r="C799">
        <v>26</v>
      </c>
      <c r="D799" t="s">
        <v>9</v>
      </c>
      <c r="E799">
        <v>0.06</v>
      </c>
      <c r="F799">
        <v>0.55000000000000004</v>
      </c>
      <c r="G799">
        <v>0.47</v>
      </c>
      <c r="H799" t="s">
        <v>17</v>
      </c>
    </row>
    <row r="800" spans="1:8" x14ac:dyDescent="0.25">
      <c r="A800" t="s">
        <v>16</v>
      </c>
      <c r="B800">
        <v>144326</v>
      </c>
      <c r="C800">
        <v>14</v>
      </c>
      <c r="D800" t="s">
        <v>12</v>
      </c>
      <c r="E800">
        <v>0.39</v>
      </c>
      <c r="F800">
        <v>0.8</v>
      </c>
      <c r="G800">
        <v>0.56000000000000005</v>
      </c>
      <c r="H800" t="s">
        <v>17</v>
      </c>
    </row>
    <row r="801" spans="1:8" x14ac:dyDescent="0.25">
      <c r="A801" t="s">
        <v>33</v>
      </c>
      <c r="B801">
        <v>30511</v>
      </c>
      <c r="C801">
        <v>18</v>
      </c>
      <c r="D801" t="s">
        <v>9</v>
      </c>
      <c r="E801">
        <v>0.67</v>
      </c>
      <c r="F801">
        <v>0.73</v>
      </c>
      <c r="G801">
        <v>0.13</v>
      </c>
      <c r="H801" t="s">
        <v>13</v>
      </c>
    </row>
    <row r="802" spans="1:8" x14ac:dyDescent="0.25">
      <c r="A802" t="s">
        <v>16</v>
      </c>
      <c r="B802">
        <v>49359</v>
      </c>
      <c r="C802">
        <v>26</v>
      </c>
      <c r="D802" t="s">
        <v>28</v>
      </c>
      <c r="E802">
        <v>0.9</v>
      </c>
      <c r="F802">
        <v>0.77</v>
      </c>
      <c r="G802">
        <v>0.41</v>
      </c>
      <c r="H802" t="s">
        <v>17</v>
      </c>
    </row>
    <row r="803" spans="1:8" x14ac:dyDescent="0.25">
      <c r="A803" t="s">
        <v>20</v>
      </c>
      <c r="B803">
        <v>36265</v>
      </c>
      <c r="C803">
        <v>15</v>
      </c>
      <c r="D803" t="s">
        <v>15</v>
      </c>
      <c r="E803">
        <v>0.56000000000000005</v>
      </c>
      <c r="F803">
        <v>0.61</v>
      </c>
      <c r="G803">
        <v>0.36</v>
      </c>
      <c r="H803" t="s">
        <v>17</v>
      </c>
    </row>
    <row r="804" spans="1:8" x14ac:dyDescent="0.25">
      <c r="A804" t="s">
        <v>25</v>
      </c>
      <c r="B804">
        <v>122313</v>
      </c>
      <c r="C804">
        <v>25</v>
      </c>
      <c r="D804" t="s">
        <v>9</v>
      </c>
      <c r="E804">
        <v>0.95</v>
      </c>
      <c r="F804">
        <v>0.84</v>
      </c>
      <c r="G804">
        <v>0.48</v>
      </c>
      <c r="H804" t="s">
        <v>17</v>
      </c>
    </row>
    <row r="805" spans="1:8" x14ac:dyDescent="0.25">
      <c r="A805" t="s">
        <v>32</v>
      </c>
      <c r="B805">
        <v>39280</v>
      </c>
      <c r="C805">
        <v>1</v>
      </c>
      <c r="D805" t="s">
        <v>12</v>
      </c>
      <c r="E805">
        <v>0.43</v>
      </c>
      <c r="F805">
        <v>0.7</v>
      </c>
      <c r="G805">
        <v>0.52</v>
      </c>
      <c r="H805" t="s">
        <v>17</v>
      </c>
    </row>
    <row r="806" spans="1:8" x14ac:dyDescent="0.25">
      <c r="A806" t="s">
        <v>14</v>
      </c>
      <c r="B806">
        <v>80281</v>
      </c>
      <c r="C806">
        <v>26</v>
      </c>
      <c r="D806" t="s">
        <v>28</v>
      </c>
      <c r="E806">
        <v>0.94</v>
      </c>
      <c r="F806">
        <v>1.28</v>
      </c>
      <c r="G806">
        <v>0.85</v>
      </c>
      <c r="H806" t="s">
        <v>10</v>
      </c>
    </row>
    <row r="807" spans="1:8" x14ac:dyDescent="0.25">
      <c r="A807" t="s">
        <v>24</v>
      </c>
      <c r="B807">
        <v>98354</v>
      </c>
      <c r="C807">
        <v>16</v>
      </c>
      <c r="D807" t="s">
        <v>15</v>
      </c>
      <c r="E807">
        <v>0.84</v>
      </c>
      <c r="F807">
        <v>0.53</v>
      </c>
      <c r="G807">
        <v>0.63</v>
      </c>
      <c r="H807" t="s">
        <v>17</v>
      </c>
    </row>
    <row r="808" spans="1:8" x14ac:dyDescent="0.25">
      <c r="A808" t="s">
        <v>18</v>
      </c>
      <c r="B808">
        <v>140951</v>
      </c>
      <c r="C808">
        <v>11</v>
      </c>
      <c r="D808" t="s">
        <v>15</v>
      </c>
      <c r="E808">
        <v>0.38</v>
      </c>
      <c r="F808">
        <v>1.37</v>
      </c>
      <c r="G808">
        <v>0.45</v>
      </c>
      <c r="H808" t="s">
        <v>17</v>
      </c>
    </row>
    <row r="809" spans="1:8" x14ac:dyDescent="0.25">
      <c r="A809" t="s">
        <v>29</v>
      </c>
      <c r="B809">
        <v>145131</v>
      </c>
      <c r="C809">
        <v>22</v>
      </c>
      <c r="D809" t="s">
        <v>9</v>
      </c>
      <c r="E809">
        <v>0.11</v>
      </c>
      <c r="F809">
        <v>1.42</v>
      </c>
      <c r="G809">
        <v>0.89</v>
      </c>
      <c r="H809" t="s">
        <v>10</v>
      </c>
    </row>
    <row r="810" spans="1:8" x14ac:dyDescent="0.25">
      <c r="A810" t="s">
        <v>33</v>
      </c>
      <c r="B810">
        <v>51529</v>
      </c>
      <c r="C810">
        <v>7</v>
      </c>
      <c r="D810" t="s">
        <v>28</v>
      </c>
      <c r="E810">
        <v>0.93</v>
      </c>
      <c r="F810">
        <v>0.74</v>
      </c>
      <c r="G810">
        <v>0.25</v>
      </c>
      <c r="H810" t="s">
        <v>13</v>
      </c>
    </row>
    <row r="811" spans="1:8" x14ac:dyDescent="0.25">
      <c r="A811" t="s">
        <v>29</v>
      </c>
      <c r="B811">
        <v>30594</v>
      </c>
      <c r="C811">
        <v>25</v>
      </c>
      <c r="D811" t="s">
        <v>9</v>
      </c>
      <c r="E811">
        <v>0.28000000000000003</v>
      </c>
      <c r="F811">
        <v>0.98</v>
      </c>
      <c r="G811">
        <v>0.71</v>
      </c>
      <c r="H811" t="s">
        <v>10</v>
      </c>
    </row>
    <row r="812" spans="1:8" x14ac:dyDescent="0.25">
      <c r="A812" t="s">
        <v>29</v>
      </c>
      <c r="B812">
        <v>142770</v>
      </c>
      <c r="C812">
        <v>22</v>
      </c>
      <c r="D812" t="s">
        <v>9</v>
      </c>
      <c r="E812">
        <v>0.32</v>
      </c>
      <c r="F812">
        <v>1.05</v>
      </c>
      <c r="G812">
        <v>0.74</v>
      </c>
      <c r="H812" t="s">
        <v>10</v>
      </c>
    </row>
    <row r="813" spans="1:8" x14ac:dyDescent="0.25">
      <c r="A813" t="s">
        <v>34</v>
      </c>
      <c r="B813">
        <v>122995</v>
      </c>
      <c r="C813">
        <v>5</v>
      </c>
      <c r="D813" t="s">
        <v>15</v>
      </c>
      <c r="E813">
        <v>7.0000000000000007E-2</v>
      </c>
      <c r="F813">
        <v>0.6</v>
      </c>
      <c r="G813">
        <v>0.47</v>
      </c>
      <c r="H813" t="s">
        <v>17</v>
      </c>
    </row>
    <row r="814" spans="1:8" x14ac:dyDescent="0.25">
      <c r="A814" t="s">
        <v>11</v>
      </c>
      <c r="B814">
        <v>137126</v>
      </c>
      <c r="C814">
        <v>7</v>
      </c>
      <c r="D814" t="s">
        <v>9</v>
      </c>
      <c r="E814">
        <v>0.1</v>
      </c>
      <c r="F814">
        <v>1.17</v>
      </c>
      <c r="G814">
        <v>0.05</v>
      </c>
      <c r="H814" t="s">
        <v>13</v>
      </c>
    </row>
    <row r="815" spans="1:8" x14ac:dyDescent="0.25">
      <c r="A815" t="s">
        <v>23</v>
      </c>
      <c r="B815">
        <v>44372</v>
      </c>
      <c r="C815">
        <v>26</v>
      </c>
      <c r="D815" t="s">
        <v>28</v>
      </c>
      <c r="E815">
        <v>0.12</v>
      </c>
      <c r="F815">
        <v>0.8</v>
      </c>
      <c r="G815">
        <v>0.94</v>
      </c>
      <c r="H815" t="s">
        <v>10</v>
      </c>
    </row>
    <row r="816" spans="1:8" x14ac:dyDescent="0.25">
      <c r="A816" t="s">
        <v>33</v>
      </c>
      <c r="B816">
        <v>53795</v>
      </c>
      <c r="C816">
        <v>7</v>
      </c>
      <c r="D816" t="s">
        <v>9</v>
      </c>
      <c r="E816">
        <v>0.65</v>
      </c>
      <c r="F816">
        <v>0.86</v>
      </c>
      <c r="G816">
        <v>0.11</v>
      </c>
      <c r="H816" t="s">
        <v>13</v>
      </c>
    </row>
    <row r="817" spans="1:8" x14ac:dyDescent="0.25">
      <c r="A817" t="s">
        <v>8</v>
      </c>
      <c r="B817">
        <v>80697</v>
      </c>
      <c r="C817">
        <v>15</v>
      </c>
      <c r="D817" t="s">
        <v>28</v>
      </c>
      <c r="E817">
        <v>0.85</v>
      </c>
      <c r="F817">
        <v>0.9</v>
      </c>
      <c r="G817">
        <v>0.91</v>
      </c>
      <c r="H817" t="s">
        <v>10</v>
      </c>
    </row>
    <row r="818" spans="1:8" x14ac:dyDescent="0.25">
      <c r="A818" t="s">
        <v>27</v>
      </c>
      <c r="B818">
        <v>118078</v>
      </c>
      <c r="C818">
        <v>13</v>
      </c>
      <c r="D818" t="s">
        <v>12</v>
      </c>
      <c r="E818">
        <v>7.0000000000000007E-2</v>
      </c>
      <c r="F818">
        <v>1.04</v>
      </c>
      <c r="G818">
        <v>0.66</v>
      </c>
      <c r="H818" t="s">
        <v>17</v>
      </c>
    </row>
    <row r="819" spans="1:8" x14ac:dyDescent="0.25">
      <c r="A819" t="s">
        <v>33</v>
      </c>
      <c r="B819">
        <v>125773</v>
      </c>
      <c r="C819">
        <v>28</v>
      </c>
      <c r="D819" t="s">
        <v>9</v>
      </c>
      <c r="E819">
        <v>0.49</v>
      </c>
      <c r="F819">
        <v>0.61</v>
      </c>
      <c r="G819">
        <v>0.16</v>
      </c>
      <c r="H819" t="s">
        <v>13</v>
      </c>
    </row>
    <row r="820" spans="1:8" x14ac:dyDescent="0.25">
      <c r="A820" t="s">
        <v>26</v>
      </c>
      <c r="B820">
        <v>93766</v>
      </c>
      <c r="C820">
        <v>10</v>
      </c>
      <c r="D820" t="s">
        <v>12</v>
      </c>
      <c r="E820">
        <v>0</v>
      </c>
      <c r="F820">
        <v>1.43</v>
      </c>
      <c r="G820">
        <v>0.44</v>
      </c>
      <c r="H820" t="s">
        <v>17</v>
      </c>
    </row>
    <row r="821" spans="1:8" x14ac:dyDescent="0.25">
      <c r="A821" t="s">
        <v>31</v>
      </c>
      <c r="B821">
        <v>105569</v>
      </c>
      <c r="C821">
        <v>0</v>
      </c>
      <c r="D821" t="s">
        <v>28</v>
      </c>
      <c r="E821">
        <v>0.37</v>
      </c>
      <c r="F821">
        <v>0.84</v>
      </c>
      <c r="G821">
        <v>0.76</v>
      </c>
      <c r="H821" t="s">
        <v>10</v>
      </c>
    </row>
    <row r="822" spans="1:8" x14ac:dyDescent="0.25">
      <c r="A822" t="s">
        <v>21</v>
      </c>
      <c r="B822">
        <v>45782</v>
      </c>
      <c r="C822">
        <v>19</v>
      </c>
      <c r="D822" t="s">
        <v>28</v>
      </c>
      <c r="E822">
        <v>0.74</v>
      </c>
      <c r="F822">
        <v>0.84</v>
      </c>
      <c r="G822">
        <v>0.16</v>
      </c>
      <c r="H822" t="s">
        <v>13</v>
      </c>
    </row>
    <row r="823" spans="1:8" x14ac:dyDescent="0.25">
      <c r="A823" t="s">
        <v>14</v>
      </c>
      <c r="B823">
        <v>127288</v>
      </c>
      <c r="C823">
        <v>12</v>
      </c>
      <c r="D823" t="s">
        <v>15</v>
      </c>
      <c r="E823">
        <v>0.46</v>
      </c>
      <c r="F823">
        <v>1.26</v>
      </c>
      <c r="G823">
        <v>0.83</v>
      </c>
      <c r="H823" t="s">
        <v>10</v>
      </c>
    </row>
    <row r="824" spans="1:8" x14ac:dyDescent="0.25">
      <c r="A824" t="s">
        <v>8</v>
      </c>
      <c r="B824">
        <v>107865</v>
      </c>
      <c r="C824">
        <v>2</v>
      </c>
      <c r="D824" t="s">
        <v>9</v>
      </c>
      <c r="E824">
        <v>0.59</v>
      </c>
      <c r="F824">
        <v>0.69</v>
      </c>
      <c r="G824">
        <v>0.92</v>
      </c>
      <c r="H824" t="s">
        <v>10</v>
      </c>
    </row>
    <row r="825" spans="1:8" x14ac:dyDescent="0.25">
      <c r="A825" t="s">
        <v>19</v>
      </c>
      <c r="B825">
        <v>75986</v>
      </c>
      <c r="C825">
        <v>27</v>
      </c>
      <c r="D825" t="s">
        <v>12</v>
      </c>
      <c r="E825">
        <v>0.5</v>
      </c>
      <c r="F825">
        <v>0.52</v>
      </c>
      <c r="G825">
        <v>0.14000000000000001</v>
      </c>
      <c r="H825" t="s">
        <v>13</v>
      </c>
    </row>
    <row r="826" spans="1:8" x14ac:dyDescent="0.25">
      <c r="A826" t="s">
        <v>22</v>
      </c>
      <c r="B826">
        <v>60276</v>
      </c>
      <c r="C826">
        <v>19</v>
      </c>
      <c r="D826" t="s">
        <v>9</v>
      </c>
      <c r="E826">
        <v>0.76</v>
      </c>
      <c r="F826">
        <v>0.77</v>
      </c>
      <c r="G826">
        <v>0.36</v>
      </c>
      <c r="H826" t="s">
        <v>17</v>
      </c>
    </row>
    <row r="827" spans="1:8" x14ac:dyDescent="0.25">
      <c r="A827" t="s">
        <v>18</v>
      </c>
      <c r="B827">
        <v>137294</v>
      </c>
      <c r="C827">
        <v>2</v>
      </c>
      <c r="D827" t="s">
        <v>15</v>
      </c>
      <c r="E827">
        <v>0.09</v>
      </c>
      <c r="F827">
        <v>1.34</v>
      </c>
      <c r="G827">
        <v>0.64</v>
      </c>
      <c r="H827" t="s">
        <v>17</v>
      </c>
    </row>
    <row r="828" spans="1:8" x14ac:dyDescent="0.25">
      <c r="A828" t="s">
        <v>27</v>
      </c>
      <c r="B828">
        <v>147272</v>
      </c>
      <c r="C828">
        <v>3</v>
      </c>
      <c r="D828" t="s">
        <v>12</v>
      </c>
      <c r="E828">
        <v>0.79</v>
      </c>
      <c r="F828">
        <v>1.1000000000000001</v>
      </c>
      <c r="G828">
        <v>0.53</v>
      </c>
      <c r="H828" t="s">
        <v>17</v>
      </c>
    </row>
    <row r="829" spans="1:8" x14ac:dyDescent="0.25">
      <c r="A829" t="s">
        <v>20</v>
      </c>
      <c r="B829">
        <v>45819</v>
      </c>
      <c r="C829">
        <v>24</v>
      </c>
      <c r="D829" t="s">
        <v>12</v>
      </c>
      <c r="E829">
        <v>0.62</v>
      </c>
      <c r="F829">
        <v>0.98</v>
      </c>
      <c r="G829">
        <v>0.46</v>
      </c>
      <c r="H829" t="s">
        <v>17</v>
      </c>
    </row>
    <row r="830" spans="1:8" x14ac:dyDescent="0.25">
      <c r="A830" t="s">
        <v>19</v>
      </c>
      <c r="B830">
        <v>36473</v>
      </c>
      <c r="C830">
        <v>18</v>
      </c>
      <c r="D830" t="s">
        <v>28</v>
      </c>
      <c r="E830">
        <v>0.57999999999999996</v>
      </c>
      <c r="F830">
        <v>0.56999999999999995</v>
      </c>
      <c r="G830">
        <v>0.09</v>
      </c>
      <c r="H830" t="s">
        <v>13</v>
      </c>
    </row>
    <row r="831" spans="1:8" x14ac:dyDescent="0.25">
      <c r="A831" t="s">
        <v>29</v>
      </c>
      <c r="B831">
        <v>62556</v>
      </c>
      <c r="C831">
        <v>27</v>
      </c>
      <c r="D831" t="s">
        <v>9</v>
      </c>
      <c r="E831">
        <v>0.36</v>
      </c>
      <c r="F831">
        <v>1.07</v>
      </c>
      <c r="G831">
        <v>0.91</v>
      </c>
      <c r="H831" t="s">
        <v>10</v>
      </c>
    </row>
    <row r="832" spans="1:8" x14ac:dyDescent="0.25">
      <c r="A832" t="s">
        <v>11</v>
      </c>
      <c r="B832">
        <v>88209</v>
      </c>
      <c r="C832">
        <v>7</v>
      </c>
      <c r="D832" t="s">
        <v>28</v>
      </c>
      <c r="E832">
        <v>0.22</v>
      </c>
      <c r="F832">
        <v>0.66</v>
      </c>
      <c r="G832">
        <v>0.11</v>
      </c>
      <c r="H832" t="s">
        <v>13</v>
      </c>
    </row>
    <row r="833" spans="1:8" x14ac:dyDescent="0.25">
      <c r="A833" t="s">
        <v>25</v>
      </c>
      <c r="B833">
        <v>147067</v>
      </c>
      <c r="C833">
        <v>23</v>
      </c>
      <c r="D833" t="s">
        <v>12</v>
      </c>
      <c r="E833">
        <v>0.93</v>
      </c>
      <c r="F833">
        <v>0.76</v>
      </c>
      <c r="G833">
        <v>0.43</v>
      </c>
      <c r="H833" t="s">
        <v>17</v>
      </c>
    </row>
    <row r="834" spans="1:8" x14ac:dyDescent="0.25">
      <c r="A834" t="s">
        <v>25</v>
      </c>
      <c r="B834">
        <v>38699</v>
      </c>
      <c r="C834">
        <v>3</v>
      </c>
      <c r="D834" t="s">
        <v>15</v>
      </c>
      <c r="E834">
        <v>1</v>
      </c>
      <c r="F834">
        <v>0.88</v>
      </c>
      <c r="G834">
        <v>0.54</v>
      </c>
      <c r="H834" t="s">
        <v>17</v>
      </c>
    </row>
    <row r="835" spans="1:8" x14ac:dyDescent="0.25">
      <c r="A835" t="s">
        <v>26</v>
      </c>
      <c r="B835">
        <v>107593</v>
      </c>
      <c r="C835">
        <v>25</v>
      </c>
      <c r="D835" t="s">
        <v>9</v>
      </c>
      <c r="E835">
        <v>0.86</v>
      </c>
      <c r="F835">
        <v>0.99</v>
      </c>
      <c r="G835">
        <v>0.53</v>
      </c>
      <c r="H835" t="s">
        <v>17</v>
      </c>
    </row>
    <row r="836" spans="1:8" x14ac:dyDescent="0.25">
      <c r="A836" t="s">
        <v>8</v>
      </c>
      <c r="B836">
        <v>75076</v>
      </c>
      <c r="C836">
        <v>18</v>
      </c>
      <c r="D836" t="s">
        <v>12</v>
      </c>
      <c r="E836">
        <v>0.71</v>
      </c>
      <c r="F836">
        <v>1.1200000000000001</v>
      </c>
      <c r="G836">
        <v>0.86</v>
      </c>
      <c r="H836" t="s">
        <v>10</v>
      </c>
    </row>
    <row r="837" spans="1:8" x14ac:dyDescent="0.25">
      <c r="A837" t="s">
        <v>16</v>
      </c>
      <c r="B837">
        <v>91743</v>
      </c>
      <c r="C837">
        <v>6</v>
      </c>
      <c r="D837" t="s">
        <v>28</v>
      </c>
      <c r="E837">
        <v>0.11</v>
      </c>
      <c r="F837">
        <v>1.03</v>
      </c>
      <c r="G837">
        <v>0.64</v>
      </c>
      <c r="H837" t="s">
        <v>17</v>
      </c>
    </row>
    <row r="838" spans="1:8" x14ac:dyDescent="0.25">
      <c r="A838" t="s">
        <v>27</v>
      </c>
      <c r="B838">
        <v>80924</v>
      </c>
      <c r="C838">
        <v>10</v>
      </c>
      <c r="D838" t="s">
        <v>12</v>
      </c>
      <c r="E838">
        <v>0.25</v>
      </c>
      <c r="F838">
        <v>0.93</v>
      </c>
      <c r="G838">
        <v>0.55000000000000004</v>
      </c>
      <c r="H838" t="s">
        <v>17</v>
      </c>
    </row>
    <row r="839" spans="1:8" x14ac:dyDescent="0.25">
      <c r="A839" t="s">
        <v>11</v>
      </c>
      <c r="B839">
        <v>72500</v>
      </c>
      <c r="C839">
        <v>19</v>
      </c>
      <c r="D839" t="s">
        <v>12</v>
      </c>
      <c r="E839">
        <v>0.55000000000000004</v>
      </c>
      <c r="F839">
        <v>1.36</v>
      </c>
      <c r="G839">
        <v>0.22</v>
      </c>
      <c r="H839" t="s">
        <v>13</v>
      </c>
    </row>
    <row r="840" spans="1:8" x14ac:dyDescent="0.25">
      <c r="A840" t="s">
        <v>26</v>
      </c>
      <c r="B840">
        <v>52380</v>
      </c>
      <c r="C840">
        <v>16</v>
      </c>
      <c r="D840" t="s">
        <v>12</v>
      </c>
      <c r="E840">
        <v>0.01</v>
      </c>
      <c r="F840">
        <v>1.49</v>
      </c>
      <c r="G840">
        <v>0.37</v>
      </c>
      <c r="H840" t="s">
        <v>17</v>
      </c>
    </row>
    <row r="841" spans="1:8" x14ac:dyDescent="0.25">
      <c r="A841" t="s">
        <v>27</v>
      </c>
      <c r="B841">
        <v>34355</v>
      </c>
      <c r="C841">
        <v>5</v>
      </c>
      <c r="D841" t="s">
        <v>28</v>
      </c>
      <c r="E841">
        <v>0.11</v>
      </c>
      <c r="F841">
        <v>1.23</v>
      </c>
      <c r="G841">
        <v>0.32</v>
      </c>
      <c r="H841" t="s">
        <v>17</v>
      </c>
    </row>
    <row r="842" spans="1:8" x14ac:dyDescent="0.25">
      <c r="A842" t="s">
        <v>24</v>
      </c>
      <c r="B842">
        <v>32035</v>
      </c>
      <c r="C842">
        <v>15</v>
      </c>
      <c r="D842" t="s">
        <v>9</v>
      </c>
      <c r="E842">
        <v>0.31</v>
      </c>
      <c r="F842">
        <v>1.42</v>
      </c>
      <c r="G842">
        <v>0.56000000000000005</v>
      </c>
      <c r="H842" t="s">
        <v>17</v>
      </c>
    </row>
    <row r="843" spans="1:8" x14ac:dyDescent="0.25">
      <c r="A843" t="s">
        <v>22</v>
      </c>
      <c r="B843">
        <v>32665</v>
      </c>
      <c r="C843">
        <v>17</v>
      </c>
      <c r="D843" t="s">
        <v>12</v>
      </c>
      <c r="E843">
        <v>0.92</v>
      </c>
      <c r="F843">
        <v>1.03</v>
      </c>
      <c r="G843">
        <v>0.34</v>
      </c>
      <c r="H843" t="s">
        <v>17</v>
      </c>
    </row>
    <row r="844" spans="1:8" x14ac:dyDescent="0.25">
      <c r="A844" t="s">
        <v>18</v>
      </c>
      <c r="B844">
        <v>100739</v>
      </c>
      <c r="C844">
        <v>14</v>
      </c>
      <c r="D844" t="s">
        <v>28</v>
      </c>
      <c r="E844">
        <v>0.81</v>
      </c>
      <c r="F844">
        <v>0.81</v>
      </c>
      <c r="G844">
        <v>0.69</v>
      </c>
      <c r="H844" t="s">
        <v>17</v>
      </c>
    </row>
    <row r="845" spans="1:8" x14ac:dyDescent="0.25">
      <c r="A845" t="s">
        <v>30</v>
      </c>
      <c r="B845">
        <v>128560</v>
      </c>
      <c r="C845">
        <v>24</v>
      </c>
      <c r="D845" t="s">
        <v>9</v>
      </c>
      <c r="E845">
        <v>0.71</v>
      </c>
      <c r="F845">
        <v>0.98</v>
      </c>
      <c r="G845">
        <v>0.2</v>
      </c>
      <c r="H845" t="s">
        <v>13</v>
      </c>
    </row>
    <row r="846" spans="1:8" x14ac:dyDescent="0.25">
      <c r="A846" t="s">
        <v>26</v>
      </c>
      <c r="B846">
        <v>59974</v>
      </c>
      <c r="C846">
        <v>11</v>
      </c>
      <c r="D846" t="s">
        <v>9</v>
      </c>
      <c r="E846">
        <v>0.15</v>
      </c>
      <c r="F846">
        <v>1.39</v>
      </c>
      <c r="G846">
        <v>0.41</v>
      </c>
      <c r="H846" t="s">
        <v>17</v>
      </c>
    </row>
    <row r="847" spans="1:8" x14ac:dyDescent="0.25">
      <c r="A847" t="s">
        <v>21</v>
      </c>
      <c r="B847">
        <v>90521</v>
      </c>
      <c r="C847">
        <v>1</v>
      </c>
      <c r="D847" t="s">
        <v>15</v>
      </c>
      <c r="E847">
        <v>0.6</v>
      </c>
      <c r="F847">
        <v>0.85</v>
      </c>
      <c r="G847">
        <v>0.16</v>
      </c>
      <c r="H847" t="s">
        <v>13</v>
      </c>
    </row>
    <row r="848" spans="1:8" x14ac:dyDescent="0.25">
      <c r="A848" t="s">
        <v>16</v>
      </c>
      <c r="B848">
        <v>66476</v>
      </c>
      <c r="C848">
        <v>11</v>
      </c>
      <c r="D848" t="s">
        <v>9</v>
      </c>
      <c r="E848">
        <v>0.4</v>
      </c>
      <c r="F848">
        <v>1.46</v>
      </c>
      <c r="G848">
        <v>0.7</v>
      </c>
      <c r="H848" t="s">
        <v>17</v>
      </c>
    </row>
    <row r="849" spans="1:8" x14ac:dyDescent="0.25">
      <c r="A849" t="s">
        <v>16</v>
      </c>
      <c r="B849">
        <v>82271</v>
      </c>
      <c r="C849">
        <v>11</v>
      </c>
      <c r="D849" t="s">
        <v>12</v>
      </c>
      <c r="E849">
        <v>0.24</v>
      </c>
      <c r="F849">
        <v>1.23</v>
      </c>
      <c r="G849">
        <v>0.56999999999999995</v>
      </c>
      <c r="H849" t="s">
        <v>17</v>
      </c>
    </row>
    <row r="850" spans="1:8" x14ac:dyDescent="0.25">
      <c r="A850" t="s">
        <v>32</v>
      </c>
      <c r="B850">
        <v>33743</v>
      </c>
      <c r="C850">
        <v>23</v>
      </c>
      <c r="D850" t="s">
        <v>9</v>
      </c>
      <c r="E850">
        <v>0.69</v>
      </c>
      <c r="F850">
        <v>0.94</v>
      </c>
      <c r="G850">
        <v>0.45</v>
      </c>
      <c r="H850" t="s">
        <v>17</v>
      </c>
    </row>
    <row r="851" spans="1:8" x14ac:dyDescent="0.25">
      <c r="A851" t="s">
        <v>34</v>
      </c>
      <c r="B851">
        <v>111256</v>
      </c>
      <c r="C851">
        <v>7</v>
      </c>
      <c r="D851" t="s">
        <v>12</v>
      </c>
      <c r="E851">
        <v>0.1</v>
      </c>
      <c r="F851">
        <v>0.83</v>
      </c>
      <c r="G851">
        <v>0.35</v>
      </c>
      <c r="H851" t="s">
        <v>17</v>
      </c>
    </row>
    <row r="852" spans="1:8" x14ac:dyDescent="0.25">
      <c r="A852" t="s">
        <v>16</v>
      </c>
      <c r="B852">
        <v>132859</v>
      </c>
      <c r="C852">
        <v>26</v>
      </c>
      <c r="D852" t="s">
        <v>9</v>
      </c>
      <c r="E852">
        <v>0.16</v>
      </c>
      <c r="F852">
        <v>0.64</v>
      </c>
      <c r="G852">
        <v>0.54</v>
      </c>
      <c r="H852" t="s">
        <v>17</v>
      </c>
    </row>
    <row r="853" spans="1:8" x14ac:dyDescent="0.25">
      <c r="A853" t="s">
        <v>19</v>
      </c>
      <c r="B853">
        <v>99810</v>
      </c>
      <c r="C853">
        <v>10</v>
      </c>
      <c r="D853" t="s">
        <v>15</v>
      </c>
      <c r="E853">
        <v>0.43</v>
      </c>
      <c r="F853">
        <v>0.9</v>
      </c>
      <c r="G853">
        <v>0.06</v>
      </c>
      <c r="H853" t="s">
        <v>13</v>
      </c>
    </row>
    <row r="854" spans="1:8" x14ac:dyDescent="0.25">
      <c r="A854" t="s">
        <v>24</v>
      </c>
      <c r="B854">
        <v>90360</v>
      </c>
      <c r="C854">
        <v>6</v>
      </c>
      <c r="D854" t="s">
        <v>9</v>
      </c>
      <c r="E854">
        <v>0.02</v>
      </c>
      <c r="F854">
        <v>0.53</v>
      </c>
      <c r="G854">
        <v>0.56999999999999995</v>
      </c>
      <c r="H854" t="s">
        <v>17</v>
      </c>
    </row>
    <row r="855" spans="1:8" x14ac:dyDescent="0.25">
      <c r="A855" t="s">
        <v>19</v>
      </c>
      <c r="B855">
        <v>130290</v>
      </c>
      <c r="C855">
        <v>4</v>
      </c>
      <c r="D855" t="s">
        <v>15</v>
      </c>
      <c r="E855">
        <v>0.72</v>
      </c>
      <c r="F855">
        <v>0.57999999999999996</v>
      </c>
      <c r="G855">
        <v>0.08</v>
      </c>
      <c r="H855" t="s">
        <v>13</v>
      </c>
    </row>
    <row r="856" spans="1:8" x14ac:dyDescent="0.25">
      <c r="A856" t="s">
        <v>23</v>
      </c>
      <c r="B856">
        <v>105656</v>
      </c>
      <c r="C856">
        <v>22</v>
      </c>
      <c r="D856" t="s">
        <v>28</v>
      </c>
      <c r="E856">
        <v>0.84</v>
      </c>
      <c r="F856">
        <v>0.67</v>
      </c>
      <c r="G856">
        <v>0.72</v>
      </c>
      <c r="H856" t="s">
        <v>10</v>
      </c>
    </row>
    <row r="857" spans="1:8" x14ac:dyDescent="0.25">
      <c r="A857" t="s">
        <v>30</v>
      </c>
      <c r="B857">
        <v>107982</v>
      </c>
      <c r="C857">
        <v>0</v>
      </c>
      <c r="D857" t="s">
        <v>9</v>
      </c>
      <c r="E857">
        <v>0.34</v>
      </c>
      <c r="F857">
        <v>1.26</v>
      </c>
      <c r="G857">
        <v>0.19</v>
      </c>
      <c r="H857" t="s">
        <v>13</v>
      </c>
    </row>
    <row r="858" spans="1:8" x14ac:dyDescent="0.25">
      <c r="A858" t="s">
        <v>34</v>
      </c>
      <c r="B858">
        <v>33970</v>
      </c>
      <c r="C858">
        <v>13</v>
      </c>
      <c r="D858" t="s">
        <v>12</v>
      </c>
      <c r="E858">
        <v>0.1</v>
      </c>
      <c r="F858">
        <v>0.9</v>
      </c>
      <c r="G858">
        <v>0.69</v>
      </c>
      <c r="H858" t="s">
        <v>17</v>
      </c>
    </row>
    <row r="859" spans="1:8" x14ac:dyDescent="0.25">
      <c r="A859" t="s">
        <v>31</v>
      </c>
      <c r="B859">
        <v>71753</v>
      </c>
      <c r="C859">
        <v>26</v>
      </c>
      <c r="D859" t="s">
        <v>12</v>
      </c>
      <c r="E859">
        <v>0.56000000000000005</v>
      </c>
      <c r="F859">
        <v>1.45</v>
      </c>
      <c r="G859">
        <v>0.9</v>
      </c>
      <c r="H859" t="s">
        <v>10</v>
      </c>
    </row>
    <row r="860" spans="1:8" x14ac:dyDescent="0.25">
      <c r="A860" t="s">
        <v>27</v>
      </c>
      <c r="B860">
        <v>104354</v>
      </c>
      <c r="C860">
        <v>6</v>
      </c>
      <c r="D860" t="s">
        <v>9</v>
      </c>
      <c r="E860">
        <v>0.96</v>
      </c>
      <c r="F860">
        <v>0.9</v>
      </c>
      <c r="G860">
        <v>0.65</v>
      </c>
      <c r="H860" t="s">
        <v>17</v>
      </c>
    </row>
    <row r="861" spans="1:8" x14ac:dyDescent="0.25">
      <c r="A861" t="s">
        <v>14</v>
      </c>
      <c r="B861">
        <v>35280</v>
      </c>
      <c r="C861">
        <v>20</v>
      </c>
      <c r="D861" t="s">
        <v>28</v>
      </c>
      <c r="E861">
        <v>0.44</v>
      </c>
      <c r="F861">
        <v>0.75</v>
      </c>
      <c r="G861">
        <v>0.89</v>
      </c>
      <c r="H861" t="s">
        <v>10</v>
      </c>
    </row>
    <row r="862" spans="1:8" x14ac:dyDescent="0.25">
      <c r="A862" t="s">
        <v>11</v>
      </c>
      <c r="B862">
        <v>116545</v>
      </c>
      <c r="C862">
        <v>27</v>
      </c>
      <c r="D862" t="s">
        <v>28</v>
      </c>
      <c r="E862">
        <v>0.03</v>
      </c>
      <c r="F862">
        <v>0.61</v>
      </c>
      <c r="G862">
        <v>0.16</v>
      </c>
      <c r="H862" t="s">
        <v>13</v>
      </c>
    </row>
    <row r="863" spans="1:8" x14ac:dyDescent="0.25">
      <c r="A863" t="s">
        <v>19</v>
      </c>
      <c r="B863">
        <v>131041</v>
      </c>
      <c r="C863">
        <v>12</v>
      </c>
      <c r="D863" t="s">
        <v>28</v>
      </c>
      <c r="E863">
        <v>0.35</v>
      </c>
      <c r="F863">
        <v>1.25</v>
      </c>
      <c r="G863">
        <v>0.16</v>
      </c>
      <c r="H863" t="s">
        <v>13</v>
      </c>
    </row>
    <row r="864" spans="1:8" x14ac:dyDescent="0.25">
      <c r="A864" t="s">
        <v>16</v>
      </c>
      <c r="B864">
        <v>134087</v>
      </c>
      <c r="C864">
        <v>23</v>
      </c>
      <c r="D864" t="s">
        <v>28</v>
      </c>
      <c r="E864">
        <v>0.8</v>
      </c>
      <c r="F864">
        <v>1.1299999999999999</v>
      </c>
      <c r="G864">
        <v>0.43</v>
      </c>
      <c r="H864" t="s">
        <v>17</v>
      </c>
    </row>
    <row r="865" spans="1:8" x14ac:dyDescent="0.25">
      <c r="A865" t="s">
        <v>19</v>
      </c>
      <c r="B865">
        <v>90985</v>
      </c>
      <c r="C865">
        <v>20</v>
      </c>
      <c r="D865" t="s">
        <v>12</v>
      </c>
      <c r="E865">
        <v>0.21</v>
      </c>
      <c r="F865">
        <v>0.95</v>
      </c>
      <c r="G865">
        <v>0.09</v>
      </c>
      <c r="H865" t="s">
        <v>13</v>
      </c>
    </row>
    <row r="866" spans="1:8" x14ac:dyDescent="0.25">
      <c r="A866" t="s">
        <v>31</v>
      </c>
      <c r="B866">
        <v>118257</v>
      </c>
      <c r="C866">
        <v>6</v>
      </c>
      <c r="D866" t="s">
        <v>28</v>
      </c>
      <c r="E866">
        <v>0.78</v>
      </c>
      <c r="F866">
        <v>1.34</v>
      </c>
      <c r="G866">
        <v>0.85</v>
      </c>
      <c r="H866" t="s">
        <v>10</v>
      </c>
    </row>
    <row r="867" spans="1:8" x14ac:dyDescent="0.25">
      <c r="A867" t="s">
        <v>21</v>
      </c>
      <c r="B867">
        <v>134294</v>
      </c>
      <c r="C867">
        <v>23</v>
      </c>
      <c r="D867" t="s">
        <v>28</v>
      </c>
      <c r="E867">
        <v>0.35</v>
      </c>
      <c r="F867">
        <v>1.1100000000000001</v>
      </c>
      <c r="G867">
        <v>0.26</v>
      </c>
      <c r="H867" t="s">
        <v>13</v>
      </c>
    </row>
    <row r="868" spans="1:8" x14ac:dyDescent="0.25">
      <c r="A868" t="s">
        <v>25</v>
      </c>
      <c r="B868">
        <v>55666</v>
      </c>
      <c r="C868">
        <v>18</v>
      </c>
      <c r="D868" t="s">
        <v>28</v>
      </c>
      <c r="E868">
        <v>0.92</v>
      </c>
      <c r="F868">
        <v>1.1399999999999999</v>
      </c>
      <c r="G868">
        <v>0.63</v>
      </c>
      <c r="H868" t="s">
        <v>17</v>
      </c>
    </row>
    <row r="869" spans="1:8" x14ac:dyDescent="0.25">
      <c r="A869" t="s">
        <v>8</v>
      </c>
      <c r="B869">
        <v>71516</v>
      </c>
      <c r="C869">
        <v>25</v>
      </c>
      <c r="D869" t="s">
        <v>15</v>
      </c>
      <c r="E869">
        <v>0.97</v>
      </c>
      <c r="F869">
        <v>1</v>
      </c>
      <c r="G869">
        <v>0.74</v>
      </c>
      <c r="H869" t="s">
        <v>10</v>
      </c>
    </row>
    <row r="870" spans="1:8" x14ac:dyDescent="0.25">
      <c r="A870" t="s">
        <v>33</v>
      </c>
      <c r="B870">
        <v>48226</v>
      </c>
      <c r="C870">
        <v>18</v>
      </c>
      <c r="D870" t="s">
        <v>28</v>
      </c>
      <c r="E870">
        <v>0.86</v>
      </c>
      <c r="F870">
        <v>0.99</v>
      </c>
      <c r="G870">
        <v>0.08</v>
      </c>
      <c r="H870" t="s">
        <v>13</v>
      </c>
    </row>
    <row r="871" spans="1:8" x14ac:dyDescent="0.25">
      <c r="A871" t="s">
        <v>19</v>
      </c>
      <c r="B871">
        <v>60011</v>
      </c>
      <c r="C871">
        <v>16</v>
      </c>
      <c r="D871" t="s">
        <v>9</v>
      </c>
      <c r="E871">
        <v>0.26</v>
      </c>
      <c r="F871">
        <v>1.35</v>
      </c>
      <c r="G871">
        <v>0.14000000000000001</v>
      </c>
      <c r="H871" t="s">
        <v>13</v>
      </c>
    </row>
    <row r="872" spans="1:8" x14ac:dyDescent="0.25">
      <c r="A872" t="s">
        <v>32</v>
      </c>
      <c r="B872">
        <v>136979</v>
      </c>
      <c r="C872">
        <v>15</v>
      </c>
      <c r="D872" t="s">
        <v>9</v>
      </c>
      <c r="E872">
        <v>0.86</v>
      </c>
      <c r="F872">
        <v>1.43</v>
      </c>
      <c r="G872">
        <v>0.34</v>
      </c>
      <c r="H872" t="s">
        <v>17</v>
      </c>
    </row>
    <row r="873" spans="1:8" x14ac:dyDescent="0.25">
      <c r="A873" t="s">
        <v>14</v>
      </c>
      <c r="B873">
        <v>85215</v>
      </c>
      <c r="C873">
        <v>21</v>
      </c>
      <c r="D873" t="s">
        <v>28</v>
      </c>
      <c r="E873">
        <v>0.31</v>
      </c>
      <c r="F873">
        <v>1.06</v>
      </c>
      <c r="G873">
        <v>0.83</v>
      </c>
      <c r="H873" t="s">
        <v>10</v>
      </c>
    </row>
    <row r="874" spans="1:8" x14ac:dyDescent="0.25">
      <c r="A874" t="s">
        <v>16</v>
      </c>
      <c r="B874">
        <v>107255</v>
      </c>
      <c r="C874">
        <v>21</v>
      </c>
      <c r="D874" t="s">
        <v>28</v>
      </c>
      <c r="E874">
        <v>0.92</v>
      </c>
      <c r="F874">
        <v>0.57999999999999996</v>
      </c>
      <c r="G874">
        <v>0.67</v>
      </c>
      <c r="H874" t="s">
        <v>17</v>
      </c>
    </row>
    <row r="875" spans="1:8" x14ac:dyDescent="0.25">
      <c r="A875" t="s">
        <v>29</v>
      </c>
      <c r="B875">
        <v>70821</v>
      </c>
      <c r="C875">
        <v>27</v>
      </c>
      <c r="D875" t="s">
        <v>15</v>
      </c>
      <c r="E875">
        <v>0.28999999999999998</v>
      </c>
      <c r="F875">
        <v>1.27</v>
      </c>
      <c r="G875">
        <v>0.89</v>
      </c>
      <c r="H875" t="s">
        <v>10</v>
      </c>
    </row>
    <row r="876" spans="1:8" x14ac:dyDescent="0.25">
      <c r="A876" t="s">
        <v>23</v>
      </c>
      <c r="B876">
        <v>133185</v>
      </c>
      <c r="C876">
        <v>18</v>
      </c>
      <c r="D876" t="s">
        <v>9</v>
      </c>
      <c r="E876">
        <v>0.1</v>
      </c>
      <c r="F876">
        <v>0.88</v>
      </c>
      <c r="G876">
        <v>0.94</v>
      </c>
      <c r="H876" t="s">
        <v>10</v>
      </c>
    </row>
    <row r="877" spans="1:8" x14ac:dyDescent="0.25">
      <c r="A877" t="s">
        <v>14</v>
      </c>
      <c r="B877">
        <v>107929</v>
      </c>
      <c r="C877">
        <v>6</v>
      </c>
      <c r="D877" t="s">
        <v>9</v>
      </c>
      <c r="E877">
        <v>0.35</v>
      </c>
      <c r="F877">
        <v>0.81</v>
      </c>
      <c r="G877">
        <v>0.87</v>
      </c>
      <c r="H877" t="s">
        <v>10</v>
      </c>
    </row>
    <row r="878" spans="1:8" x14ac:dyDescent="0.25">
      <c r="A878" t="s">
        <v>8</v>
      </c>
      <c r="B878">
        <v>49523</v>
      </c>
      <c r="C878">
        <v>29</v>
      </c>
      <c r="D878" t="s">
        <v>9</v>
      </c>
      <c r="E878">
        <v>0.57999999999999996</v>
      </c>
      <c r="F878">
        <v>1.2</v>
      </c>
      <c r="G878">
        <v>0.86</v>
      </c>
      <c r="H878" t="s">
        <v>10</v>
      </c>
    </row>
    <row r="879" spans="1:8" x14ac:dyDescent="0.25">
      <c r="A879" t="s">
        <v>14</v>
      </c>
      <c r="B879">
        <v>88188</v>
      </c>
      <c r="C879">
        <v>24</v>
      </c>
      <c r="D879" t="s">
        <v>15</v>
      </c>
      <c r="E879">
        <v>0.35</v>
      </c>
      <c r="F879">
        <v>1.35</v>
      </c>
      <c r="G879">
        <v>0.94</v>
      </c>
      <c r="H879" t="s">
        <v>10</v>
      </c>
    </row>
    <row r="880" spans="1:8" x14ac:dyDescent="0.25">
      <c r="A880" t="s">
        <v>30</v>
      </c>
      <c r="B880">
        <v>77969</v>
      </c>
      <c r="C880">
        <v>6</v>
      </c>
      <c r="D880" t="s">
        <v>28</v>
      </c>
      <c r="E880">
        <v>0.5</v>
      </c>
      <c r="F880">
        <v>0.89</v>
      </c>
      <c r="G880">
        <v>0.17</v>
      </c>
      <c r="H880" t="s">
        <v>13</v>
      </c>
    </row>
    <row r="881" spans="1:8" x14ac:dyDescent="0.25">
      <c r="A881" t="s">
        <v>25</v>
      </c>
      <c r="B881">
        <v>149528</v>
      </c>
      <c r="C881">
        <v>12</v>
      </c>
      <c r="D881" t="s">
        <v>9</v>
      </c>
      <c r="E881">
        <v>0.77</v>
      </c>
      <c r="F881">
        <v>1.45</v>
      </c>
      <c r="G881">
        <v>0.64</v>
      </c>
      <c r="H881" t="s">
        <v>17</v>
      </c>
    </row>
    <row r="882" spans="1:8" x14ac:dyDescent="0.25">
      <c r="A882" t="s">
        <v>25</v>
      </c>
      <c r="B882">
        <v>85416</v>
      </c>
      <c r="C882">
        <v>27</v>
      </c>
      <c r="D882" t="s">
        <v>15</v>
      </c>
      <c r="E882">
        <v>0.26</v>
      </c>
      <c r="F882">
        <v>1.05</v>
      </c>
      <c r="G882">
        <v>0.48</v>
      </c>
      <c r="H882" t="s">
        <v>17</v>
      </c>
    </row>
    <row r="883" spans="1:8" x14ac:dyDescent="0.25">
      <c r="A883" t="s">
        <v>19</v>
      </c>
      <c r="B883">
        <v>50491</v>
      </c>
      <c r="C883">
        <v>14</v>
      </c>
      <c r="D883" t="s">
        <v>15</v>
      </c>
      <c r="E883">
        <v>0.74</v>
      </c>
      <c r="F883">
        <v>0.5</v>
      </c>
      <c r="G883">
        <v>0.12</v>
      </c>
      <c r="H883" t="s">
        <v>13</v>
      </c>
    </row>
    <row r="884" spans="1:8" x14ac:dyDescent="0.25">
      <c r="A884" t="s">
        <v>22</v>
      </c>
      <c r="B884">
        <v>105955</v>
      </c>
      <c r="C884">
        <v>11</v>
      </c>
      <c r="D884" t="s">
        <v>28</v>
      </c>
      <c r="E884">
        <v>0.56999999999999995</v>
      </c>
      <c r="F884">
        <v>0.77</v>
      </c>
      <c r="G884">
        <v>0.46</v>
      </c>
      <c r="H884" t="s">
        <v>17</v>
      </c>
    </row>
    <row r="885" spans="1:8" x14ac:dyDescent="0.25">
      <c r="A885" t="s">
        <v>22</v>
      </c>
      <c r="B885">
        <v>97519</v>
      </c>
      <c r="C885">
        <v>26</v>
      </c>
      <c r="D885" t="s">
        <v>15</v>
      </c>
      <c r="E885">
        <v>0.56999999999999995</v>
      </c>
      <c r="F885">
        <v>0.94</v>
      </c>
      <c r="G885">
        <v>0.52</v>
      </c>
      <c r="H885" t="s">
        <v>17</v>
      </c>
    </row>
    <row r="886" spans="1:8" x14ac:dyDescent="0.25">
      <c r="A886" t="s">
        <v>26</v>
      </c>
      <c r="B886">
        <v>74775</v>
      </c>
      <c r="C886">
        <v>17</v>
      </c>
      <c r="D886" t="s">
        <v>12</v>
      </c>
      <c r="E886">
        <v>0.3</v>
      </c>
      <c r="F886">
        <v>0.77</v>
      </c>
      <c r="G886">
        <v>0.35</v>
      </c>
      <c r="H886" t="s">
        <v>17</v>
      </c>
    </row>
    <row r="887" spans="1:8" x14ac:dyDescent="0.25">
      <c r="A887" t="s">
        <v>30</v>
      </c>
      <c r="B887">
        <v>116437</v>
      </c>
      <c r="C887">
        <v>21</v>
      </c>
      <c r="D887" t="s">
        <v>12</v>
      </c>
      <c r="E887">
        <v>0.56999999999999995</v>
      </c>
      <c r="F887">
        <v>1.29</v>
      </c>
      <c r="G887">
        <v>0.19</v>
      </c>
      <c r="H887" t="s">
        <v>13</v>
      </c>
    </row>
    <row r="888" spans="1:8" x14ac:dyDescent="0.25">
      <c r="A888" t="s">
        <v>19</v>
      </c>
      <c r="B888">
        <v>112201</v>
      </c>
      <c r="C888">
        <v>21</v>
      </c>
      <c r="D888" t="s">
        <v>28</v>
      </c>
      <c r="E888">
        <v>0.35</v>
      </c>
      <c r="F888">
        <v>0.83</v>
      </c>
      <c r="G888">
        <v>0.24</v>
      </c>
      <c r="H888" t="s">
        <v>13</v>
      </c>
    </row>
    <row r="889" spans="1:8" x14ac:dyDescent="0.25">
      <c r="A889" t="s">
        <v>33</v>
      </c>
      <c r="B889">
        <v>91134</v>
      </c>
      <c r="C889">
        <v>17</v>
      </c>
      <c r="D889" t="s">
        <v>28</v>
      </c>
      <c r="E889">
        <v>0.39</v>
      </c>
      <c r="F889">
        <v>0.88</v>
      </c>
      <c r="G889">
        <v>0.05</v>
      </c>
      <c r="H889" t="s">
        <v>13</v>
      </c>
    </row>
    <row r="890" spans="1:8" x14ac:dyDescent="0.25">
      <c r="A890" t="s">
        <v>26</v>
      </c>
      <c r="B890">
        <v>76647</v>
      </c>
      <c r="C890">
        <v>22</v>
      </c>
      <c r="D890" t="s">
        <v>12</v>
      </c>
      <c r="E890">
        <v>0.92</v>
      </c>
      <c r="F890">
        <v>0.8</v>
      </c>
      <c r="G890">
        <v>0.55000000000000004</v>
      </c>
      <c r="H890" t="s">
        <v>17</v>
      </c>
    </row>
    <row r="891" spans="1:8" x14ac:dyDescent="0.25">
      <c r="A891" t="s">
        <v>19</v>
      </c>
      <c r="B891">
        <v>138197</v>
      </c>
      <c r="C891">
        <v>12</v>
      </c>
      <c r="D891" t="s">
        <v>28</v>
      </c>
      <c r="E891">
        <v>0.08</v>
      </c>
      <c r="F891">
        <v>0.9</v>
      </c>
      <c r="G891">
        <v>0.14000000000000001</v>
      </c>
      <c r="H891" t="s">
        <v>13</v>
      </c>
    </row>
    <row r="892" spans="1:8" x14ac:dyDescent="0.25">
      <c r="A892" t="s">
        <v>25</v>
      </c>
      <c r="B892">
        <v>76413</v>
      </c>
      <c r="C892">
        <v>18</v>
      </c>
      <c r="D892" t="s">
        <v>28</v>
      </c>
      <c r="E892">
        <v>0.9</v>
      </c>
      <c r="F892">
        <v>0.77</v>
      </c>
      <c r="G892">
        <v>0.67</v>
      </c>
      <c r="H892" t="s">
        <v>17</v>
      </c>
    </row>
    <row r="893" spans="1:8" x14ac:dyDescent="0.25">
      <c r="A893" t="s">
        <v>19</v>
      </c>
      <c r="B893">
        <v>112604</v>
      </c>
      <c r="C893">
        <v>20</v>
      </c>
      <c r="D893" t="s">
        <v>28</v>
      </c>
      <c r="E893">
        <v>0.54</v>
      </c>
      <c r="F893">
        <v>1.35</v>
      </c>
      <c r="G893">
        <v>0.06</v>
      </c>
      <c r="H893" t="s">
        <v>13</v>
      </c>
    </row>
    <row r="894" spans="1:8" x14ac:dyDescent="0.25">
      <c r="A894" t="s">
        <v>19</v>
      </c>
      <c r="B894">
        <v>61478</v>
      </c>
      <c r="C894">
        <v>7</v>
      </c>
      <c r="D894" t="s">
        <v>28</v>
      </c>
      <c r="E894">
        <v>0.42</v>
      </c>
      <c r="F894">
        <v>1.03</v>
      </c>
      <c r="G894">
        <v>0.08</v>
      </c>
      <c r="H894" t="s">
        <v>13</v>
      </c>
    </row>
    <row r="895" spans="1:8" x14ac:dyDescent="0.25">
      <c r="A895" t="s">
        <v>8</v>
      </c>
      <c r="B895">
        <v>92402</v>
      </c>
      <c r="C895">
        <v>27</v>
      </c>
      <c r="D895" t="s">
        <v>15</v>
      </c>
      <c r="E895">
        <v>0.67</v>
      </c>
      <c r="F895">
        <v>1.4</v>
      </c>
      <c r="G895">
        <v>0.77</v>
      </c>
      <c r="H895" t="s">
        <v>10</v>
      </c>
    </row>
    <row r="896" spans="1:8" x14ac:dyDescent="0.25">
      <c r="A896" t="s">
        <v>22</v>
      </c>
      <c r="B896">
        <v>65319</v>
      </c>
      <c r="C896">
        <v>18</v>
      </c>
      <c r="D896" t="s">
        <v>15</v>
      </c>
      <c r="E896">
        <v>0.1</v>
      </c>
      <c r="F896">
        <v>0.66</v>
      </c>
      <c r="G896">
        <v>0.33</v>
      </c>
      <c r="H896" t="s">
        <v>17</v>
      </c>
    </row>
    <row r="897" spans="1:8" x14ac:dyDescent="0.25">
      <c r="A897" t="s">
        <v>29</v>
      </c>
      <c r="B897">
        <v>58830</v>
      </c>
      <c r="C897">
        <v>28</v>
      </c>
      <c r="D897" t="s">
        <v>12</v>
      </c>
      <c r="E897">
        <v>0.09</v>
      </c>
      <c r="F897">
        <v>1.1299999999999999</v>
      </c>
      <c r="G897">
        <v>0.82</v>
      </c>
      <c r="H897" t="s">
        <v>10</v>
      </c>
    </row>
    <row r="898" spans="1:8" x14ac:dyDescent="0.25">
      <c r="A898" t="s">
        <v>19</v>
      </c>
      <c r="B898">
        <v>59328</v>
      </c>
      <c r="C898">
        <v>16</v>
      </c>
      <c r="D898" t="s">
        <v>28</v>
      </c>
      <c r="E898">
        <v>0.9</v>
      </c>
      <c r="F898">
        <v>1.37</v>
      </c>
      <c r="G898">
        <v>0.27</v>
      </c>
      <c r="H898" t="s">
        <v>13</v>
      </c>
    </row>
    <row r="899" spans="1:8" x14ac:dyDescent="0.25">
      <c r="A899" t="s">
        <v>21</v>
      </c>
      <c r="B899">
        <v>36123</v>
      </c>
      <c r="C899">
        <v>21</v>
      </c>
      <c r="D899" t="s">
        <v>15</v>
      </c>
      <c r="E899">
        <v>0.86</v>
      </c>
      <c r="F899">
        <v>1.44</v>
      </c>
      <c r="G899">
        <v>0.1</v>
      </c>
      <c r="H899" t="s">
        <v>13</v>
      </c>
    </row>
    <row r="900" spans="1:8" x14ac:dyDescent="0.25">
      <c r="A900" t="s">
        <v>27</v>
      </c>
      <c r="B900">
        <v>66587</v>
      </c>
      <c r="C900">
        <v>4</v>
      </c>
      <c r="D900" t="s">
        <v>15</v>
      </c>
      <c r="E900">
        <v>0.22</v>
      </c>
      <c r="F900">
        <v>1.22</v>
      </c>
      <c r="G900">
        <v>0.62</v>
      </c>
      <c r="H900" t="s">
        <v>17</v>
      </c>
    </row>
    <row r="901" spans="1:8" x14ac:dyDescent="0.25">
      <c r="A901" t="s">
        <v>26</v>
      </c>
      <c r="B901">
        <v>51951</v>
      </c>
      <c r="C901">
        <v>7</v>
      </c>
      <c r="D901" t="s">
        <v>28</v>
      </c>
      <c r="E901">
        <v>0.57999999999999996</v>
      </c>
      <c r="F901">
        <v>0.56999999999999995</v>
      </c>
      <c r="G901">
        <v>0.32</v>
      </c>
      <c r="H901" t="s">
        <v>17</v>
      </c>
    </row>
    <row r="902" spans="1:8" x14ac:dyDescent="0.25">
      <c r="A902" t="s">
        <v>29</v>
      </c>
      <c r="B902">
        <v>37804</v>
      </c>
      <c r="C902">
        <v>10</v>
      </c>
      <c r="D902" t="s">
        <v>28</v>
      </c>
      <c r="E902">
        <v>0.45</v>
      </c>
      <c r="F902">
        <v>0.85</v>
      </c>
      <c r="G902">
        <v>0.91</v>
      </c>
      <c r="H902" t="s">
        <v>10</v>
      </c>
    </row>
    <row r="903" spans="1:8" x14ac:dyDescent="0.25">
      <c r="A903" t="s">
        <v>8</v>
      </c>
      <c r="B903">
        <v>40349</v>
      </c>
      <c r="C903">
        <v>7</v>
      </c>
      <c r="D903" t="s">
        <v>15</v>
      </c>
      <c r="E903">
        <v>0.75</v>
      </c>
      <c r="F903">
        <v>0.75</v>
      </c>
      <c r="G903">
        <v>0.88</v>
      </c>
      <c r="H903" t="s">
        <v>10</v>
      </c>
    </row>
    <row r="904" spans="1:8" x14ac:dyDescent="0.25">
      <c r="A904" t="s">
        <v>26</v>
      </c>
      <c r="B904">
        <v>136203</v>
      </c>
      <c r="C904">
        <v>9</v>
      </c>
      <c r="D904" t="s">
        <v>12</v>
      </c>
      <c r="E904">
        <v>0.51</v>
      </c>
      <c r="F904">
        <v>1.31</v>
      </c>
      <c r="G904">
        <v>0.59</v>
      </c>
      <c r="H904" t="s">
        <v>17</v>
      </c>
    </row>
    <row r="905" spans="1:8" x14ac:dyDescent="0.25">
      <c r="A905" t="s">
        <v>20</v>
      </c>
      <c r="B905">
        <v>86317</v>
      </c>
      <c r="C905">
        <v>10</v>
      </c>
      <c r="D905" t="s">
        <v>28</v>
      </c>
      <c r="E905">
        <v>0.18</v>
      </c>
      <c r="F905">
        <v>1.3</v>
      </c>
      <c r="G905">
        <v>0.48</v>
      </c>
      <c r="H905" t="s">
        <v>17</v>
      </c>
    </row>
    <row r="906" spans="1:8" x14ac:dyDescent="0.25">
      <c r="A906" t="s">
        <v>33</v>
      </c>
      <c r="B906">
        <v>117385</v>
      </c>
      <c r="C906">
        <v>11</v>
      </c>
      <c r="D906" t="s">
        <v>15</v>
      </c>
      <c r="E906">
        <v>0.56000000000000005</v>
      </c>
      <c r="F906">
        <v>0.57999999999999996</v>
      </c>
      <c r="G906">
        <v>0.28000000000000003</v>
      </c>
      <c r="H906" t="s">
        <v>13</v>
      </c>
    </row>
    <row r="907" spans="1:8" x14ac:dyDescent="0.25">
      <c r="A907" t="s">
        <v>25</v>
      </c>
      <c r="B907">
        <v>109841</v>
      </c>
      <c r="C907">
        <v>8</v>
      </c>
      <c r="D907" t="s">
        <v>12</v>
      </c>
      <c r="E907">
        <v>0.26</v>
      </c>
      <c r="F907">
        <v>0.97</v>
      </c>
      <c r="G907">
        <v>0.39</v>
      </c>
      <c r="H907" t="s">
        <v>17</v>
      </c>
    </row>
    <row r="908" spans="1:8" x14ac:dyDescent="0.25">
      <c r="A908" t="s">
        <v>33</v>
      </c>
      <c r="B908">
        <v>95197</v>
      </c>
      <c r="C908">
        <v>6</v>
      </c>
      <c r="D908" t="s">
        <v>15</v>
      </c>
      <c r="E908">
        <v>0.18</v>
      </c>
      <c r="F908">
        <v>0.87</v>
      </c>
      <c r="G908">
        <v>0.06</v>
      </c>
      <c r="H908" t="s">
        <v>13</v>
      </c>
    </row>
    <row r="909" spans="1:8" x14ac:dyDescent="0.25">
      <c r="A909" t="s">
        <v>22</v>
      </c>
      <c r="B909">
        <v>93410</v>
      </c>
      <c r="C909">
        <v>4</v>
      </c>
      <c r="D909" t="s">
        <v>9</v>
      </c>
      <c r="E909">
        <v>0.42</v>
      </c>
      <c r="F909">
        <v>1.1100000000000001</v>
      </c>
      <c r="G909">
        <v>0.6</v>
      </c>
      <c r="H909" t="s">
        <v>17</v>
      </c>
    </row>
    <row r="910" spans="1:8" x14ac:dyDescent="0.25">
      <c r="A910" t="s">
        <v>32</v>
      </c>
      <c r="B910">
        <v>104225</v>
      </c>
      <c r="C910">
        <v>17</v>
      </c>
      <c r="D910" t="s">
        <v>15</v>
      </c>
      <c r="E910">
        <v>0.18</v>
      </c>
      <c r="F910">
        <v>1.42</v>
      </c>
      <c r="G910">
        <v>0.6</v>
      </c>
      <c r="H910" t="s">
        <v>17</v>
      </c>
    </row>
    <row r="911" spans="1:8" x14ac:dyDescent="0.25">
      <c r="A911" t="s">
        <v>19</v>
      </c>
      <c r="B911">
        <v>67499</v>
      </c>
      <c r="C911">
        <v>1</v>
      </c>
      <c r="D911" t="s">
        <v>9</v>
      </c>
      <c r="E911">
        <v>0.28999999999999998</v>
      </c>
      <c r="F911">
        <v>0.67</v>
      </c>
      <c r="G911">
        <v>0.25</v>
      </c>
      <c r="H911" t="s">
        <v>13</v>
      </c>
    </row>
    <row r="912" spans="1:8" x14ac:dyDescent="0.25">
      <c r="A912" t="s">
        <v>20</v>
      </c>
      <c r="B912">
        <v>130537</v>
      </c>
      <c r="C912">
        <v>23</v>
      </c>
      <c r="D912" t="s">
        <v>28</v>
      </c>
      <c r="E912">
        <v>0.16</v>
      </c>
      <c r="F912">
        <v>1.0900000000000001</v>
      </c>
      <c r="G912">
        <v>0.66</v>
      </c>
      <c r="H912" t="s">
        <v>17</v>
      </c>
    </row>
    <row r="913" spans="1:8" x14ac:dyDescent="0.25">
      <c r="A913" t="s">
        <v>29</v>
      </c>
      <c r="B913">
        <v>118627</v>
      </c>
      <c r="C913">
        <v>16</v>
      </c>
      <c r="D913" t="s">
        <v>15</v>
      </c>
      <c r="E913">
        <v>0.2</v>
      </c>
      <c r="F913">
        <v>0.91</v>
      </c>
      <c r="G913">
        <v>0.85</v>
      </c>
      <c r="H913" t="s">
        <v>10</v>
      </c>
    </row>
    <row r="914" spans="1:8" x14ac:dyDescent="0.25">
      <c r="A914" t="s">
        <v>16</v>
      </c>
      <c r="B914">
        <v>99074</v>
      </c>
      <c r="C914">
        <v>21</v>
      </c>
      <c r="D914" t="s">
        <v>9</v>
      </c>
      <c r="E914">
        <v>0.63</v>
      </c>
      <c r="F914">
        <v>0.92</v>
      </c>
      <c r="G914">
        <v>0.52</v>
      </c>
      <c r="H914" t="s">
        <v>17</v>
      </c>
    </row>
    <row r="915" spans="1:8" x14ac:dyDescent="0.25">
      <c r="A915" t="s">
        <v>22</v>
      </c>
      <c r="B915">
        <v>71716</v>
      </c>
      <c r="C915">
        <v>0</v>
      </c>
      <c r="D915" t="s">
        <v>28</v>
      </c>
      <c r="E915">
        <v>0.15</v>
      </c>
      <c r="F915">
        <v>0.98</v>
      </c>
      <c r="G915">
        <v>0.52</v>
      </c>
      <c r="H915" t="s">
        <v>17</v>
      </c>
    </row>
    <row r="916" spans="1:8" x14ac:dyDescent="0.25">
      <c r="A916" t="s">
        <v>21</v>
      </c>
      <c r="B916">
        <v>132033</v>
      </c>
      <c r="C916">
        <v>21</v>
      </c>
      <c r="D916" t="s">
        <v>12</v>
      </c>
      <c r="E916">
        <v>0.93</v>
      </c>
      <c r="F916">
        <v>1.47</v>
      </c>
      <c r="G916">
        <v>0.25</v>
      </c>
      <c r="H916" t="s">
        <v>13</v>
      </c>
    </row>
    <row r="917" spans="1:8" x14ac:dyDescent="0.25">
      <c r="A917" t="s">
        <v>30</v>
      </c>
      <c r="B917">
        <v>40715</v>
      </c>
      <c r="C917">
        <v>11</v>
      </c>
      <c r="D917" t="s">
        <v>9</v>
      </c>
      <c r="E917">
        <v>0.53</v>
      </c>
      <c r="F917">
        <v>1.05</v>
      </c>
      <c r="G917">
        <v>0.28000000000000003</v>
      </c>
      <c r="H917" t="s">
        <v>13</v>
      </c>
    </row>
    <row r="918" spans="1:8" x14ac:dyDescent="0.25">
      <c r="A918" t="s">
        <v>11</v>
      </c>
      <c r="B918">
        <v>77553</v>
      </c>
      <c r="C918">
        <v>23</v>
      </c>
      <c r="D918" t="s">
        <v>12</v>
      </c>
      <c r="E918">
        <v>0.14000000000000001</v>
      </c>
      <c r="F918">
        <v>0.6</v>
      </c>
      <c r="G918">
        <v>0.19</v>
      </c>
      <c r="H918" t="s">
        <v>13</v>
      </c>
    </row>
    <row r="919" spans="1:8" x14ac:dyDescent="0.25">
      <c r="A919" t="s">
        <v>18</v>
      </c>
      <c r="B919">
        <v>36861</v>
      </c>
      <c r="C919">
        <v>14</v>
      </c>
      <c r="D919" t="s">
        <v>9</v>
      </c>
      <c r="E919">
        <v>0.15</v>
      </c>
      <c r="F919">
        <v>1.41</v>
      </c>
      <c r="G919">
        <v>0.41</v>
      </c>
      <c r="H919" t="s">
        <v>17</v>
      </c>
    </row>
    <row r="920" spans="1:8" x14ac:dyDescent="0.25">
      <c r="A920" t="s">
        <v>16</v>
      </c>
      <c r="B920">
        <v>70154</v>
      </c>
      <c r="C920">
        <v>27</v>
      </c>
      <c r="D920" t="s">
        <v>12</v>
      </c>
      <c r="E920">
        <v>0.38</v>
      </c>
      <c r="F920">
        <v>1.03</v>
      </c>
      <c r="G920">
        <v>0.68</v>
      </c>
      <c r="H920" t="s">
        <v>17</v>
      </c>
    </row>
    <row r="921" spans="1:8" x14ac:dyDescent="0.25">
      <c r="A921" t="s">
        <v>14</v>
      </c>
      <c r="B921">
        <v>93576</v>
      </c>
      <c r="C921">
        <v>13</v>
      </c>
      <c r="D921" t="s">
        <v>15</v>
      </c>
      <c r="E921">
        <v>0.82</v>
      </c>
      <c r="F921">
        <v>1.03</v>
      </c>
      <c r="G921">
        <v>0.78</v>
      </c>
      <c r="H921" t="s">
        <v>10</v>
      </c>
    </row>
    <row r="922" spans="1:8" x14ac:dyDescent="0.25">
      <c r="A922" t="s">
        <v>21</v>
      </c>
      <c r="B922">
        <v>127294</v>
      </c>
      <c r="C922">
        <v>11</v>
      </c>
      <c r="D922" t="s">
        <v>12</v>
      </c>
      <c r="E922">
        <v>0.31</v>
      </c>
      <c r="F922">
        <v>1.03</v>
      </c>
      <c r="G922">
        <v>0.1</v>
      </c>
      <c r="H922" t="s">
        <v>13</v>
      </c>
    </row>
    <row r="923" spans="1:8" x14ac:dyDescent="0.25">
      <c r="A923" t="s">
        <v>25</v>
      </c>
      <c r="B923">
        <v>139875</v>
      </c>
      <c r="C923">
        <v>5</v>
      </c>
      <c r="D923" t="s">
        <v>28</v>
      </c>
      <c r="E923">
        <v>1</v>
      </c>
      <c r="F923">
        <v>0.5</v>
      </c>
      <c r="G923">
        <v>0.31</v>
      </c>
      <c r="H923" t="s">
        <v>17</v>
      </c>
    </row>
    <row r="924" spans="1:8" x14ac:dyDescent="0.25">
      <c r="A924" t="s">
        <v>8</v>
      </c>
      <c r="B924">
        <v>52925</v>
      </c>
      <c r="C924">
        <v>15</v>
      </c>
      <c r="D924" t="s">
        <v>15</v>
      </c>
      <c r="E924">
        <v>0.32</v>
      </c>
      <c r="F924">
        <v>1.48</v>
      </c>
      <c r="G924">
        <v>0.88</v>
      </c>
      <c r="H924" t="s">
        <v>10</v>
      </c>
    </row>
    <row r="925" spans="1:8" x14ac:dyDescent="0.25">
      <c r="A925" t="s">
        <v>21</v>
      </c>
      <c r="B925">
        <v>119779</v>
      </c>
      <c r="C925">
        <v>1</v>
      </c>
      <c r="D925" t="s">
        <v>28</v>
      </c>
      <c r="E925">
        <v>0.01</v>
      </c>
      <c r="F925">
        <v>0.96</v>
      </c>
      <c r="G925">
        <v>0.06</v>
      </c>
      <c r="H925" t="s">
        <v>13</v>
      </c>
    </row>
    <row r="926" spans="1:8" x14ac:dyDescent="0.25">
      <c r="A926" t="s">
        <v>21</v>
      </c>
      <c r="B926">
        <v>87702</v>
      </c>
      <c r="C926">
        <v>15</v>
      </c>
      <c r="D926" t="s">
        <v>12</v>
      </c>
      <c r="E926">
        <v>0.02</v>
      </c>
      <c r="F926">
        <v>1.45</v>
      </c>
      <c r="G926">
        <v>0.14000000000000001</v>
      </c>
      <c r="H926" t="s">
        <v>13</v>
      </c>
    </row>
    <row r="927" spans="1:8" x14ac:dyDescent="0.25">
      <c r="A927" t="s">
        <v>26</v>
      </c>
      <c r="B927">
        <v>127556</v>
      </c>
      <c r="C927">
        <v>8</v>
      </c>
      <c r="D927" t="s">
        <v>15</v>
      </c>
      <c r="E927">
        <v>0.64</v>
      </c>
      <c r="F927">
        <v>1.35</v>
      </c>
      <c r="G927">
        <v>0.52</v>
      </c>
      <c r="H927" t="s">
        <v>17</v>
      </c>
    </row>
    <row r="928" spans="1:8" x14ac:dyDescent="0.25">
      <c r="A928" t="s">
        <v>11</v>
      </c>
      <c r="B928">
        <v>46289</v>
      </c>
      <c r="C928">
        <v>22</v>
      </c>
      <c r="D928" t="s">
        <v>9</v>
      </c>
      <c r="E928">
        <v>0.25</v>
      </c>
      <c r="F928">
        <v>0.8</v>
      </c>
      <c r="G928">
        <v>0.14000000000000001</v>
      </c>
      <c r="H928" t="s">
        <v>13</v>
      </c>
    </row>
    <row r="929" spans="1:8" x14ac:dyDescent="0.25">
      <c r="A929" t="s">
        <v>29</v>
      </c>
      <c r="B929">
        <v>115823</v>
      </c>
      <c r="C929">
        <v>29</v>
      </c>
      <c r="D929" t="s">
        <v>9</v>
      </c>
      <c r="E929">
        <v>0.84</v>
      </c>
      <c r="F929">
        <v>0.93</v>
      </c>
      <c r="G929">
        <v>0.86</v>
      </c>
      <c r="H929" t="s">
        <v>10</v>
      </c>
    </row>
    <row r="930" spans="1:8" x14ac:dyDescent="0.25">
      <c r="A930" t="s">
        <v>14</v>
      </c>
      <c r="B930">
        <v>55966</v>
      </c>
      <c r="C930">
        <v>27</v>
      </c>
      <c r="D930" t="s">
        <v>12</v>
      </c>
      <c r="E930">
        <v>0.03</v>
      </c>
      <c r="F930">
        <v>1.32</v>
      </c>
      <c r="G930">
        <v>0.77</v>
      </c>
      <c r="H930" t="s">
        <v>10</v>
      </c>
    </row>
    <row r="931" spans="1:8" x14ac:dyDescent="0.25">
      <c r="A931" t="s">
        <v>22</v>
      </c>
      <c r="B931">
        <v>98560</v>
      </c>
      <c r="C931">
        <v>23</v>
      </c>
      <c r="D931" t="s">
        <v>28</v>
      </c>
      <c r="E931">
        <v>0.86</v>
      </c>
      <c r="F931">
        <v>0.68</v>
      </c>
      <c r="G931">
        <v>0.52</v>
      </c>
      <c r="H931" t="s">
        <v>17</v>
      </c>
    </row>
    <row r="932" spans="1:8" x14ac:dyDescent="0.25">
      <c r="A932" t="s">
        <v>14</v>
      </c>
      <c r="B932">
        <v>109023</v>
      </c>
      <c r="C932">
        <v>28</v>
      </c>
      <c r="D932" t="s">
        <v>28</v>
      </c>
      <c r="E932">
        <v>0</v>
      </c>
      <c r="F932">
        <v>0.84</v>
      </c>
      <c r="G932">
        <v>0.94</v>
      </c>
      <c r="H932" t="s">
        <v>10</v>
      </c>
    </row>
    <row r="933" spans="1:8" x14ac:dyDescent="0.25">
      <c r="A933" t="s">
        <v>20</v>
      </c>
      <c r="B933">
        <v>112455</v>
      </c>
      <c r="C933">
        <v>28</v>
      </c>
      <c r="D933" t="s">
        <v>12</v>
      </c>
      <c r="E933">
        <v>0.46</v>
      </c>
      <c r="F933">
        <v>0.7</v>
      </c>
      <c r="G933">
        <v>0.42</v>
      </c>
      <c r="H933" t="s">
        <v>17</v>
      </c>
    </row>
    <row r="934" spans="1:8" x14ac:dyDescent="0.25">
      <c r="A934" t="s">
        <v>8</v>
      </c>
      <c r="B934">
        <v>42930</v>
      </c>
      <c r="C934">
        <v>13</v>
      </c>
      <c r="D934" t="s">
        <v>28</v>
      </c>
      <c r="E934">
        <v>0.44</v>
      </c>
      <c r="F934">
        <v>1.08</v>
      </c>
      <c r="G934">
        <v>0.83</v>
      </c>
      <c r="H934" t="s">
        <v>10</v>
      </c>
    </row>
    <row r="935" spans="1:8" x14ac:dyDescent="0.25">
      <c r="A935" t="s">
        <v>25</v>
      </c>
      <c r="B935">
        <v>48065</v>
      </c>
      <c r="C935">
        <v>14</v>
      </c>
      <c r="D935" t="s">
        <v>12</v>
      </c>
      <c r="E935">
        <v>0.56000000000000005</v>
      </c>
      <c r="F935">
        <v>1.2</v>
      </c>
      <c r="G935">
        <v>0.38</v>
      </c>
      <c r="H935" t="s">
        <v>17</v>
      </c>
    </row>
    <row r="936" spans="1:8" x14ac:dyDescent="0.25">
      <c r="A936" t="s">
        <v>20</v>
      </c>
      <c r="B936">
        <v>86422</v>
      </c>
      <c r="C936">
        <v>12</v>
      </c>
      <c r="D936" t="s">
        <v>28</v>
      </c>
      <c r="E936">
        <v>0.28000000000000003</v>
      </c>
      <c r="F936">
        <v>0.88</v>
      </c>
      <c r="G936">
        <v>0.34</v>
      </c>
      <c r="H936" t="s">
        <v>17</v>
      </c>
    </row>
    <row r="937" spans="1:8" x14ac:dyDescent="0.25">
      <c r="A937" t="s">
        <v>21</v>
      </c>
      <c r="B937">
        <v>69305</v>
      </c>
      <c r="C937">
        <v>21</v>
      </c>
      <c r="D937" t="s">
        <v>12</v>
      </c>
      <c r="E937">
        <v>0.06</v>
      </c>
      <c r="F937">
        <v>0.68</v>
      </c>
      <c r="G937">
        <v>0.08</v>
      </c>
      <c r="H937" t="s">
        <v>13</v>
      </c>
    </row>
    <row r="938" spans="1:8" x14ac:dyDescent="0.25">
      <c r="A938" t="s">
        <v>23</v>
      </c>
      <c r="B938">
        <v>105355</v>
      </c>
      <c r="C938">
        <v>9</v>
      </c>
      <c r="D938" t="s">
        <v>15</v>
      </c>
      <c r="E938">
        <v>0.69</v>
      </c>
      <c r="F938">
        <v>1.03</v>
      </c>
      <c r="G938">
        <v>0.81</v>
      </c>
      <c r="H938" t="s">
        <v>10</v>
      </c>
    </row>
    <row r="939" spans="1:8" x14ac:dyDescent="0.25">
      <c r="A939" t="s">
        <v>8</v>
      </c>
      <c r="B939">
        <v>31776</v>
      </c>
      <c r="C939">
        <v>7</v>
      </c>
      <c r="D939" t="s">
        <v>28</v>
      </c>
      <c r="E939">
        <v>0.19</v>
      </c>
      <c r="F939">
        <v>1</v>
      </c>
      <c r="G939">
        <v>0.91</v>
      </c>
      <c r="H939" t="s">
        <v>10</v>
      </c>
    </row>
    <row r="940" spans="1:8" x14ac:dyDescent="0.25">
      <c r="A940" t="s">
        <v>32</v>
      </c>
      <c r="B940">
        <v>113187</v>
      </c>
      <c r="C940">
        <v>14</v>
      </c>
      <c r="D940" t="s">
        <v>28</v>
      </c>
      <c r="E940">
        <v>0.51</v>
      </c>
      <c r="F940">
        <v>0.85</v>
      </c>
      <c r="G940">
        <v>0.37</v>
      </c>
      <c r="H940" t="s">
        <v>17</v>
      </c>
    </row>
    <row r="941" spans="1:8" x14ac:dyDescent="0.25">
      <c r="A941" t="s">
        <v>8</v>
      </c>
      <c r="B941">
        <v>44937</v>
      </c>
      <c r="C941">
        <v>26</v>
      </c>
      <c r="D941" t="s">
        <v>28</v>
      </c>
      <c r="E941">
        <v>0.17</v>
      </c>
      <c r="F941">
        <v>0.69</v>
      </c>
      <c r="G941">
        <v>0.93</v>
      </c>
      <c r="H941" t="s">
        <v>10</v>
      </c>
    </row>
    <row r="942" spans="1:8" x14ac:dyDescent="0.25">
      <c r="A942" t="s">
        <v>29</v>
      </c>
      <c r="B942">
        <v>77259</v>
      </c>
      <c r="C942">
        <v>23</v>
      </c>
      <c r="D942" t="s">
        <v>9</v>
      </c>
      <c r="E942">
        <v>0.23</v>
      </c>
      <c r="F942">
        <v>0.91</v>
      </c>
      <c r="G942">
        <v>0.88</v>
      </c>
      <c r="H942" t="s">
        <v>10</v>
      </c>
    </row>
    <row r="943" spans="1:8" x14ac:dyDescent="0.25">
      <c r="A943" t="s">
        <v>16</v>
      </c>
      <c r="B943">
        <v>48225</v>
      </c>
      <c r="C943">
        <v>11</v>
      </c>
      <c r="D943" t="s">
        <v>15</v>
      </c>
      <c r="E943">
        <v>0.96</v>
      </c>
      <c r="F943">
        <v>0.73</v>
      </c>
      <c r="G943">
        <v>0.34</v>
      </c>
      <c r="H943" t="s">
        <v>17</v>
      </c>
    </row>
    <row r="944" spans="1:8" x14ac:dyDescent="0.25">
      <c r="A944" t="s">
        <v>33</v>
      </c>
      <c r="B944">
        <v>101519</v>
      </c>
      <c r="C944">
        <v>10</v>
      </c>
      <c r="D944" t="s">
        <v>15</v>
      </c>
      <c r="E944">
        <v>0.28999999999999998</v>
      </c>
      <c r="F944">
        <v>0.71</v>
      </c>
      <c r="G944">
        <v>0.12</v>
      </c>
      <c r="H944" t="s">
        <v>13</v>
      </c>
    </row>
    <row r="945" spans="1:8" x14ac:dyDescent="0.25">
      <c r="A945" t="s">
        <v>27</v>
      </c>
      <c r="B945">
        <v>100994</v>
      </c>
      <c r="C945">
        <v>10</v>
      </c>
      <c r="D945" t="s">
        <v>9</v>
      </c>
      <c r="E945">
        <v>0.74</v>
      </c>
      <c r="F945">
        <v>1.46</v>
      </c>
      <c r="G945">
        <v>0.64</v>
      </c>
      <c r="H945" t="s">
        <v>17</v>
      </c>
    </row>
    <row r="946" spans="1:8" x14ac:dyDescent="0.25">
      <c r="A946" t="s">
        <v>23</v>
      </c>
      <c r="B946">
        <v>49450</v>
      </c>
      <c r="C946">
        <v>20</v>
      </c>
      <c r="D946" t="s">
        <v>12</v>
      </c>
      <c r="E946">
        <v>0.06</v>
      </c>
      <c r="F946">
        <v>1.1200000000000001</v>
      </c>
      <c r="G946">
        <v>0.76</v>
      </c>
      <c r="H946" t="s">
        <v>10</v>
      </c>
    </row>
    <row r="947" spans="1:8" x14ac:dyDescent="0.25">
      <c r="A947" t="s">
        <v>27</v>
      </c>
      <c r="B947">
        <v>148585</v>
      </c>
      <c r="C947">
        <v>8</v>
      </c>
      <c r="D947" t="s">
        <v>28</v>
      </c>
      <c r="E947">
        <v>0.22</v>
      </c>
      <c r="F947">
        <v>1.47</v>
      </c>
      <c r="G947">
        <v>0.59</v>
      </c>
      <c r="H947" t="s">
        <v>17</v>
      </c>
    </row>
    <row r="948" spans="1:8" x14ac:dyDescent="0.25">
      <c r="A948" t="s">
        <v>23</v>
      </c>
      <c r="B948">
        <v>106970</v>
      </c>
      <c r="C948">
        <v>29</v>
      </c>
      <c r="D948" t="s">
        <v>12</v>
      </c>
      <c r="E948">
        <v>0.51</v>
      </c>
      <c r="F948">
        <v>0.81</v>
      </c>
      <c r="G948">
        <v>0.81</v>
      </c>
      <c r="H948" t="s">
        <v>10</v>
      </c>
    </row>
    <row r="949" spans="1:8" x14ac:dyDescent="0.25">
      <c r="A949" t="s">
        <v>23</v>
      </c>
      <c r="B949">
        <v>31112</v>
      </c>
      <c r="C949">
        <v>25</v>
      </c>
      <c r="D949" t="s">
        <v>15</v>
      </c>
      <c r="E949">
        <v>0.45</v>
      </c>
      <c r="F949">
        <v>1.1599999999999999</v>
      </c>
      <c r="G949">
        <v>0.71</v>
      </c>
      <c r="H949" t="s">
        <v>10</v>
      </c>
    </row>
    <row r="950" spans="1:8" x14ac:dyDescent="0.25">
      <c r="A950" t="s">
        <v>11</v>
      </c>
      <c r="B950">
        <v>117351</v>
      </c>
      <c r="C950">
        <v>15</v>
      </c>
      <c r="D950" t="s">
        <v>9</v>
      </c>
      <c r="E950">
        <v>0.31</v>
      </c>
      <c r="F950">
        <v>0.89</v>
      </c>
      <c r="G950">
        <v>0.14000000000000001</v>
      </c>
      <c r="H950" t="s">
        <v>13</v>
      </c>
    </row>
    <row r="951" spans="1:8" x14ac:dyDescent="0.25">
      <c r="A951" t="s">
        <v>19</v>
      </c>
      <c r="B951">
        <v>51661</v>
      </c>
      <c r="C951">
        <v>1</v>
      </c>
      <c r="D951" t="s">
        <v>28</v>
      </c>
      <c r="E951">
        <v>0.26</v>
      </c>
      <c r="F951">
        <v>1.37</v>
      </c>
      <c r="G951">
        <v>0.21</v>
      </c>
      <c r="H951" t="s">
        <v>13</v>
      </c>
    </row>
    <row r="952" spans="1:8" x14ac:dyDescent="0.25">
      <c r="A952" t="s">
        <v>27</v>
      </c>
      <c r="B952">
        <v>67443</v>
      </c>
      <c r="C952">
        <v>12</v>
      </c>
      <c r="D952" t="s">
        <v>12</v>
      </c>
      <c r="E952">
        <v>0.65</v>
      </c>
      <c r="F952">
        <v>1.24</v>
      </c>
      <c r="G952">
        <v>0.3</v>
      </c>
      <c r="H952" t="s">
        <v>13</v>
      </c>
    </row>
    <row r="953" spans="1:8" x14ac:dyDescent="0.25">
      <c r="A953" t="s">
        <v>24</v>
      </c>
      <c r="B953">
        <v>44234</v>
      </c>
      <c r="C953">
        <v>4</v>
      </c>
      <c r="D953" t="s">
        <v>28</v>
      </c>
      <c r="E953">
        <v>0.34</v>
      </c>
      <c r="F953">
        <v>1.03</v>
      </c>
      <c r="G953">
        <v>0.56000000000000005</v>
      </c>
      <c r="H953" t="s">
        <v>17</v>
      </c>
    </row>
    <row r="954" spans="1:8" x14ac:dyDescent="0.25">
      <c r="A954" t="s">
        <v>16</v>
      </c>
      <c r="B954">
        <v>134383</v>
      </c>
      <c r="C954">
        <v>0</v>
      </c>
      <c r="D954" t="s">
        <v>15</v>
      </c>
      <c r="E954">
        <v>0.94</v>
      </c>
      <c r="F954">
        <v>1.22</v>
      </c>
      <c r="G954">
        <v>0.52</v>
      </c>
      <c r="H954" t="s">
        <v>17</v>
      </c>
    </row>
    <row r="955" spans="1:8" x14ac:dyDescent="0.25">
      <c r="A955" t="s">
        <v>8</v>
      </c>
      <c r="B955">
        <v>72320</v>
      </c>
      <c r="C955">
        <v>6</v>
      </c>
      <c r="D955" t="s">
        <v>15</v>
      </c>
      <c r="E955">
        <v>0.9</v>
      </c>
      <c r="F955">
        <v>0.85</v>
      </c>
      <c r="G955">
        <v>0.94</v>
      </c>
      <c r="H955" t="s">
        <v>10</v>
      </c>
    </row>
    <row r="956" spans="1:8" x14ac:dyDescent="0.25">
      <c r="A956" t="s">
        <v>23</v>
      </c>
      <c r="B956">
        <v>91196</v>
      </c>
      <c r="C956">
        <v>11</v>
      </c>
      <c r="D956" t="s">
        <v>28</v>
      </c>
      <c r="E956">
        <v>0.73</v>
      </c>
      <c r="F956">
        <v>0.78</v>
      </c>
      <c r="G956">
        <v>0.88</v>
      </c>
      <c r="H956" t="s">
        <v>10</v>
      </c>
    </row>
    <row r="957" spans="1:8" x14ac:dyDescent="0.25">
      <c r="A957" t="s">
        <v>8</v>
      </c>
      <c r="B957">
        <v>104861</v>
      </c>
      <c r="C957">
        <v>0</v>
      </c>
      <c r="D957" t="s">
        <v>28</v>
      </c>
      <c r="E957">
        <v>0.39</v>
      </c>
      <c r="F957">
        <v>0.99</v>
      </c>
      <c r="G957">
        <v>0.77</v>
      </c>
      <c r="H957" t="s">
        <v>10</v>
      </c>
    </row>
    <row r="958" spans="1:8" x14ac:dyDescent="0.25">
      <c r="A958" t="s">
        <v>22</v>
      </c>
      <c r="B958">
        <v>148169</v>
      </c>
      <c r="C958">
        <v>20</v>
      </c>
      <c r="D958" t="s">
        <v>12</v>
      </c>
      <c r="E958">
        <v>0.65</v>
      </c>
      <c r="F958">
        <v>0.5</v>
      </c>
      <c r="G958">
        <v>0.4</v>
      </c>
      <c r="H958" t="s">
        <v>17</v>
      </c>
    </row>
    <row r="959" spans="1:8" x14ac:dyDescent="0.25">
      <c r="A959" t="s">
        <v>32</v>
      </c>
      <c r="B959">
        <v>89630</v>
      </c>
      <c r="C959">
        <v>13</v>
      </c>
      <c r="D959" t="s">
        <v>15</v>
      </c>
      <c r="E959">
        <v>0.32</v>
      </c>
      <c r="F959">
        <v>0.85</v>
      </c>
      <c r="G959">
        <v>0.38</v>
      </c>
      <c r="H959" t="s">
        <v>17</v>
      </c>
    </row>
    <row r="960" spans="1:8" x14ac:dyDescent="0.25">
      <c r="A960" t="s">
        <v>20</v>
      </c>
      <c r="B960">
        <v>127435</v>
      </c>
      <c r="C960">
        <v>3</v>
      </c>
      <c r="D960" t="s">
        <v>12</v>
      </c>
      <c r="E960">
        <v>0.56999999999999995</v>
      </c>
      <c r="F960">
        <v>0.69</v>
      </c>
      <c r="G960">
        <v>0.62</v>
      </c>
      <c r="H960" t="s">
        <v>17</v>
      </c>
    </row>
    <row r="961" spans="1:8" x14ac:dyDescent="0.25">
      <c r="A961" t="s">
        <v>20</v>
      </c>
      <c r="B961">
        <v>114845</v>
      </c>
      <c r="C961">
        <v>4</v>
      </c>
      <c r="D961" t="s">
        <v>28</v>
      </c>
      <c r="E961">
        <v>0.66</v>
      </c>
      <c r="F961">
        <v>1.19</v>
      </c>
      <c r="G961">
        <v>0.65</v>
      </c>
      <c r="H961" t="s">
        <v>17</v>
      </c>
    </row>
    <row r="962" spans="1:8" x14ac:dyDescent="0.25">
      <c r="A962" t="s">
        <v>22</v>
      </c>
      <c r="B962">
        <v>49053</v>
      </c>
      <c r="C962">
        <v>28</v>
      </c>
      <c r="D962" t="s">
        <v>28</v>
      </c>
      <c r="E962">
        <v>0.67</v>
      </c>
      <c r="F962">
        <v>1.43</v>
      </c>
      <c r="G962">
        <v>0.56999999999999995</v>
      </c>
      <c r="H962" t="s">
        <v>17</v>
      </c>
    </row>
    <row r="963" spans="1:8" x14ac:dyDescent="0.25">
      <c r="A963" t="s">
        <v>33</v>
      </c>
      <c r="B963">
        <v>100683</v>
      </c>
      <c r="C963">
        <v>3</v>
      </c>
      <c r="D963" t="s">
        <v>9</v>
      </c>
      <c r="E963">
        <v>0.41</v>
      </c>
      <c r="F963">
        <v>0.74</v>
      </c>
      <c r="G963">
        <v>0.08</v>
      </c>
      <c r="H963" t="s">
        <v>13</v>
      </c>
    </row>
    <row r="964" spans="1:8" x14ac:dyDescent="0.25">
      <c r="A964" t="s">
        <v>14</v>
      </c>
      <c r="B964">
        <v>120153</v>
      </c>
      <c r="C964">
        <v>20</v>
      </c>
      <c r="D964" t="s">
        <v>28</v>
      </c>
      <c r="E964">
        <v>0.46</v>
      </c>
      <c r="F964">
        <v>0.75</v>
      </c>
      <c r="G964">
        <v>0.79</v>
      </c>
      <c r="H964" t="s">
        <v>10</v>
      </c>
    </row>
    <row r="965" spans="1:8" x14ac:dyDescent="0.25">
      <c r="A965" t="s">
        <v>34</v>
      </c>
      <c r="B965">
        <v>129926</v>
      </c>
      <c r="C965">
        <v>0</v>
      </c>
      <c r="D965" t="s">
        <v>15</v>
      </c>
      <c r="E965">
        <v>0.86</v>
      </c>
      <c r="F965">
        <v>0.6</v>
      </c>
      <c r="G965">
        <v>0.44</v>
      </c>
      <c r="H965" t="s">
        <v>17</v>
      </c>
    </row>
    <row r="966" spans="1:8" x14ac:dyDescent="0.25">
      <c r="A966" t="s">
        <v>29</v>
      </c>
      <c r="B966">
        <v>43140</v>
      </c>
      <c r="C966">
        <v>13</v>
      </c>
      <c r="D966" t="s">
        <v>12</v>
      </c>
      <c r="E966">
        <v>0.6</v>
      </c>
      <c r="F966">
        <v>1.06</v>
      </c>
      <c r="G966">
        <v>0.8</v>
      </c>
      <c r="H966" t="s">
        <v>10</v>
      </c>
    </row>
    <row r="967" spans="1:8" x14ac:dyDescent="0.25">
      <c r="A967" t="s">
        <v>26</v>
      </c>
      <c r="B967">
        <v>104362</v>
      </c>
      <c r="C967">
        <v>11</v>
      </c>
      <c r="D967" t="s">
        <v>12</v>
      </c>
      <c r="E967">
        <v>0.31</v>
      </c>
      <c r="F967">
        <v>0.98</v>
      </c>
      <c r="G967">
        <v>0.69</v>
      </c>
      <c r="H967" t="s">
        <v>17</v>
      </c>
    </row>
    <row r="968" spans="1:8" x14ac:dyDescent="0.25">
      <c r="A968" t="s">
        <v>18</v>
      </c>
      <c r="B968">
        <v>73030</v>
      </c>
      <c r="C968">
        <v>5</v>
      </c>
      <c r="D968" t="s">
        <v>12</v>
      </c>
      <c r="E968">
        <v>0.24</v>
      </c>
      <c r="F968">
        <v>0.92</v>
      </c>
      <c r="G968">
        <v>0.67</v>
      </c>
      <c r="H968" t="s">
        <v>17</v>
      </c>
    </row>
    <row r="969" spans="1:8" x14ac:dyDescent="0.25">
      <c r="A969" t="s">
        <v>33</v>
      </c>
      <c r="B969">
        <v>54400</v>
      </c>
      <c r="C969">
        <v>18</v>
      </c>
      <c r="D969" t="s">
        <v>12</v>
      </c>
      <c r="E969">
        <v>0.02</v>
      </c>
      <c r="F969">
        <v>0.65</v>
      </c>
      <c r="G969">
        <v>0.14000000000000001</v>
      </c>
      <c r="H969" t="s">
        <v>13</v>
      </c>
    </row>
    <row r="970" spans="1:8" x14ac:dyDescent="0.25">
      <c r="A970" t="s">
        <v>33</v>
      </c>
      <c r="B970">
        <v>33760</v>
      </c>
      <c r="C970">
        <v>20</v>
      </c>
      <c r="D970" t="s">
        <v>12</v>
      </c>
      <c r="E970">
        <v>0.02</v>
      </c>
      <c r="F970">
        <v>0.53</v>
      </c>
      <c r="G970">
        <v>0.17</v>
      </c>
      <c r="H970" t="s">
        <v>13</v>
      </c>
    </row>
    <row r="971" spans="1:8" x14ac:dyDescent="0.25">
      <c r="A971" t="s">
        <v>29</v>
      </c>
      <c r="B971">
        <v>122930</v>
      </c>
      <c r="C971">
        <v>21</v>
      </c>
      <c r="D971" t="s">
        <v>28</v>
      </c>
      <c r="E971">
        <v>0.14000000000000001</v>
      </c>
      <c r="F971">
        <v>1.1599999999999999</v>
      </c>
      <c r="G971">
        <v>0.87</v>
      </c>
      <c r="H971" t="s">
        <v>10</v>
      </c>
    </row>
    <row r="972" spans="1:8" x14ac:dyDescent="0.25">
      <c r="A972" t="s">
        <v>22</v>
      </c>
      <c r="B972">
        <v>33323</v>
      </c>
      <c r="C972">
        <v>29</v>
      </c>
      <c r="D972" t="s">
        <v>28</v>
      </c>
      <c r="E972">
        <v>0.72</v>
      </c>
      <c r="F972">
        <v>1.1399999999999999</v>
      </c>
      <c r="G972">
        <v>0.51</v>
      </c>
      <c r="H972" t="s">
        <v>17</v>
      </c>
    </row>
    <row r="973" spans="1:8" x14ac:dyDescent="0.25">
      <c r="A973" t="s">
        <v>25</v>
      </c>
      <c r="B973">
        <v>65098</v>
      </c>
      <c r="C973">
        <v>10</v>
      </c>
      <c r="D973" t="s">
        <v>12</v>
      </c>
      <c r="E973">
        <v>0.22</v>
      </c>
      <c r="F973">
        <v>0.68</v>
      </c>
      <c r="G973">
        <v>0.31</v>
      </c>
      <c r="H973" t="s">
        <v>17</v>
      </c>
    </row>
    <row r="974" spans="1:8" x14ac:dyDescent="0.25">
      <c r="A974" t="s">
        <v>32</v>
      </c>
      <c r="B974">
        <v>101153</v>
      </c>
      <c r="C974">
        <v>11</v>
      </c>
      <c r="D974" t="s">
        <v>12</v>
      </c>
      <c r="E974">
        <v>0.62</v>
      </c>
      <c r="F974">
        <v>0.63</v>
      </c>
      <c r="G974">
        <v>0.55000000000000004</v>
      </c>
      <c r="H974" t="s">
        <v>17</v>
      </c>
    </row>
    <row r="975" spans="1:8" x14ac:dyDescent="0.25">
      <c r="A975" t="s">
        <v>8</v>
      </c>
      <c r="B975">
        <v>101279</v>
      </c>
      <c r="C975">
        <v>14</v>
      </c>
      <c r="D975" t="s">
        <v>28</v>
      </c>
      <c r="E975">
        <v>0.49</v>
      </c>
      <c r="F975">
        <v>1.36</v>
      </c>
      <c r="G975">
        <v>0.81</v>
      </c>
      <c r="H975" t="s">
        <v>10</v>
      </c>
    </row>
    <row r="976" spans="1:8" x14ac:dyDescent="0.25">
      <c r="A976" t="s">
        <v>26</v>
      </c>
      <c r="B976">
        <v>143115</v>
      </c>
      <c r="C976">
        <v>0</v>
      </c>
      <c r="D976" t="s">
        <v>28</v>
      </c>
      <c r="E976">
        <v>0.43</v>
      </c>
      <c r="F976">
        <v>1.08</v>
      </c>
      <c r="G976">
        <v>0.6</v>
      </c>
      <c r="H976" t="s">
        <v>17</v>
      </c>
    </row>
    <row r="977" spans="1:8" x14ac:dyDescent="0.25">
      <c r="A977" t="s">
        <v>27</v>
      </c>
      <c r="B977">
        <v>149487</v>
      </c>
      <c r="C977">
        <v>7</v>
      </c>
      <c r="D977" t="s">
        <v>28</v>
      </c>
      <c r="E977">
        <v>0.21</v>
      </c>
      <c r="F977">
        <v>1.41</v>
      </c>
      <c r="G977">
        <v>0.66</v>
      </c>
      <c r="H977" t="s">
        <v>17</v>
      </c>
    </row>
    <row r="978" spans="1:8" x14ac:dyDescent="0.25">
      <c r="A978" t="s">
        <v>16</v>
      </c>
      <c r="B978">
        <v>123304</v>
      </c>
      <c r="C978">
        <v>23</v>
      </c>
      <c r="D978" t="s">
        <v>9</v>
      </c>
      <c r="E978">
        <v>0.93</v>
      </c>
      <c r="F978">
        <v>1.06</v>
      </c>
      <c r="G978">
        <v>0.4</v>
      </c>
      <c r="H978" t="s">
        <v>17</v>
      </c>
    </row>
    <row r="979" spans="1:8" x14ac:dyDescent="0.25">
      <c r="A979" t="s">
        <v>34</v>
      </c>
      <c r="B979">
        <v>134134</v>
      </c>
      <c r="C979">
        <v>6</v>
      </c>
      <c r="D979" t="s">
        <v>9</v>
      </c>
      <c r="E979">
        <v>0.32</v>
      </c>
      <c r="F979">
        <v>1.49</v>
      </c>
      <c r="G979">
        <v>0.56999999999999995</v>
      </c>
      <c r="H979" t="s">
        <v>17</v>
      </c>
    </row>
    <row r="980" spans="1:8" x14ac:dyDescent="0.25">
      <c r="A980" t="s">
        <v>27</v>
      </c>
      <c r="B980">
        <v>107199</v>
      </c>
      <c r="C980">
        <v>25</v>
      </c>
      <c r="D980" t="s">
        <v>28</v>
      </c>
      <c r="E980">
        <v>0.46</v>
      </c>
      <c r="F980">
        <v>0.51</v>
      </c>
      <c r="G980">
        <v>0.49</v>
      </c>
      <c r="H980" t="s">
        <v>17</v>
      </c>
    </row>
    <row r="981" spans="1:8" x14ac:dyDescent="0.25">
      <c r="A981" t="s">
        <v>21</v>
      </c>
      <c r="B981">
        <v>132658</v>
      </c>
      <c r="C981">
        <v>11</v>
      </c>
      <c r="D981" t="s">
        <v>15</v>
      </c>
      <c r="E981">
        <v>0.24</v>
      </c>
      <c r="F981">
        <v>0.76</v>
      </c>
      <c r="G981">
        <v>0.13</v>
      </c>
      <c r="H981" t="s">
        <v>13</v>
      </c>
    </row>
    <row r="982" spans="1:8" x14ac:dyDescent="0.25">
      <c r="A982" t="s">
        <v>26</v>
      </c>
      <c r="B982">
        <v>41352</v>
      </c>
      <c r="C982">
        <v>4</v>
      </c>
      <c r="D982" t="s">
        <v>12</v>
      </c>
      <c r="E982">
        <v>0.93</v>
      </c>
      <c r="F982">
        <v>1.26</v>
      </c>
      <c r="G982">
        <v>0.32</v>
      </c>
      <c r="H982" t="s">
        <v>17</v>
      </c>
    </row>
    <row r="983" spans="1:8" x14ac:dyDescent="0.25">
      <c r="A983" t="s">
        <v>24</v>
      </c>
      <c r="B983">
        <v>43679</v>
      </c>
      <c r="C983">
        <v>21</v>
      </c>
      <c r="D983" t="s">
        <v>15</v>
      </c>
      <c r="E983">
        <v>0.04</v>
      </c>
      <c r="F983">
        <v>1.1000000000000001</v>
      </c>
      <c r="G983">
        <v>0.46</v>
      </c>
      <c r="H983" t="s">
        <v>17</v>
      </c>
    </row>
    <row r="984" spans="1:8" x14ac:dyDescent="0.25">
      <c r="A984" t="s">
        <v>30</v>
      </c>
      <c r="B984">
        <v>122345</v>
      </c>
      <c r="C984">
        <v>27</v>
      </c>
      <c r="D984" t="s">
        <v>12</v>
      </c>
      <c r="E984">
        <v>0.12</v>
      </c>
      <c r="F984">
        <v>0.68</v>
      </c>
      <c r="G984">
        <v>0.28999999999999998</v>
      </c>
      <c r="H984" t="s">
        <v>13</v>
      </c>
    </row>
    <row r="985" spans="1:8" x14ac:dyDescent="0.25">
      <c r="A985" t="s">
        <v>22</v>
      </c>
      <c r="B985">
        <v>108179</v>
      </c>
      <c r="C985">
        <v>29</v>
      </c>
      <c r="D985" t="s">
        <v>15</v>
      </c>
      <c r="E985">
        <v>0.82</v>
      </c>
      <c r="F985">
        <v>1.02</v>
      </c>
      <c r="G985">
        <v>0.52</v>
      </c>
      <c r="H985" t="s">
        <v>17</v>
      </c>
    </row>
    <row r="986" spans="1:8" x14ac:dyDescent="0.25">
      <c r="A986" t="s">
        <v>14</v>
      </c>
      <c r="B986">
        <v>77878</v>
      </c>
      <c r="C986">
        <v>18</v>
      </c>
      <c r="D986" t="s">
        <v>12</v>
      </c>
      <c r="E986">
        <v>0.73</v>
      </c>
      <c r="F986">
        <v>1.33</v>
      </c>
      <c r="G986">
        <v>0.73</v>
      </c>
      <c r="H986" t="s">
        <v>10</v>
      </c>
    </row>
    <row r="987" spans="1:8" x14ac:dyDescent="0.25">
      <c r="A987" t="s">
        <v>14</v>
      </c>
      <c r="B987">
        <v>125777</v>
      </c>
      <c r="C987">
        <v>29</v>
      </c>
      <c r="D987" t="s">
        <v>12</v>
      </c>
      <c r="E987">
        <v>0.51</v>
      </c>
      <c r="F987">
        <v>1.31</v>
      </c>
      <c r="G987">
        <v>0.89</v>
      </c>
      <c r="H987" t="s">
        <v>10</v>
      </c>
    </row>
    <row r="988" spans="1:8" x14ac:dyDescent="0.25">
      <c r="A988" t="s">
        <v>26</v>
      </c>
      <c r="B988">
        <v>112124</v>
      </c>
      <c r="C988">
        <v>0</v>
      </c>
      <c r="D988" t="s">
        <v>15</v>
      </c>
      <c r="E988">
        <v>0.65</v>
      </c>
      <c r="F988">
        <v>1.03</v>
      </c>
      <c r="G988">
        <v>0.39</v>
      </c>
      <c r="H988" t="s">
        <v>17</v>
      </c>
    </row>
    <row r="989" spans="1:8" x14ac:dyDescent="0.25">
      <c r="A989" t="s">
        <v>20</v>
      </c>
      <c r="B989">
        <v>126367</v>
      </c>
      <c r="C989">
        <v>11</v>
      </c>
      <c r="D989" t="s">
        <v>12</v>
      </c>
      <c r="E989">
        <v>0.46</v>
      </c>
      <c r="F989">
        <v>0.54</v>
      </c>
      <c r="G989">
        <v>0.31</v>
      </c>
      <c r="H989" t="s">
        <v>17</v>
      </c>
    </row>
    <row r="990" spans="1:8" x14ac:dyDescent="0.25">
      <c r="A990" t="s">
        <v>31</v>
      </c>
      <c r="B990">
        <v>77080</v>
      </c>
      <c r="C990">
        <v>11</v>
      </c>
      <c r="D990" t="s">
        <v>28</v>
      </c>
      <c r="E990">
        <v>0.1</v>
      </c>
      <c r="F990">
        <v>1.02</v>
      </c>
      <c r="G990">
        <v>0.88</v>
      </c>
      <c r="H990" t="s">
        <v>10</v>
      </c>
    </row>
    <row r="991" spans="1:8" x14ac:dyDescent="0.25">
      <c r="A991" t="s">
        <v>32</v>
      </c>
      <c r="B991">
        <v>61280</v>
      </c>
      <c r="C991">
        <v>2</v>
      </c>
      <c r="D991" t="s">
        <v>15</v>
      </c>
      <c r="E991">
        <v>0.52</v>
      </c>
      <c r="F991">
        <v>1.26</v>
      </c>
      <c r="G991">
        <v>0.43</v>
      </c>
      <c r="H991" t="s">
        <v>17</v>
      </c>
    </row>
    <row r="992" spans="1:8" x14ac:dyDescent="0.25">
      <c r="A992" t="s">
        <v>34</v>
      </c>
      <c r="B992">
        <v>39835</v>
      </c>
      <c r="C992">
        <v>27</v>
      </c>
      <c r="D992" t="s">
        <v>9</v>
      </c>
      <c r="E992">
        <v>0.74</v>
      </c>
      <c r="F992">
        <v>0.52</v>
      </c>
      <c r="G992">
        <v>0.56000000000000005</v>
      </c>
      <c r="H992" t="s">
        <v>17</v>
      </c>
    </row>
    <row r="993" spans="1:8" x14ac:dyDescent="0.25">
      <c r="A993" t="s">
        <v>27</v>
      </c>
      <c r="B993">
        <v>52369</v>
      </c>
      <c r="C993">
        <v>10</v>
      </c>
      <c r="D993" t="s">
        <v>15</v>
      </c>
      <c r="E993">
        <v>0.36</v>
      </c>
      <c r="F993">
        <v>1.1499999999999999</v>
      </c>
      <c r="G993">
        <v>0.6</v>
      </c>
      <c r="H993" t="s">
        <v>17</v>
      </c>
    </row>
    <row r="994" spans="1:8" x14ac:dyDescent="0.25">
      <c r="A994" t="s">
        <v>22</v>
      </c>
      <c r="B994">
        <v>30637</v>
      </c>
      <c r="C994">
        <v>8</v>
      </c>
      <c r="D994" t="s">
        <v>15</v>
      </c>
      <c r="E994">
        <v>0.74</v>
      </c>
      <c r="F994">
        <v>0.84</v>
      </c>
      <c r="G994">
        <v>0.45</v>
      </c>
      <c r="H994" t="s">
        <v>17</v>
      </c>
    </row>
    <row r="995" spans="1:8" x14ac:dyDescent="0.25">
      <c r="A995" t="s">
        <v>8</v>
      </c>
      <c r="B995">
        <v>62209</v>
      </c>
      <c r="C995">
        <v>27</v>
      </c>
      <c r="D995" t="s">
        <v>9</v>
      </c>
      <c r="E995">
        <v>0.9</v>
      </c>
      <c r="F995">
        <v>0.84</v>
      </c>
      <c r="G995">
        <v>0.89</v>
      </c>
      <c r="H995" t="s">
        <v>10</v>
      </c>
    </row>
    <row r="996" spans="1:8" x14ac:dyDescent="0.25">
      <c r="A996" t="s">
        <v>30</v>
      </c>
      <c r="B996">
        <v>70478</v>
      </c>
      <c r="C996">
        <v>1</v>
      </c>
      <c r="D996" t="s">
        <v>9</v>
      </c>
      <c r="E996">
        <v>0.69</v>
      </c>
      <c r="F996">
        <v>1.18</v>
      </c>
      <c r="G996">
        <v>0.26</v>
      </c>
      <c r="H996" t="s">
        <v>13</v>
      </c>
    </row>
    <row r="997" spans="1:8" x14ac:dyDescent="0.25">
      <c r="A997" t="s">
        <v>33</v>
      </c>
      <c r="B997">
        <v>90760</v>
      </c>
      <c r="C997">
        <v>9</v>
      </c>
      <c r="D997" t="s">
        <v>9</v>
      </c>
      <c r="E997">
        <v>0.28999999999999998</v>
      </c>
      <c r="F997">
        <v>1.41</v>
      </c>
      <c r="G997">
        <v>0.18</v>
      </c>
      <c r="H997" t="s">
        <v>13</v>
      </c>
    </row>
    <row r="998" spans="1:8" x14ac:dyDescent="0.25">
      <c r="A998" t="s">
        <v>31</v>
      </c>
      <c r="B998">
        <v>52505</v>
      </c>
      <c r="C998">
        <v>0</v>
      </c>
      <c r="D998" t="s">
        <v>9</v>
      </c>
      <c r="E998">
        <v>0.69</v>
      </c>
      <c r="F998">
        <v>0.84</v>
      </c>
      <c r="G998">
        <v>0.73</v>
      </c>
      <c r="H998" t="s">
        <v>10</v>
      </c>
    </row>
    <row r="999" spans="1:8" x14ac:dyDescent="0.25">
      <c r="A999" t="s">
        <v>18</v>
      </c>
      <c r="B999">
        <v>140441</v>
      </c>
      <c r="C999">
        <v>22</v>
      </c>
      <c r="D999" t="s">
        <v>15</v>
      </c>
      <c r="E999">
        <v>0.16</v>
      </c>
      <c r="F999">
        <v>0.96</v>
      </c>
      <c r="G999">
        <v>0.54</v>
      </c>
      <c r="H999" t="s">
        <v>17</v>
      </c>
    </row>
    <row r="1000" spans="1:8" x14ac:dyDescent="0.25">
      <c r="A1000" t="s">
        <v>11</v>
      </c>
      <c r="B1000">
        <v>108944</v>
      </c>
      <c r="C1000">
        <v>24</v>
      </c>
      <c r="D1000" t="s">
        <v>12</v>
      </c>
      <c r="E1000">
        <v>0.43</v>
      </c>
      <c r="F1000">
        <v>1.05</v>
      </c>
      <c r="G1000">
        <v>0.26</v>
      </c>
      <c r="H1000" t="s">
        <v>13</v>
      </c>
    </row>
    <row r="1001" spans="1:8" x14ac:dyDescent="0.25">
      <c r="A1001" t="s">
        <v>8</v>
      </c>
      <c r="B1001">
        <v>40886</v>
      </c>
      <c r="C1001">
        <v>21</v>
      </c>
      <c r="D1001" t="s">
        <v>9</v>
      </c>
      <c r="E1001">
        <v>0.85</v>
      </c>
      <c r="F1001">
        <v>0.99</v>
      </c>
      <c r="G1001">
        <v>0.91</v>
      </c>
      <c r="H1001" t="s">
        <v>10</v>
      </c>
    </row>
    <row r="1002" spans="1:8" x14ac:dyDescent="0.25">
      <c r="A1002" t="s">
        <v>23</v>
      </c>
      <c r="B1002">
        <v>85744</v>
      </c>
      <c r="C1002">
        <v>21</v>
      </c>
      <c r="D1002" t="s">
        <v>15</v>
      </c>
      <c r="E1002">
        <v>0.53</v>
      </c>
      <c r="F1002">
        <v>0.78</v>
      </c>
      <c r="G1002">
        <v>0.92</v>
      </c>
      <c r="H1002" t="s">
        <v>10</v>
      </c>
    </row>
    <row r="1003" spans="1:8" x14ac:dyDescent="0.25">
      <c r="A1003" t="s">
        <v>29</v>
      </c>
      <c r="B1003">
        <v>75778</v>
      </c>
      <c r="C1003">
        <v>29</v>
      </c>
      <c r="D1003" t="s">
        <v>9</v>
      </c>
      <c r="E1003">
        <v>0.73</v>
      </c>
      <c r="F1003">
        <v>0.75</v>
      </c>
      <c r="G1003">
        <v>0.88</v>
      </c>
      <c r="H1003" t="s">
        <v>10</v>
      </c>
    </row>
    <row r="1004" spans="1:8" x14ac:dyDescent="0.25">
      <c r="A1004" t="s">
        <v>22</v>
      </c>
      <c r="B1004">
        <v>88764</v>
      </c>
      <c r="C1004">
        <v>7</v>
      </c>
      <c r="D1004" t="s">
        <v>15</v>
      </c>
      <c r="E1004">
        <v>0.69</v>
      </c>
      <c r="F1004">
        <v>1.4</v>
      </c>
      <c r="G1004">
        <v>0.57999999999999996</v>
      </c>
      <c r="H1004" t="s">
        <v>17</v>
      </c>
    </row>
    <row r="1005" spans="1:8" x14ac:dyDescent="0.25">
      <c r="A1005" t="s">
        <v>18</v>
      </c>
      <c r="B1005">
        <v>62795</v>
      </c>
      <c r="C1005">
        <v>20</v>
      </c>
      <c r="D1005" t="s">
        <v>28</v>
      </c>
      <c r="E1005">
        <v>0.19</v>
      </c>
      <c r="F1005">
        <v>1.04</v>
      </c>
      <c r="G1005">
        <v>0.41</v>
      </c>
      <c r="H1005" t="s">
        <v>17</v>
      </c>
    </row>
    <row r="1006" spans="1:8" x14ac:dyDescent="0.25">
      <c r="A1006" t="s">
        <v>34</v>
      </c>
      <c r="B1006">
        <v>107223</v>
      </c>
      <c r="C1006">
        <v>6</v>
      </c>
      <c r="D1006" t="s">
        <v>28</v>
      </c>
      <c r="E1006">
        <v>0.69</v>
      </c>
      <c r="F1006">
        <v>0.61</v>
      </c>
      <c r="G1006">
        <v>0.56000000000000005</v>
      </c>
      <c r="H1006" t="s">
        <v>17</v>
      </c>
    </row>
    <row r="1007" spans="1:8" x14ac:dyDescent="0.25">
      <c r="A1007" t="s">
        <v>8</v>
      </c>
      <c r="B1007">
        <v>98835</v>
      </c>
      <c r="C1007">
        <v>2</v>
      </c>
      <c r="D1007" t="s">
        <v>15</v>
      </c>
      <c r="E1007">
        <v>0.35</v>
      </c>
      <c r="F1007">
        <v>1.21</v>
      </c>
      <c r="G1007">
        <v>0.83</v>
      </c>
      <c r="H1007" t="s">
        <v>10</v>
      </c>
    </row>
    <row r="1008" spans="1:8" x14ac:dyDescent="0.25">
      <c r="A1008" t="s">
        <v>19</v>
      </c>
      <c r="B1008">
        <v>139640</v>
      </c>
      <c r="C1008">
        <v>22</v>
      </c>
      <c r="D1008" t="s">
        <v>28</v>
      </c>
      <c r="E1008">
        <v>0.76</v>
      </c>
      <c r="F1008">
        <v>1.33</v>
      </c>
      <c r="G1008">
        <v>0.27</v>
      </c>
      <c r="H1008" t="s">
        <v>13</v>
      </c>
    </row>
    <row r="1009" spans="1:8" x14ac:dyDescent="0.25">
      <c r="A1009" t="s">
        <v>14</v>
      </c>
      <c r="B1009">
        <v>87225</v>
      </c>
      <c r="C1009">
        <v>4</v>
      </c>
      <c r="D1009" t="s">
        <v>12</v>
      </c>
      <c r="E1009">
        <v>0.17</v>
      </c>
      <c r="F1009">
        <v>0.85</v>
      </c>
      <c r="G1009">
        <v>0.89</v>
      </c>
      <c r="H1009" t="s">
        <v>10</v>
      </c>
    </row>
    <row r="1010" spans="1:8" x14ac:dyDescent="0.25">
      <c r="A1010" t="s">
        <v>29</v>
      </c>
      <c r="B1010">
        <v>37466</v>
      </c>
      <c r="C1010">
        <v>7</v>
      </c>
      <c r="D1010" t="s">
        <v>12</v>
      </c>
      <c r="E1010">
        <v>0.88</v>
      </c>
      <c r="F1010">
        <v>0.85</v>
      </c>
      <c r="G1010">
        <v>0.84</v>
      </c>
      <c r="H1010" t="s">
        <v>10</v>
      </c>
    </row>
    <row r="1011" spans="1:8" x14ac:dyDescent="0.25">
      <c r="A1011" t="s">
        <v>26</v>
      </c>
      <c r="B1011">
        <v>80530</v>
      </c>
      <c r="C1011">
        <v>11</v>
      </c>
      <c r="D1011" t="s">
        <v>12</v>
      </c>
      <c r="E1011">
        <v>0.15</v>
      </c>
      <c r="F1011">
        <v>1.26</v>
      </c>
      <c r="G1011">
        <v>0.59</v>
      </c>
      <c r="H1011" t="s">
        <v>17</v>
      </c>
    </row>
    <row r="1012" spans="1:8" x14ac:dyDescent="0.25">
      <c r="A1012" t="s">
        <v>32</v>
      </c>
      <c r="B1012">
        <v>40040</v>
      </c>
      <c r="C1012">
        <v>29</v>
      </c>
      <c r="D1012" t="s">
        <v>15</v>
      </c>
      <c r="E1012">
        <v>0.05</v>
      </c>
      <c r="F1012">
        <v>1.46</v>
      </c>
      <c r="G1012">
        <v>0.41</v>
      </c>
      <c r="H1012" t="s">
        <v>17</v>
      </c>
    </row>
    <row r="1013" spans="1:8" x14ac:dyDescent="0.25">
      <c r="A1013" t="s">
        <v>34</v>
      </c>
      <c r="B1013">
        <v>145874</v>
      </c>
      <c r="C1013">
        <v>13</v>
      </c>
      <c r="D1013" t="s">
        <v>12</v>
      </c>
      <c r="E1013">
        <v>0.52</v>
      </c>
      <c r="F1013">
        <v>1.04</v>
      </c>
      <c r="G1013">
        <v>0.51</v>
      </c>
      <c r="H1013" t="s">
        <v>17</v>
      </c>
    </row>
    <row r="1014" spans="1:8" x14ac:dyDescent="0.25">
      <c r="A1014" t="s">
        <v>27</v>
      </c>
      <c r="B1014">
        <v>60985</v>
      </c>
      <c r="C1014">
        <v>26</v>
      </c>
      <c r="D1014" t="s">
        <v>15</v>
      </c>
      <c r="E1014">
        <v>0.51</v>
      </c>
      <c r="F1014">
        <v>0.68</v>
      </c>
      <c r="G1014">
        <v>0.62</v>
      </c>
      <c r="H1014" t="s">
        <v>17</v>
      </c>
    </row>
    <row r="1015" spans="1:8" x14ac:dyDescent="0.25">
      <c r="A1015" t="s">
        <v>31</v>
      </c>
      <c r="B1015">
        <v>57262</v>
      </c>
      <c r="C1015">
        <v>25</v>
      </c>
      <c r="D1015" t="s">
        <v>15</v>
      </c>
      <c r="E1015">
        <v>0.48</v>
      </c>
      <c r="F1015">
        <v>1.33</v>
      </c>
      <c r="G1015">
        <v>0.9</v>
      </c>
      <c r="H1015" t="s">
        <v>10</v>
      </c>
    </row>
    <row r="1016" spans="1:8" x14ac:dyDescent="0.25">
      <c r="A1016" t="s">
        <v>19</v>
      </c>
      <c r="B1016">
        <v>102022</v>
      </c>
      <c r="C1016">
        <v>26</v>
      </c>
      <c r="D1016" t="s">
        <v>15</v>
      </c>
      <c r="E1016">
        <v>0.95</v>
      </c>
      <c r="F1016">
        <v>0.56000000000000005</v>
      </c>
      <c r="G1016">
        <v>0.27</v>
      </c>
      <c r="H1016" t="s">
        <v>13</v>
      </c>
    </row>
    <row r="1017" spans="1:8" x14ac:dyDescent="0.25">
      <c r="A1017" t="s">
        <v>33</v>
      </c>
      <c r="B1017">
        <v>31320</v>
      </c>
      <c r="C1017">
        <v>16</v>
      </c>
      <c r="D1017" t="s">
        <v>9</v>
      </c>
      <c r="E1017">
        <v>0.89</v>
      </c>
      <c r="F1017">
        <v>1.1399999999999999</v>
      </c>
      <c r="G1017">
        <v>0.22</v>
      </c>
      <c r="H1017" t="s">
        <v>13</v>
      </c>
    </row>
    <row r="1018" spans="1:8" x14ac:dyDescent="0.25">
      <c r="A1018" t="s">
        <v>8</v>
      </c>
      <c r="B1018">
        <v>84681</v>
      </c>
      <c r="C1018">
        <v>0</v>
      </c>
      <c r="D1018" t="s">
        <v>9</v>
      </c>
      <c r="E1018">
        <v>0.78</v>
      </c>
      <c r="F1018">
        <v>1.26</v>
      </c>
      <c r="G1018">
        <v>0.9</v>
      </c>
      <c r="H1018" t="s">
        <v>10</v>
      </c>
    </row>
    <row r="1019" spans="1:8" x14ac:dyDescent="0.25">
      <c r="A1019" t="s">
        <v>11</v>
      </c>
      <c r="B1019">
        <v>82167</v>
      </c>
      <c r="C1019">
        <v>21</v>
      </c>
      <c r="D1019" t="s">
        <v>12</v>
      </c>
      <c r="E1019">
        <v>0.2</v>
      </c>
      <c r="F1019">
        <v>0.74</v>
      </c>
      <c r="G1019">
        <v>0.11</v>
      </c>
      <c r="H1019" t="s">
        <v>13</v>
      </c>
    </row>
    <row r="1020" spans="1:8" x14ac:dyDescent="0.25">
      <c r="A1020" t="s">
        <v>16</v>
      </c>
      <c r="B1020">
        <v>64477</v>
      </c>
      <c r="C1020">
        <v>20</v>
      </c>
      <c r="D1020" t="s">
        <v>28</v>
      </c>
      <c r="E1020">
        <v>0.63</v>
      </c>
      <c r="F1020">
        <v>1.08</v>
      </c>
      <c r="G1020">
        <v>0.69</v>
      </c>
      <c r="H1020" t="s">
        <v>17</v>
      </c>
    </row>
    <row r="1021" spans="1:8" x14ac:dyDescent="0.25">
      <c r="A1021" t="s">
        <v>24</v>
      </c>
      <c r="B1021">
        <v>32565</v>
      </c>
      <c r="C1021">
        <v>13</v>
      </c>
      <c r="D1021" t="s">
        <v>15</v>
      </c>
      <c r="E1021">
        <v>0.57999999999999996</v>
      </c>
      <c r="F1021">
        <v>1.49</v>
      </c>
      <c r="G1021">
        <v>0.45</v>
      </c>
      <c r="H1021" t="s">
        <v>17</v>
      </c>
    </row>
    <row r="1022" spans="1:8" x14ac:dyDescent="0.25">
      <c r="A1022" t="s">
        <v>8</v>
      </c>
      <c r="B1022">
        <v>112915</v>
      </c>
      <c r="C1022">
        <v>15</v>
      </c>
      <c r="D1022" t="s">
        <v>15</v>
      </c>
      <c r="E1022">
        <v>0.13</v>
      </c>
      <c r="F1022">
        <v>0.96</v>
      </c>
      <c r="G1022">
        <v>0.77</v>
      </c>
      <c r="H1022" t="s">
        <v>10</v>
      </c>
    </row>
    <row r="1023" spans="1:8" x14ac:dyDescent="0.25">
      <c r="A1023" t="s">
        <v>8</v>
      </c>
      <c r="B1023">
        <v>103251</v>
      </c>
      <c r="C1023">
        <v>9</v>
      </c>
      <c r="D1023" t="s">
        <v>12</v>
      </c>
      <c r="E1023">
        <v>0.08</v>
      </c>
      <c r="F1023">
        <v>0.96</v>
      </c>
      <c r="G1023">
        <v>0.95</v>
      </c>
      <c r="H1023" t="s">
        <v>10</v>
      </c>
    </row>
    <row r="1024" spans="1:8" x14ac:dyDescent="0.25">
      <c r="A1024" t="s">
        <v>27</v>
      </c>
      <c r="B1024">
        <v>51258</v>
      </c>
      <c r="C1024">
        <v>26</v>
      </c>
      <c r="D1024" t="s">
        <v>12</v>
      </c>
      <c r="E1024">
        <v>0.3</v>
      </c>
      <c r="F1024">
        <v>0.54</v>
      </c>
      <c r="G1024">
        <v>0.67</v>
      </c>
      <c r="H1024" t="s">
        <v>17</v>
      </c>
    </row>
    <row r="1025" spans="1:8" x14ac:dyDescent="0.25">
      <c r="A1025" t="s">
        <v>14</v>
      </c>
      <c r="B1025">
        <v>115535</v>
      </c>
      <c r="C1025">
        <v>15</v>
      </c>
      <c r="D1025" t="s">
        <v>28</v>
      </c>
      <c r="E1025">
        <v>0.09</v>
      </c>
      <c r="F1025">
        <v>1.1299999999999999</v>
      </c>
      <c r="G1025">
        <v>0.83</v>
      </c>
      <c r="H1025" t="s">
        <v>10</v>
      </c>
    </row>
    <row r="1026" spans="1:8" x14ac:dyDescent="0.25">
      <c r="A1026" t="s">
        <v>27</v>
      </c>
      <c r="B1026">
        <v>101156</v>
      </c>
      <c r="C1026">
        <v>10</v>
      </c>
      <c r="D1026" t="s">
        <v>9</v>
      </c>
      <c r="E1026">
        <v>0.04</v>
      </c>
      <c r="F1026">
        <v>1.1100000000000001</v>
      </c>
      <c r="G1026">
        <v>0.62</v>
      </c>
      <c r="H1026" t="s">
        <v>17</v>
      </c>
    </row>
    <row r="1027" spans="1:8" x14ac:dyDescent="0.25">
      <c r="A1027" t="s">
        <v>23</v>
      </c>
      <c r="B1027">
        <v>127417</v>
      </c>
      <c r="C1027">
        <v>6</v>
      </c>
      <c r="D1027" t="s">
        <v>12</v>
      </c>
      <c r="E1027">
        <v>0.95</v>
      </c>
      <c r="F1027">
        <v>1.04</v>
      </c>
      <c r="G1027">
        <v>0.87</v>
      </c>
      <c r="H1027" t="s">
        <v>10</v>
      </c>
    </row>
    <row r="1028" spans="1:8" x14ac:dyDescent="0.25">
      <c r="A1028" t="s">
        <v>27</v>
      </c>
      <c r="B1028">
        <v>60066</v>
      </c>
      <c r="C1028">
        <v>13</v>
      </c>
      <c r="D1028" t="s">
        <v>12</v>
      </c>
      <c r="E1028">
        <v>0.92</v>
      </c>
      <c r="F1028">
        <v>0.85</v>
      </c>
      <c r="G1028">
        <v>0.59</v>
      </c>
      <c r="H1028" t="s">
        <v>17</v>
      </c>
    </row>
    <row r="1029" spans="1:8" x14ac:dyDescent="0.25">
      <c r="A1029" t="s">
        <v>30</v>
      </c>
      <c r="B1029">
        <v>78359</v>
      </c>
      <c r="C1029">
        <v>23</v>
      </c>
      <c r="D1029" t="s">
        <v>28</v>
      </c>
      <c r="E1029">
        <v>0.54</v>
      </c>
      <c r="F1029">
        <v>1.46</v>
      </c>
      <c r="G1029">
        <v>0.27</v>
      </c>
      <c r="H1029" t="s">
        <v>13</v>
      </c>
    </row>
    <row r="1030" spans="1:8" x14ac:dyDescent="0.25">
      <c r="A1030" t="s">
        <v>27</v>
      </c>
      <c r="B1030">
        <v>78225</v>
      </c>
      <c r="C1030">
        <v>8</v>
      </c>
      <c r="D1030" t="s">
        <v>28</v>
      </c>
      <c r="E1030">
        <v>0.24</v>
      </c>
      <c r="F1030">
        <v>0.54</v>
      </c>
      <c r="G1030">
        <v>0.69</v>
      </c>
      <c r="H1030" t="s">
        <v>17</v>
      </c>
    </row>
    <row r="1031" spans="1:8" x14ac:dyDescent="0.25">
      <c r="A1031" t="s">
        <v>34</v>
      </c>
      <c r="B1031">
        <v>135633</v>
      </c>
      <c r="C1031">
        <v>12</v>
      </c>
      <c r="D1031" t="s">
        <v>28</v>
      </c>
      <c r="E1031">
        <v>0.91</v>
      </c>
      <c r="F1031">
        <v>1.47</v>
      </c>
      <c r="G1031">
        <v>0.4</v>
      </c>
      <c r="H1031" t="s">
        <v>17</v>
      </c>
    </row>
    <row r="1032" spans="1:8" x14ac:dyDescent="0.25">
      <c r="A1032" t="s">
        <v>16</v>
      </c>
      <c r="B1032">
        <v>32599</v>
      </c>
      <c r="C1032">
        <v>20</v>
      </c>
      <c r="D1032" t="s">
        <v>15</v>
      </c>
      <c r="E1032">
        <v>0.87</v>
      </c>
      <c r="F1032">
        <v>1.25</v>
      </c>
      <c r="G1032">
        <v>0.39</v>
      </c>
      <c r="H1032" t="s">
        <v>17</v>
      </c>
    </row>
    <row r="1033" spans="1:8" x14ac:dyDescent="0.25">
      <c r="A1033" t="s">
        <v>16</v>
      </c>
      <c r="B1033">
        <v>41394</v>
      </c>
      <c r="C1033">
        <v>24</v>
      </c>
      <c r="D1033" t="s">
        <v>28</v>
      </c>
      <c r="E1033">
        <v>0.69</v>
      </c>
      <c r="F1033">
        <v>1.41</v>
      </c>
      <c r="G1033">
        <v>0.68</v>
      </c>
      <c r="H1033" t="s">
        <v>17</v>
      </c>
    </row>
    <row r="1034" spans="1:8" x14ac:dyDescent="0.25">
      <c r="A1034" t="s">
        <v>23</v>
      </c>
      <c r="B1034">
        <v>91351</v>
      </c>
      <c r="C1034">
        <v>4</v>
      </c>
      <c r="D1034" t="s">
        <v>28</v>
      </c>
      <c r="E1034">
        <v>0.94</v>
      </c>
      <c r="F1034">
        <v>0.51</v>
      </c>
      <c r="G1034">
        <v>0.88</v>
      </c>
      <c r="H1034" t="s">
        <v>10</v>
      </c>
    </row>
    <row r="1035" spans="1:8" x14ac:dyDescent="0.25">
      <c r="A1035" t="s">
        <v>34</v>
      </c>
      <c r="B1035">
        <v>60480</v>
      </c>
      <c r="C1035">
        <v>15</v>
      </c>
      <c r="D1035" t="s">
        <v>12</v>
      </c>
      <c r="E1035">
        <v>0.64</v>
      </c>
      <c r="F1035">
        <v>1.27</v>
      </c>
      <c r="G1035">
        <v>0.56000000000000005</v>
      </c>
      <c r="H1035" t="s">
        <v>17</v>
      </c>
    </row>
    <row r="1036" spans="1:8" x14ac:dyDescent="0.25">
      <c r="A1036" t="s">
        <v>31</v>
      </c>
      <c r="B1036">
        <v>113442</v>
      </c>
      <c r="C1036">
        <v>4</v>
      </c>
      <c r="D1036" t="s">
        <v>28</v>
      </c>
      <c r="E1036">
        <v>0.68</v>
      </c>
      <c r="F1036">
        <v>1.25</v>
      </c>
      <c r="G1036">
        <v>0.74</v>
      </c>
      <c r="H1036" t="s">
        <v>10</v>
      </c>
    </row>
    <row r="1037" spans="1:8" x14ac:dyDescent="0.25">
      <c r="A1037" t="s">
        <v>18</v>
      </c>
      <c r="B1037">
        <v>32199</v>
      </c>
      <c r="C1037">
        <v>20</v>
      </c>
      <c r="D1037" t="s">
        <v>12</v>
      </c>
      <c r="E1037">
        <v>0.85</v>
      </c>
      <c r="F1037">
        <v>1.26</v>
      </c>
      <c r="G1037">
        <v>0.54</v>
      </c>
      <c r="H1037" t="s">
        <v>17</v>
      </c>
    </row>
    <row r="1038" spans="1:8" x14ac:dyDescent="0.25">
      <c r="A1038" t="s">
        <v>30</v>
      </c>
      <c r="B1038">
        <v>111646</v>
      </c>
      <c r="C1038">
        <v>27</v>
      </c>
      <c r="D1038" t="s">
        <v>15</v>
      </c>
      <c r="E1038">
        <v>0.43</v>
      </c>
      <c r="F1038">
        <v>0.64</v>
      </c>
      <c r="G1038">
        <v>0.09</v>
      </c>
      <c r="H1038" t="s">
        <v>13</v>
      </c>
    </row>
    <row r="1039" spans="1:8" x14ac:dyDescent="0.25">
      <c r="A1039" t="s">
        <v>25</v>
      </c>
      <c r="B1039">
        <v>146536</v>
      </c>
      <c r="C1039">
        <v>28</v>
      </c>
      <c r="D1039" t="s">
        <v>15</v>
      </c>
      <c r="E1039">
        <v>0.13</v>
      </c>
      <c r="F1039">
        <v>1.35</v>
      </c>
      <c r="G1039">
        <v>0.54</v>
      </c>
      <c r="H1039" t="s">
        <v>17</v>
      </c>
    </row>
    <row r="1040" spans="1:8" x14ac:dyDescent="0.25">
      <c r="A1040" t="s">
        <v>29</v>
      </c>
      <c r="B1040">
        <v>100072</v>
      </c>
      <c r="C1040">
        <v>15</v>
      </c>
      <c r="D1040" t="s">
        <v>9</v>
      </c>
      <c r="E1040">
        <v>0.02</v>
      </c>
      <c r="F1040">
        <v>0.79</v>
      </c>
      <c r="G1040">
        <v>0.81</v>
      </c>
      <c r="H1040" t="s">
        <v>10</v>
      </c>
    </row>
    <row r="1041" spans="1:8" x14ac:dyDescent="0.25">
      <c r="A1041" t="s">
        <v>24</v>
      </c>
      <c r="B1041">
        <v>41246</v>
      </c>
      <c r="C1041">
        <v>26</v>
      </c>
      <c r="D1041" t="s">
        <v>15</v>
      </c>
      <c r="E1041">
        <v>0.98</v>
      </c>
      <c r="F1041">
        <v>0.56999999999999995</v>
      </c>
      <c r="G1041">
        <v>0.66</v>
      </c>
      <c r="H1041" t="s">
        <v>17</v>
      </c>
    </row>
    <row r="1042" spans="1:8" x14ac:dyDescent="0.25">
      <c r="A1042" t="s">
        <v>8</v>
      </c>
      <c r="B1042">
        <v>120088</v>
      </c>
      <c r="C1042">
        <v>5</v>
      </c>
      <c r="D1042" t="s">
        <v>12</v>
      </c>
      <c r="E1042">
        <v>0.78</v>
      </c>
      <c r="F1042">
        <v>0.69</v>
      </c>
      <c r="G1042">
        <v>0.87</v>
      </c>
      <c r="H1042" t="s">
        <v>10</v>
      </c>
    </row>
    <row r="1043" spans="1:8" x14ac:dyDescent="0.25">
      <c r="A1043" t="s">
        <v>33</v>
      </c>
      <c r="B1043">
        <v>41913</v>
      </c>
      <c r="C1043">
        <v>21</v>
      </c>
      <c r="D1043" t="s">
        <v>9</v>
      </c>
      <c r="E1043">
        <v>0.33</v>
      </c>
      <c r="F1043">
        <v>1.38</v>
      </c>
      <c r="G1043">
        <v>0.2</v>
      </c>
      <c r="H1043" t="s">
        <v>13</v>
      </c>
    </row>
    <row r="1044" spans="1:8" x14ac:dyDescent="0.25">
      <c r="A1044" t="s">
        <v>25</v>
      </c>
      <c r="B1044">
        <v>127771</v>
      </c>
      <c r="C1044">
        <v>14</v>
      </c>
      <c r="D1044" t="s">
        <v>12</v>
      </c>
      <c r="E1044">
        <v>0.98</v>
      </c>
      <c r="F1044">
        <v>1.34</v>
      </c>
      <c r="G1044">
        <v>0.62</v>
      </c>
      <c r="H1044" t="s">
        <v>17</v>
      </c>
    </row>
    <row r="1045" spans="1:8" x14ac:dyDescent="0.25">
      <c r="A1045" t="s">
        <v>21</v>
      </c>
      <c r="B1045">
        <v>82035</v>
      </c>
      <c r="C1045">
        <v>28</v>
      </c>
      <c r="D1045" t="s">
        <v>12</v>
      </c>
      <c r="E1045">
        <v>0.79</v>
      </c>
      <c r="F1045">
        <v>0.67</v>
      </c>
      <c r="G1045">
        <v>0.06</v>
      </c>
      <c r="H1045" t="s">
        <v>13</v>
      </c>
    </row>
    <row r="1046" spans="1:8" x14ac:dyDescent="0.25">
      <c r="A1046" t="s">
        <v>33</v>
      </c>
      <c r="B1046">
        <v>106970</v>
      </c>
      <c r="C1046">
        <v>21</v>
      </c>
      <c r="D1046" t="s">
        <v>9</v>
      </c>
      <c r="E1046">
        <v>0.76</v>
      </c>
      <c r="F1046">
        <v>1.45</v>
      </c>
      <c r="G1046">
        <v>0.14000000000000001</v>
      </c>
      <c r="H1046" t="s">
        <v>13</v>
      </c>
    </row>
    <row r="1047" spans="1:8" x14ac:dyDescent="0.25">
      <c r="A1047" t="s">
        <v>18</v>
      </c>
      <c r="B1047">
        <v>75643</v>
      </c>
      <c r="C1047">
        <v>9</v>
      </c>
      <c r="D1047" t="s">
        <v>12</v>
      </c>
      <c r="E1047">
        <v>0.57999999999999996</v>
      </c>
      <c r="F1047">
        <v>0.87</v>
      </c>
      <c r="G1047">
        <v>0.44</v>
      </c>
      <c r="H1047" t="s">
        <v>17</v>
      </c>
    </row>
    <row r="1048" spans="1:8" x14ac:dyDescent="0.25">
      <c r="A1048" t="s">
        <v>30</v>
      </c>
      <c r="B1048">
        <v>111751</v>
      </c>
      <c r="C1048">
        <v>13</v>
      </c>
      <c r="D1048" t="s">
        <v>12</v>
      </c>
      <c r="E1048">
        <v>0.44</v>
      </c>
      <c r="F1048">
        <v>0.56999999999999995</v>
      </c>
      <c r="G1048">
        <v>0.28999999999999998</v>
      </c>
      <c r="H1048" t="s">
        <v>13</v>
      </c>
    </row>
    <row r="1049" spans="1:8" x14ac:dyDescent="0.25">
      <c r="A1049" t="s">
        <v>16</v>
      </c>
      <c r="B1049">
        <v>145650</v>
      </c>
      <c r="C1049">
        <v>29</v>
      </c>
      <c r="D1049" t="s">
        <v>28</v>
      </c>
      <c r="E1049">
        <v>0.56000000000000005</v>
      </c>
      <c r="F1049">
        <v>0.61</v>
      </c>
      <c r="G1049">
        <v>0.69</v>
      </c>
      <c r="H1049" t="s">
        <v>17</v>
      </c>
    </row>
    <row r="1050" spans="1:8" x14ac:dyDescent="0.25">
      <c r="A1050" t="s">
        <v>14</v>
      </c>
      <c r="B1050">
        <v>94649</v>
      </c>
      <c r="C1050">
        <v>9</v>
      </c>
      <c r="D1050" t="s">
        <v>28</v>
      </c>
      <c r="E1050">
        <v>0.25</v>
      </c>
      <c r="F1050">
        <v>1.36</v>
      </c>
      <c r="G1050">
        <v>0.93</v>
      </c>
      <c r="H1050" t="s">
        <v>10</v>
      </c>
    </row>
    <row r="1051" spans="1:8" x14ac:dyDescent="0.25">
      <c r="A1051" t="s">
        <v>11</v>
      </c>
      <c r="B1051">
        <v>95615</v>
      </c>
      <c r="C1051">
        <v>25</v>
      </c>
      <c r="D1051" t="s">
        <v>28</v>
      </c>
      <c r="E1051">
        <v>0.72</v>
      </c>
      <c r="F1051">
        <v>0.53</v>
      </c>
      <c r="G1051">
        <v>0.19</v>
      </c>
      <c r="H1051" t="s">
        <v>13</v>
      </c>
    </row>
    <row r="1052" spans="1:8" x14ac:dyDescent="0.25">
      <c r="A1052" t="s">
        <v>31</v>
      </c>
      <c r="B1052">
        <v>144317</v>
      </c>
      <c r="C1052">
        <v>8</v>
      </c>
      <c r="D1052" t="s">
        <v>12</v>
      </c>
      <c r="E1052">
        <v>0.47</v>
      </c>
      <c r="F1052">
        <v>1.01</v>
      </c>
      <c r="G1052">
        <v>0.91</v>
      </c>
      <c r="H1052" t="s">
        <v>10</v>
      </c>
    </row>
    <row r="1053" spans="1:8" x14ac:dyDescent="0.25">
      <c r="A1053" t="s">
        <v>34</v>
      </c>
      <c r="B1053">
        <v>66640</v>
      </c>
      <c r="C1053">
        <v>11</v>
      </c>
      <c r="D1053" t="s">
        <v>28</v>
      </c>
      <c r="E1053">
        <v>0.74</v>
      </c>
      <c r="F1053">
        <v>1.04</v>
      </c>
      <c r="G1053">
        <v>0.33</v>
      </c>
      <c r="H1053" t="s">
        <v>17</v>
      </c>
    </row>
    <row r="1054" spans="1:8" x14ac:dyDescent="0.25">
      <c r="A1054" t="s">
        <v>8</v>
      </c>
      <c r="B1054">
        <v>47528</v>
      </c>
      <c r="C1054">
        <v>4</v>
      </c>
      <c r="D1054" t="s">
        <v>9</v>
      </c>
      <c r="E1054">
        <v>0.81</v>
      </c>
      <c r="F1054">
        <v>1.44</v>
      </c>
      <c r="G1054">
        <v>0.74</v>
      </c>
      <c r="H1054" t="s">
        <v>10</v>
      </c>
    </row>
    <row r="1055" spans="1:8" x14ac:dyDescent="0.25">
      <c r="A1055" t="s">
        <v>30</v>
      </c>
      <c r="B1055">
        <v>53655</v>
      </c>
      <c r="C1055">
        <v>12</v>
      </c>
      <c r="D1055" t="s">
        <v>12</v>
      </c>
      <c r="E1055">
        <v>0.44</v>
      </c>
      <c r="F1055">
        <v>0.95</v>
      </c>
      <c r="G1055">
        <v>0.14000000000000001</v>
      </c>
      <c r="H1055" t="s">
        <v>13</v>
      </c>
    </row>
    <row r="1056" spans="1:8" x14ac:dyDescent="0.25">
      <c r="A1056" t="s">
        <v>26</v>
      </c>
      <c r="B1056">
        <v>102264</v>
      </c>
      <c r="C1056">
        <v>4</v>
      </c>
      <c r="D1056" t="s">
        <v>12</v>
      </c>
      <c r="E1056">
        <v>0.93</v>
      </c>
      <c r="F1056">
        <v>0.95</v>
      </c>
      <c r="G1056">
        <v>0.56999999999999995</v>
      </c>
      <c r="H1056" t="s">
        <v>17</v>
      </c>
    </row>
    <row r="1057" spans="1:8" x14ac:dyDescent="0.25">
      <c r="A1057" t="s">
        <v>11</v>
      </c>
      <c r="B1057">
        <v>42550</v>
      </c>
      <c r="C1057">
        <v>15</v>
      </c>
      <c r="D1057" t="s">
        <v>15</v>
      </c>
      <c r="E1057">
        <v>0.39</v>
      </c>
      <c r="F1057">
        <v>1.18</v>
      </c>
      <c r="G1057">
        <v>0.27</v>
      </c>
      <c r="H1057" t="s">
        <v>13</v>
      </c>
    </row>
    <row r="1058" spans="1:8" x14ac:dyDescent="0.25">
      <c r="A1058" t="s">
        <v>24</v>
      </c>
      <c r="B1058">
        <v>91284</v>
      </c>
      <c r="C1058">
        <v>13</v>
      </c>
      <c r="D1058" t="s">
        <v>15</v>
      </c>
      <c r="E1058">
        <v>0.42</v>
      </c>
      <c r="F1058">
        <v>1.36</v>
      </c>
      <c r="G1058">
        <v>0.39</v>
      </c>
      <c r="H1058" t="s">
        <v>17</v>
      </c>
    </row>
    <row r="1059" spans="1:8" x14ac:dyDescent="0.25">
      <c r="A1059" t="s">
        <v>26</v>
      </c>
      <c r="B1059">
        <v>51200</v>
      </c>
      <c r="C1059">
        <v>20</v>
      </c>
      <c r="D1059" t="s">
        <v>15</v>
      </c>
      <c r="E1059">
        <v>0.25</v>
      </c>
      <c r="F1059">
        <v>0.61</v>
      </c>
      <c r="G1059">
        <v>0.65</v>
      </c>
      <c r="H1059" t="s">
        <v>17</v>
      </c>
    </row>
    <row r="1060" spans="1:8" x14ac:dyDescent="0.25">
      <c r="A1060" t="s">
        <v>33</v>
      </c>
      <c r="B1060">
        <v>147529</v>
      </c>
      <c r="C1060">
        <v>14</v>
      </c>
      <c r="D1060" t="s">
        <v>28</v>
      </c>
      <c r="E1060">
        <v>0.09</v>
      </c>
      <c r="F1060">
        <v>1.37</v>
      </c>
      <c r="G1060">
        <v>0.12</v>
      </c>
      <c r="H1060" t="s">
        <v>13</v>
      </c>
    </row>
    <row r="1061" spans="1:8" x14ac:dyDescent="0.25">
      <c r="A1061" t="s">
        <v>30</v>
      </c>
      <c r="B1061">
        <v>46151</v>
      </c>
      <c r="C1061">
        <v>5</v>
      </c>
      <c r="D1061" t="s">
        <v>28</v>
      </c>
      <c r="E1061">
        <v>0.39</v>
      </c>
      <c r="F1061">
        <v>0.56999999999999995</v>
      </c>
      <c r="G1061">
        <v>0.14000000000000001</v>
      </c>
      <c r="H1061" t="s">
        <v>13</v>
      </c>
    </row>
    <row r="1062" spans="1:8" x14ac:dyDescent="0.25">
      <c r="A1062" t="s">
        <v>32</v>
      </c>
      <c r="B1062">
        <v>146849</v>
      </c>
      <c r="C1062">
        <v>28</v>
      </c>
      <c r="D1062" t="s">
        <v>28</v>
      </c>
      <c r="E1062">
        <v>0.33</v>
      </c>
      <c r="F1062">
        <v>1.28</v>
      </c>
      <c r="G1062">
        <v>0.4</v>
      </c>
      <c r="H1062" t="s">
        <v>17</v>
      </c>
    </row>
    <row r="1063" spans="1:8" x14ac:dyDescent="0.25">
      <c r="A1063" t="s">
        <v>22</v>
      </c>
      <c r="B1063">
        <v>44537</v>
      </c>
      <c r="C1063">
        <v>21</v>
      </c>
      <c r="D1063" t="s">
        <v>9</v>
      </c>
      <c r="E1063">
        <v>0.23</v>
      </c>
      <c r="F1063">
        <v>0.75</v>
      </c>
      <c r="G1063">
        <v>0.51</v>
      </c>
      <c r="H1063" t="s">
        <v>17</v>
      </c>
    </row>
    <row r="1064" spans="1:8" x14ac:dyDescent="0.25">
      <c r="A1064" t="s">
        <v>29</v>
      </c>
      <c r="B1064">
        <v>72294</v>
      </c>
      <c r="C1064">
        <v>14</v>
      </c>
      <c r="D1064" t="s">
        <v>28</v>
      </c>
      <c r="E1064">
        <v>0.95</v>
      </c>
      <c r="F1064">
        <v>1.46</v>
      </c>
      <c r="G1064">
        <v>0.88</v>
      </c>
      <c r="H1064" t="s">
        <v>10</v>
      </c>
    </row>
    <row r="1065" spans="1:8" x14ac:dyDescent="0.25">
      <c r="A1065" t="s">
        <v>29</v>
      </c>
      <c r="B1065">
        <v>45749</v>
      </c>
      <c r="C1065">
        <v>23</v>
      </c>
      <c r="D1065" t="s">
        <v>15</v>
      </c>
      <c r="E1065">
        <v>0.33</v>
      </c>
      <c r="F1065">
        <v>0.63</v>
      </c>
      <c r="G1065">
        <v>0.9</v>
      </c>
      <c r="H1065" t="s">
        <v>10</v>
      </c>
    </row>
    <row r="1066" spans="1:8" x14ac:dyDescent="0.25">
      <c r="A1066" t="s">
        <v>24</v>
      </c>
      <c r="B1066">
        <v>91561</v>
      </c>
      <c r="C1066">
        <v>20</v>
      </c>
      <c r="D1066" t="s">
        <v>15</v>
      </c>
      <c r="E1066">
        <v>0.25</v>
      </c>
      <c r="F1066">
        <v>1.39</v>
      </c>
      <c r="G1066">
        <v>0.6</v>
      </c>
      <c r="H1066" t="s">
        <v>17</v>
      </c>
    </row>
    <row r="1067" spans="1:8" x14ac:dyDescent="0.25">
      <c r="A1067" t="s">
        <v>18</v>
      </c>
      <c r="B1067">
        <v>55757</v>
      </c>
      <c r="C1067">
        <v>10</v>
      </c>
      <c r="D1067" t="s">
        <v>28</v>
      </c>
      <c r="E1067">
        <v>0.55000000000000004</v>
      </c>
      <c r="F1067">
        <v>1.34</v>
      </c>
      <c r="G1067">
        <v>0.37</v>
      </c>
      <c r="H1067" t="s">
        <v>17</v>
      </c>
    </row>
    <row r="1068" spans="1:8" x14ac:dyDescent="0.25">
      <c r="A1068" t="s">
        <v>18</v>
      </c>
      <c r="B1068">
        <v>32251</v>
      </c>
      <c r="C1068">
        <v>9</v>
      </c>
      <c r="D1068" t="s">
        <v>28</v>
      </c>
      <c r="E1068">
        <v>0.68</v>
      </c>
      <c r="F1068">
        <v>0.75</v>
      </c>
      <c r="G1068">
        <v>0.5</v>
      </c>
      <c r="H1068" t="s">
        <v>17</v>
      </c>
    </row>
    <row r="1069" spans="1:8" x14ac:dyDescent="0.25">
      <c r="A1069" t="s">
        <v>21</v>
      </c>
      <c r="B1069">
        <v>94274</v>
      </c>
      <c r="C1069">
        <v>3</v>
      </c>
      <c r="D1069" t="s">
        <v>15</v>
      </c>
      <c r="E1069">
        <v>0.98</v>
      </c>
      <c r="F1069">
        <v>0.97</v>
      </c>
      <c r="G1069">
        <v>0.27</v>
      </c>
      <c r="H1069" t="s">
        <v>13</v>
      </c>
    </row>
    <row r="1070" spans="1:8" x14ac:dyDescent="0.25">
      <c r="A1070" t="s">
        <v>18</v>
      </c>
      <c r="B1070">
        <v>136023</v>
      </c>
      <c r="C1070">
        <v>0</v>
      </c>
      <c r="D1070" t="s">
        <v>28</v>
      </c>
      <c r="E1070">
        <v>0.3</v>
      </c>
      <c r="F1070">
        <v>1.1499999999999999</v>
      </c>
      <c r="G1070">
        <v>0.5</v>
      </c>
      <c r="H1070" t="s">
        <v>17</v>
      </c>
    </row>
    <row r="1071" spans="1:8" x14ac:dyDescent="0.25">
      <c r="A1071" t="s">
        <v>27</v>
      </c>
      <c r="B1071">
        <v>126746</v>
      </c>
      <c r="C1071">
        <v>18</v>
      </c>
      <c r="D1071" t="s">
        <v>15</v>
      </c>
      <c r="E1071">
        <v>0.53</v>
      </c>
      <c r="F1071">
        <v>0.52</v>
      </c>
      <c r="G1071">
        <v>0.36</v>
      </c>
      <c r="H1071" t="s">
        <v>17</v>
      </c>
    </row>
    <row r="1072" spans="1:8" x14ac:dyDescent="0.25">
      <c r="A1072" t="s">
        <v>27</v>
      </c>
      <c r="B1072">
        <v>115421</v>
      </c>
      <c r="C1072">
        <v>2</v>
      </c>
      <c r="D1072" t="s">
        <v>15</v>
      </c>
      <c r="E1072">
        <v>0.47</v>
      </c>
      <c r="F1072">
        <v>1.24</v>
      </c>
      <c r="G1072">
        <v>0.36</v>
      </c>
      <c r="H1072" t="s">
        <v>17</v>
      </c>
    </row>
    <row r="1073" spans="1:8" x14ac:dyDescent="0.25">
      <c r="A1073" t="s">
        <v>29</v>
      </c>
      <c r="B1073">
        <v>45817</v>
      </c>
      <c r="C1073">
        <v>8</v>
      </c>
      <c r="D1073" t="s">
        <v>15</v>
      </c>
      <c r="E1073">
        <v>0.14000000000000001</v>
      </c>
      <c r="F1073">
        <v>1.45</v>
      </c>
      <c r="G1073">
        <v>0.93</v>
      </c>
      <c r="H1073" t="s">
        <v>10</v>
      </c>
    </row>
    <row r="1074" spans="1:8" x14ac:dyDescent="0.25">
      <c r="A1074" t="s">
        <v>30</v>
      </c>
      <c r="B1074">
        <v>76205</v>
      </c>
      <c r="C1074">
        <v>7</v>
      </c>
      <c r="D1074" t="s">
        <v>15</v>
      </c>
      <c r="E1074">
        <v>0.38</v>
      </c>
      <c r="F1074">
        <v>0.62</v>
      </c>
      <c r="G1074">
        <v>0.11</v>
      </c>
      <c r="H1074" t="s">
        <v>13</v>
      </c>
    </row>
    <row r="1075" spans="1:8" x14ac:dyDescent="0.25">
      <c r="A1075" t="s">
        <v>25</v>
      </c>
      <c r="B1075">
        <v>142398</v>
      </c>
      <c r="C1075">
        <v>26</v>
      </c>
      <c r="D1075" t="s">
        <v>9</v>
      </c>
      <c r="E1075">
        <v>0.3</v>
      </c>
      <c r="F1075">
        <v>1.06</v>
      </c>
      <c r="G1075">
        <v>0.56999999999999995</v>
      </c>
      <c r="H1075" t="s">
        <v>17</v>
      </c>
    </row>
    <row r="1076" spans="1:8" x14ac:dyDescent="0.25">
      <c r="A1076" t="s">
        <v>16</v>
      </c>
      <c r="B1076">
        <v>54453</v>
      </c>
      <c r="C1076">
        <v>10</v>
      </c>
      <c r="D1076" t="s">
        <v>15</v>
      </c>
      <c r="E1076">
        <v>0.77</v>
      </c>
      <c r="F1076">
        <v>1.24</v>
      </c>
      <c r="G1076">
        <v>0.66</v>
      </c>
      <c r="H1076" t="s">
        <v>17</v>
      </c>
    </row>
    <row r="1077" spans="1:8" x14ac:dyDescent="0.25">
      <c r="A1077" t="s">
        <v>24</v>
      </c>
      <c r="B1077">
        <v>129821</v>
      </c>
      <c r="C1077">
        <v>29</v>
      </c>
      <c r="D1077" t="s">
        <v>9</v>
      </c>
      <c r="E1077">
        <v>0.19</v>
      </c>
      <c r="F1077">
        <v>0.77</v>
      </c>
      <c r="G1077">
        <v>0.56000000000000005</v>
      </c>
      <c r="H1077" t="s">
        <v>17</v>
      </c>
    </row>
    <row r="1078" spans="1:8" x14ac:dyDescent="0.25">
      <c r="A1078" t="s">
        <v>11</v>
      </c>
      <c r="B1078">
        <v>89615</v>
      </c>
      <c r="C1078">
        <v>10</v>
      </c>
      <c r="D1078" t="s">
        <v>28</v>
      </c>
      <c r="E1078">
        <v>0.27</v>
      </c>
      <c r="F1078">
        <v>1.32</v>
      </c>
      <c r="G1078">
        <v>0.23</v>
      </c>
      <c r="H1078" t="s">
        <v>13</v>
      </c>
    </row>
    <row r="1079" spans="1:8" x14ac:dyDescent="0.25">
      <c r="A1079" t="s">
        <v>14</v>
      </c>
      <c r="B1079">
        <v>57470</v>
      </c>
      <c r="C1079">
        <v>9</v>
      </c>
      <c r="D1079" t="s">
        <v>12</v>
      </c>
      <c r="E1079">
        <v>0.95</v>
      </c>
      <c r="F1079">
        <v>0.71</v>
      </c>
      <c r="G1079">
        <v>0.83</v>
      </c>
      <c r="H1079" t="s">
        <v>10</v>
      </c>
    </row>
    <row r="1080" spans="1:8" x14ac:dyDescent="0.25">
      <c r="A1080" t="s">
        <v>32</v>
      </c>
      <c r="B1080">
        <v>102082</v>
      </c>
      <c r="C1080">
        <v>12</v>
      </c>
      <c r="D1080" t="s">
        <v>15</v>
      </c>
      <c r="E1080">
        <v>0.38</v>
      </c>
      <c r="F1080">
        <v>1.37</v>
      </c>
      <c r="G1080">
        <v>0.45</v>
      </c>
      <c r="H1080" t="s">
        <v>17</v>
      </c>
    </row>
    <row r="1081" spans="1:8" x14ac:dyDescent="0.25">
      <c r="A1081" t="s">
        <v>18</v>
      </c>
      <c r="B1081">
        <v>90639</v>
      </c>
      <c r="C1081">
        <v>23</v>
      </c>
      <c r="D1081" t="s">
        <v>28</v>
      </c>
      <c r="E1081">
        <v>0.17</v>
      </c>
      <c r="F1081">
        <v>0.78</v>
      </c>
      <c r="G1081">
        <v>0.51</v>
      </c>
      <c r="H1081" t="s">
        <v>17</v>
      </c>
    </row>
    <row r="1082" spans="1:8" x14ac:dyDescent="0.25">
      <c r="A1082" t="s">
        <v>23</v>
      </c>
      <c r="B1082">
        <v>61854</v>
      </c>
      <c r="C1082">
        <v>28</v>
      </c>
      <c r="D1082" t="s">
        <v>15</v>
      </c>
      <c r="E1082">
        <v>0.78</v>
      </c>
      <c r="F1082">
        <v>1.39</v>
      </c>
      <c r="G1082">
        <v>0.84</v>
      </c>
      <c r="H1082" t="s">
        <v>10</v>
      </c>
    </row>
    <row r="1083" spans="1:8" x14ac:dyDescent="0.25">
      <c r="A1083" t="s">
        <v>34</v>
      </c>
      <c r="B1083">
        <v>110882</v>
      </c>
      <c r="C1083">
        <v>2</v>
      </c>
      <c r="D1083" t="s">
        <v>9</v>
      </c>
      <c r="E1083">
        <v>0.55000000000000004</v>
      </c>
      <c r="F1083">
        <v>0.62</v>
      </c>
      <c r="G1083">
        <v>0.67</v>
      </c>
      <c r="H1083" t="s">
        <v>17</v>
      </c>
    </row>
    <row r="1084" spans="1:8" x14ac:dyDescent="0.25">
      <c r="A1084" t="s">
        <v>19</v>
      </c>
      <c r="B1084">
        <v>143352</v>
      </c>
      <c r="C1084">
        <v>14</v>
      </c>
      <c r="D1084" t="s">
        <v>28</v>
      </c>
      <c r="E1084">
        <v>0.97</v>
      </c>
      <c r="F1084">
        <v>0.96</v>
      </c>
      <c r="G1084">
        <v>0.28999999999999998</v>
      </c>
      <c r="H1084" t="s">
        <v>13</v>
      </c>
    </row>
    <row r="1085" spans="1:8" x14ac:dyDescent="0.25">
      <c r="A1085" t="s">
        <v>20</v>
      </c>
      <c r="B1085">
        <v>91922</v>
      </c>
      <c r="C1085">
        <v>9</v>
      </c>
      <c r="D1085" t="s">
        <v>12</v>
      </c>
      <c r="E1085">
        <v>0.98</v>
      </c>
      <c r="F1085">
        <v>1.29</v>
      </c>
      <c r="G1085">
        <v>0.7</v>
      </c>
      <c r="H1085" t="s">
        <v>17</v>
      </c>
    </row>
    <row r="1086" spans="1:8" x14ac:dyDescent="0.25">
      <c r="A1086" t="s">
        <v>8</v>
      </c>
      <c r="B1086">
        <v>116195</v>
      </c>
      <c r="C1086">
        <v>15</v>
      </c>
      <c r="D1086" t="s">
        <v>15</v>
      </c>
      <c r="E1086">
        <v>0.33</v>
      </c>
      <c r="F1086">
        <v>1.08</v>
      </c>
      <c r="G1086">
        <v>0.78</v>
      </c>
      <c r="H1086" t="s">
        <v>10</v>
      </c>
    </row>
    <row r="1087" spans="1:8" x14ac:dyDescent="0.25">
      <c r="A1087" t="s">
        <v>32</v>
      </c>
      <c r="B1087">
        <v>91775</v>
      </c>
      <c r="C1087">
        <v>24</v>
      </c>
      <c r="D1087" t="s">
        <v>15</v>
      </c>
      <c r="E1087">
        <v>0.3</v>
      </c>
      <c r="F1087">
        <v>0.68</v>
      </c>
      <c r="G1087">
        <v>0.55000000000000004</v>
      </c>
      <c r="H1087" t="s">
        <v>17</v>
      </c>
    </row>
    <row r="1088" spans="1:8" x14ac:dyDescent="0.25">
      <c r="A1088" t="s">
        <v>14</v>
      </c>
      <c r="B1088">
        <v>86776</v>
      </c>
      <c r="C1088">
        <v>9</v>
      </c>
      <c r="D1088" t="s">
        <v>12</v>
      </c>
      <c r="E1088">
        <v>0.3</v>
      </c>
      <c r="F1088">
        <v>1.1200000000000001</v>
      </c>
      <c r="G1088">
        <v>0.79</v>
      </c>
      <c r="H1088" t="s">
        <v>10</v>
      </c>
    </row>
    <row r="1089" spans="1:8" x14ac:dyDescent="0.25">
      <c r="A1089" t="s">
        <v>20</v>
      </c>
      <c r="B1089">
        <v>142192</v>
      </c>
      <c r="C1089">
        <v>18</v>
      </c>
      <c r="D1089" t="s">
        <v>15</v>
      </c>
      <c r="E1089">
        <v>0.85</v>
      </c>
      <c r="F1089">
        <v>0.74</v>
      </c>
      <c r="G1089">
        <v>0.57999999999999996</v>
      </c>
      <c r="H1089" t="s">
        <v>17</v>
      </c>
    </row>
    <row r="1090" spans="1:8" x14ac:dyDescent="0.25">
      <c r="A1090" t="s">
        <v>21</v>
      </c>
      <c r="B1090">
        <v>120351</v>
      </c>
      <c r="C1090">
        <v>1</v>
      </c>
      <c r="D1090" t="s">
        <v>28</v>
      </c>
      <c r="E1090">
        <v>0.43</v>
      </c>
      <c r="F1090">
        <v>0.84</v>
      </c>
      <c r="G1090">
        <v>0.13</v>
      </c>
      <c r="H1090" t="s">
        <v>13</v>
      </c>
    </row>
    <row r="1091" spans="1:8" x14ac:dyDescent="0.25">
      <c r="A1091" t="s">
        <v>23</v>
      </c>
      <c r="B1091">
        <v>50080</v>
      </c>
      <c r="C1091">
        <v>3</v>
      </c>
      <c r="D1091" t="s">
        <v>9</v>
      </c>
      <c r="E1091">
        <v>0.37</v>
      </c>
      <c r="F1091">
        <v>0.71</v>
      </c>
      <c r="G1091">
        <v>0.92</v>
      </c>
      <c r="H1091" t="s">
        <v>10</v>
      </c>
    </row>
    <row r="1092" spans="1:8" x14ac:dyDescent="0.25">
      <c r="A1092" t="s">
        <v>31</v>
      </c>
      <c r="B1092">
        <v>95729</v>
      </c>
      <c r="C1092">
        <v>5</v>
      </c>
      <c r="D1092" t="s">
        <v>12</v>
      </c>
      <c r="E1092">
        <v>0.77</v>
      </c>
      <c r="F1092">
        <v>0.52</v>
      </c>
      <c r="G1092">
        <v>0.81</v>
      </c>
      <c r="H1092" t="s">
        <v>10</v>
      </c>
    </row>
    <row r="1093" spans="1:8" x14ac:dyDescent="0.25">
      <c r="A1093" t="s">
        <v>23</v>
      </c>
      <c r="B1093">
        <v>123330</v>
      </c>
      <c r="C1093">
        <v>1</v>
      </c>
      <c r="D1093" t="s">
        <v>28</v>
      </c>
      <c r="E1093">
        <v>0.45</v>
      </c>
      <c r="F1093">
        <v>0.57999999999999996</v>
      </c>
      <c r="G1093">
        <v>0.87</v>
      </c>
      <c r="H1093" t="s">
        <v>10</v>
      </c>
    </row>
    <row r="1094" spans="1:8" x14ac:dyDescent="0.25">
      <c r="A1094" t="s">
        <v>21</v>
      </c>
      <c r="B1094">
        <v>96302</v>
      </c>
      <c r="C1094">
        <v>29</v>
      </c>
      <c r="D1094" t="s">
        <v>9</v>
      </c>
      <c r="E1094">
        <v>0.99</v>
      </c>
      <c r="F1094">
        <v>1.33</v>
      </c>
      <c r="G1094">
        <v>0.12</v>
      </c>
      <c r="H1094" t="s">
        <v>13</v>
      </c>
    </row>
    <row r="1095" spans="1:8" x14ac:dyDescent="0.25">
      <c r="A1095" t="s">
        <v>22</v>
      </c>
      <c r="B1095">
        <v>97986</v>
      </c>
      <c r="C1095">
        <v>4</v>
      </c>
      <c r="D1095" t="s">
        <v>15</v>
      </c>
      <c r="E1095">
        <v>0.93</v>
      </c>
      <c r="F1095">
        <v>0.72</v>
      </c>
      <c r="G1095">
        <v>0.57999999999999996</v>
      </c>
      <c r="H1095" t="s">
        <v>17</v>
      </c>
    </row>
    <row r="1096" spans="1:8" x14ac:dyDescent="0.25">
      <c r="A1096" t="s">
        <v>20</v>
      </c>
      <c r="B1096">
        <v>43776</v>
      </c>
      <c r="C1096">
        <v>23</v>
      </c>
      <c r="D1096" t="s">
        <v>28</v>
      </c>
      <c r="E1096">
        <v>0.32</v>
      </c>
      <c r="F1096">
        <v>0.64</v>
      </c>
      <c r="G1096">
        <v>0.52</v>
      </c>
      <c r="H1096" t="s">
        <v>17</v>
      </c>
    </row>
    <row r="1097" spans="1:8" x14ac:dyDescent="0.25">
      <c r="A1097" t="s">
        <v>24</v>
      </c>
      <c r="B1097">
        <v>37163</v>
      </c>
      <c r="C1097">
        <v>0</v>
      </c>
      <c r="D1097" t="s">
        <v>28</v>
      </c>
      <c r="E1097">
        <v>0.44</v>
      </c>
      <c r="F1097">
        <v>1.36</v>
      </c>
      <c r="G1097">
        <v>0.37</v>
      </c>
      <c r="H1097" t="s">
        <v>17</v>
      </c>
    </row>
    <row r="1098" spans="1:8" x14ac:dyDescent="0.25">
      <c r="A1098" t="s">
        <v>32</v>
      </c>
      <c r="B1098">
        <v>135001</v>
      </c>
      <c r="C1098">
        <v>17</v>
      </c>
      <c r="D1098" t="s">
        <v>12</v>
      </c>
      <c r="E1098">
        <v>0.35</v>
      </c>
      <c r="F1098">
        <v>1.29</v>
      </c>
      <c r="G1098">
        <v>0.55000000000000004</v>
      </c>
      <c r="H1098" t="s">
        <v>17</v>
      </c>
    </row>
    <row r="1099" spans="1:8" x14ac:dyDescent="0.25">
      <c r="A1099" t="s">
        <v>8</v>
      </c>
      <c r="B1099">
        <v>108156</v>
      </c>
      <c r="C1099">
        <v>8</v>
      </c>
      <c r="D1099" t="s">
        <v>15</v>
      </c>
      <c r="E1099">
        <v>0.87</v>
      </c>
      <c r="F1099">
        <v>0.89</v>
      </c>
      <c r="G1099">
        <v>0.79</v>
      </c>
      <c r="H1099" t="s">
        <v>10</v>
      </c>
    </row>
    <row r="1100" spans="1:8" x14ac:dyDescent="0.25">
      <c r="A1100" t="s">
        <v>11</v>
      </c>
      <c r="B1100">
        <v>68842</v>
      </c>
      <c r="C1100">
        <v>28</v>
      </c>
      <c r="D1100" t="s">
        <v>9</v>
      </c>
      <c r="E1100">
        <v>0.95</v>
      </c>
      <c r="F1100">
        <v>0.51</v>
      </c>
      <c r="G1100">
        <v>0.1</v>
      </c>
      <c r="H1100" t="s">
        <v>13</v>
      </c>
    </row>
    <row r="1101" spans="1:8" x14ac:dyDescent="0.25">
      <c r="A1101" t="s">
        <v>14</v>
      </c>
      <c r="B1101">
        <v>78039</v>
      </c>
      <c r="C1101">
        <v>0</v>
      </c>
      <c r="D1101" t="s">
        <v>15</v>
      </c>
      <c r="E1101">
        <v>0.38</v>
      </c>
      <c r="F1101">
        <v>1.41</v>
      </c>
      <c r="G1101">
        <v>0.9</v>
      </c>
      <c r="H1101" t="s">
        <v>10</v>
      </c>
    </row>
    <row r="1102" spans="1:8" x14ac:dyDescent="0.25">
      <c r="A1102" t="s">
        <v>34</v>
      </c>
      <c r="B1102">
        <v>59552</v>
      </c>
      <c r="C1102">
        <v>1</v>
      </c>
      <c r="D1102" t="s">
        <v>12</v>
      </c>
      <c r="E1102">
        <v>0.88</v>
      </c>
      <c r="F1102">
        <v>0.84</v>
      </c>
      <c r="G1102">
        <v>0.45</v>
      </c>
      <c r="H1102" t="s">
        <v>17</v>
      </c>
    </row>
    <row r="1103" spans="1:8" x14ac:dyDescent="0.25">
      <c r="A1103" t="s">
        <v>24</v>
      </c>
      <c r="B1103">
        <v>144759</v>
      </c>
      <c r="C1103">
        <v>18</v>
      </c>
      <c r="D1103" t="s">
        <v>28</v>
      </c>
      <c r="E1103">
        <v>0.54</v>
      </c>
      <c r="F1103">
        <v>1.21</v>
      </c>
      <c r="G1103">
        <v>0.44</v>
      </c>
      <c r="H1103" t="s">
        <v>17</v>
      </c>
    </row>
    <row r="1104" spans="1:8" x14ac:dyDescent="0.25">
      <c r="A1104" t="s">
        <v>14</v>
      </c>
      <c r="B1104">
        <v>131442</v>
      </c>
      <c r="C1104">
        <v>13</v>
      </c>
      <c r="D1104" t="s">
        <v>28</v>
      </c>
      <c r="E1104">
        <v>0.89</v>
      </c>
      <c r="F1104">
        <v>0.86</v>
      </c>
      <c r="G1104">
        <v>0.86</v>
      </c>
      <c r="H1104" t="s">
        <v>10</v>
      </c>
    </row>
    <row r="1105" spans="1:8" x14ac:dyDescent="0.25">
      <c r="A1105" t="s">
        <v>27</v>
      </c>
      <c r="B1105">
        <v>126969</v>
      </c>
      <c r="C1105">
        <v>24</v>
      </c>
      <c r="D1105" t="s">
        <v>28</v>
      </c>
      <c r="E1105">
        <v>0.81</v>
      </c>
      <c r="F1105">
        <v>0.79</v>
      </c>
      <c r="G1105">
        <v>0.7</v>
      </c>
      <c r="H1105" t="s">
        <v>17</v>
      </c>
    </row>
    <row r="1106" spans="1:8" x14ac:dyDescent="0.25">
      <c r="A1106" t="s">
        <v>21</v>
      </c>
      <c r="B1106">
        <v>111606</v>
      </c>
      <c r="C1106">
        <v>11</v>
      </c>
      <c r="D1106" t="s">
        <v>28</v>
      </c>
      <c r="E1106">
        <v>0.79</v>
      </c>
      <c r="F1106">
        <v>0.96</v>
      </c>
      <c r="G1106">
        <v>0.1</v>
      </c>
      <c r="H1106" t="s">
        <v>13</v>
      </c>
    </row>
    <row r="1107" spans="1:8" x14ac:dyDescent="0.25">
      <c r="A1107" t="s">
        <v>21</v>
      </c>
      <c r="B1107">
        <v>137904</v>
      </c>
      <c r="C1107">
        <v>28</v>
      </c>
      <c r="D1107" t="s">
        <v>12</v>
      </c>
      <c r="E1107">
        <v>0.94</v>
      </c>
      <c r="F1107">
        <v>1.21</v>
      </c>
      <c r="G1107">
        <v>0.24</v>
      </c>
      <c r="H1107" t="s">
        <v>13</v>
      </c>
    </row>
    <row r="1108" spans="1:8" x14ac:dyDescent="0.25">
      <c r="A1108" t="s">
        <v>11</v>
      </c>
      <c r="B1108">
        <v>93878</v>
      </c>
      <c r="C1108">
        <v>11</v>
      </c>
      <c r="D1108" t="s">
        <v>9</v>
      </c>
      <c r="E1108">
        <v>0.2</v>
      </c>
      <c r="F1108">
        <v>0.81</v>
      </c>
      <c r="G1108">
        <v>0.17</v>
      </c>
      <c r="H1108" t="s">
        <v>13</v>
      </c>
    </row>
    <row r="1109" spans="1:8" x14ac:dyDescent="0.25">
      <c r="A1109" t="s">
        <v>30</v>
      </c>
      <c r="B1109">
        <v>71986</v>
      </c>
      <c r="C1109">
        <v>2</v>
      </c>
      <c r="D1109" t="s">
        <v>12</v>
      </c>
      <c r="E1109">
        <v>0.66</v>
      </c>
      <c r="F1109">
        <v>1.46</v>
      </c>
      <c r="G1109">
        <v>0.08</v>
      </c>
      <c r="H1109" t="s">
        <v>13</v>
      </c>
    </row>
    <row r="1110" spans="1:8" x14ac:dyDescent="0.25">
      <c r="A1110" t="s">
        <v>29</v>
      </c>
      <c r="B1110">
        <v>65169</v>
      </c>
      <c r="C1110">
        <v>23</v>
      </c>
      <c r="D1110" t="s">
        <v>28</v>
      </c>
      <c r="E1110">
        <v>0.08</v>
      </c>
      <c r="F1110">
        <v>0.51</v>
      </c>
      <c r="G1110">
        <v>0.85</v>
      </c>
      <c r="H1110" t="s">
        <v>10</v>
      </c>
    </row>
    <row r="1111" spans="1:8" x14ac:dyDescent="0.25">
      <c r="A1111" t="s">
        <v>19</v>
      </c>
      <c r="B1111">
        <v>47330</v>
      </c>
      <c r="C1111">
        <v>9</v>
      </c>
      <c r="D1111" t="s">
        <v>12</v>
      </c>
      <c r="E1111">
        <v>0.11</v>
      </c>
      <c r="F1111">
        <v>0.57999999999999996</v>
      </c>
      <c r="G1111">
        <v>0.06</v>
      </c>
      <c r="H1111" t="s">
        <v>13</v>
      </c>
    </row>
    <row r="1112" spans="1:8" x14ac:dyDescent="0.25">
      <c r="A1112" t="s">
        <v>34</v>
      </c>
      <c r="B1112">
        <v>119937</v>
      </c>
      <c r="C1112">
        <v>16</v>
      </c>
      <c r="D1112" t="s">
        <v>12</v>
      </c>
      <c r="E1112">
        <v>0.54</v>
      </c>
      <c r="F1112">
        <v>0.96</v>
      </c>
      <c r="G1112">
        <v>0.48</v>
      </c>
      <c r="H1112" t="s">
        <v>17</v>
      </c>
    </row>
    <row r="1113" spans="1:8" x14ac:dyDescent="0.25">
      <c r="A1113" t="s">
        <v>20</v>
      </c>
      <c r="B1113">
        <v>113301</v>
      </c>
      <c r="C1113">
        <v>23</v>
      </c>
      <c r="D1113" t="s">
        <v>12</v>
      </c>
      <c r="E1113">
        <v>0.37</v>
      </c>
      <c r="F1113">
        <v>1.38</v>
      </c>
      <c r="G1113">
        <v>0.35</v>
      </c>
      <c r="H1113" t="s">
        <v>17</v>
      </c>
    </row>
    <row r="1114" spans="1:8" x14ac:dyDescent="0.25">
      <c r="A1114" t="s">
        <v>11</v>
      </c>
      <c r="B1114">
        <v>81899</v>
      </c>
      <c r="C1114">
        <v>17</v>
      </c>
      <c r="D1114" t="s">
        <v>9</v>
      </c>
      <c r="E1114">
        <v>0.42</v>
      </c>
      <c r="F1114">
        <v>1.04</v>
      </c>
      <c r="G1114">
        <v>0.19</v>
      </c>
      <c r="H1114" t="s">
        <v>13</v>
      </c>
    </row>
    <row r="1115" spans="1:8" x14ac:dyDescent="0.25">
      <c r="A1115" t="s">
        <v>14</v>
      </c>
      <c r="B1115">
        <v>100390</v>
      </c>
      <c r="C1115">
        <v>3</v>
      </c>
      <c r="D1115" t="s">
        <v>9</v>
      </c>
      <c r="E1115">
        <v>0.81</v>
      </c>
      <c r="F1115">
        <v>0.86</v>
      </c>
      <c r="G1115">
        <v>0.82</v>
      </c>
      <c r="H1115" t="s">
        <v>10</v>
      </c>
    </row>
    <row r="1116" spans="1:8" x14ac:dyDescent="0.25">
      <c r="A1116" t="s">
        <v>27</v>
      </c>
      <c r="B1116">
        <v>106019</v>
      </c>
      <c r="C1116">
        <v>26</v>
      </c>
      <c r="D1116" t="s">
        <v>9</v>
      </c>
      <c r="E1116">
        <v>0.4</v>
      </c>
      <c r="F1116">
        <v>1.1499999999999999</v>
      </c>
      <c r="G1116">
        <v>0.51</v>
      </c>
      <c r="H1116" t="s">
        <v>17</v>
      </c>
    </row>
    <row r="1117" spans="1:8" x14ac:dyDescent="0.25">
      <c r="A1117" t="s">
        <v>20</v>
      </c>
      <c r="B1117">
        <v>129878</v>
      </c>
      <c r="C1117">
        <v>15</v>
      </c>
      <c r="D1117" t="s">
        <v>28</v>
      </c>
      <c r="E1117">
        <v>0.6</v>
      </c>
      <c r="F1117">
        <v>0.66</v>
      </c>
      <c r="G1117">
        <v>0.42</v>
      </c>
      <c r="H1117" t="s">
        <v>17</v>
      </c>
    </row>
    <row r="1118" spans="1:8" x14ac:dyDescent="0.25">
      <c r="A1118" t="s">
        <v>24</v>
      </c>
      <c r="B1118">
        <v>55463</v>
      </c>
      <c r="C1118">
        <v>8</v>
      </c>
      <c r="D1118" t="s">
        <v>15</v>
      </c>
      <c r="E1118">
        <v>0.5</v>
      </c>
      <c r="F1118">
        <v>1.2</v>
      </c>
      <c r="G1118">
        <v>0.33</v>
      </c>
      <c r="H1118" t="s">
        <v>17</v>
      </c>
    </row>
    <row r="1119" spans="1:8" x14ac:dyDescent="0.25">
      <c r="A1119" t="s">
        <v>24</v>
      </c>
      <c r="B1119">
        <v>115275</v>
      </c>
      <c r="C1119">
        <v>13</v>
      </c>
      <c r="D1119" t="s">
        <v>12</v>
      </c>
      <c r="E1119">
        <v>0.6</v>
      </c>
      <c r="F1119">
        <v>1.01</v>
      </c>
      <c r="G1119">
        <v>0.31</v>
      </c>
      <c r="H1119" t="s">
        <v>17</v>
      </c>
    </row>
    <row r="1120" spans="1:8" x14ac:dyDescent="0.25">
      <c r="A1120" t="s">
        <v>29</v>
      </c>
      <c r="B1120">
        <v>81408</v>
      </c>
      <c r="C1120">
        <v>2</v>
      </c>
      <c r="D1120" t="s">
        <v>15</v>
      </c>
      <c r="E1120">
        <v>0.39</v>
      </c>
      <c r="F1120">
        <v>0.72</v>
      </c>
      <c r="G1120">
        <v>0.89</v>
      </c>
      <c r="H1120" t="s">
        <v>10</v>
      </c>
    </row>
    <row r="1121" spans="1:8" x14ac:dyDescent="0.25">
      <c r="A1121" t="s">
        <v>31</v>
      </c>
      <c r="B1121">
        <v>93305</v>
      </c>
      <c r="C1121">
        <v>29</v>
      </c>
      <c r="D1121" t="s">
        <v>15</v>
      </c>
      <c r="E1121">
        <v>0.92</v>
      </c>
      <c r="F1121">
        <v>1.17</v>
      </c>
      <c r="G1121">
        <v>0.82</v>
      </c>
      <c r="H1121" t="s">
        <v>10</v>
      </c>
    </row>
    <row r="1122" spans="1:8" x14ac:dyDescent="0.25">
      <c r="A1122" t="s">
        <v>18</v>
      </c>
      <c r="B1122">
        <v>115442</v>
      </c>
      <c r="C1122">
        <v>3</v>
      </c>
      <c r="D1122" t="s">
        <v>28</v>
      </c>
      <c r="E1122">
        <v>0.67</v>
      </c>
      <c r="F1122">
        <v>0.77</v>
      </c>
      <c r="G1122">
        <v>0.35</v>
      </c>
      <c r="H1122" t="s">
        <v>17</v>
      </c>
    </row>
    <row r="1123" spans="1:8" x14ac:dyDescent="0.25">
      <c r="A1123" t="s">
        <v>23</v>
      </c>
      <c r="B1123">
        <v>86467</v>
      </c>
      <c r="C1123">
        <v>21</v>
      </c>
      <c r="D1123" t="s">
        <v>9</v>
      </c>
      <c r="E1123">
        <v>0.37</v>
      </c>
      <c r="F1123">
        <v>0.6</v>
      </c>
      <c r="G1123">
        <v>0.76</v>
      </c>
      <c r="H1123" t="s">
        <v>10</v>
      </c>
    </row>
    <row r="1124" spans="1:8" x14ac:dyDescent="0.25">
      <c r="A1124" t="s">
        <v>14</v>
      </c>
      <c r="B1124">
        <v>87304</v>
      </c>
      <c r="C1124">
        <v>26</v>
      </c>
      <c r="D1124" t="s">
        <v>9</v>
      </c>
      <c r="E1124">
        <v>0.65</v>
      </c>
      <c r="F1124">
        <v>0.94</v>
      </c>
      <c r="G1124">
        <v>0.76</v>
      </c>
      <c r="H1124" t="s">
        <v>10</v>
      </c>
    </row>
    <row r="1125" spans="1:8" x14ac:dyDescent="0.25">
      <c r="A1125" t="s">
        <v>21</v>
      </c>
      <c r="B1125">
        <v>62734</v>
      </c>
      <c r="C1125">
        <v>29</v>
      </c>
      <c r="D1125" t="s">
        <v>12</v>
      </c>
      <c r="E1125">
        <v>0.13</v>
      </c>
      <c r="F1125">
        <v>0.62</v>
      </c>
      <c r="G1125">
        <v>0.17</v>
      </c>
      <c r="H1125" t="s">
        <v>13</v>
      </c>
    </row>
    <row r="1126" spans="1:8" x14ac:dyDescent="0.25">
      <c r="A1126" t="s">
        <v>21</v>
      </c>
      <c r="B1126">
        <v>76865</v>
      </c>
      <c r="C1126">
        <v>12</v>
      </c>
      <c r="D1126" t="s">
        <v>9</v>
      </c>
      <c r="E1126">
        <v>0.61</v>
      </c>
      <c r="F1126">
        <v>1.22</v>
      </c>
      <c r="G1126">
        <v>0.14000000000000001</v>
      </c>
      <c r="H1126" t="s">
        <v>13</v>
      </c>
    </row>
    <row r="1127" spans="1:8" x14ac:dyDescent="0.25">
      <c r="A1127" t="s">
        <v>25</v>
      </c>
      <c r="B1127">
        <v>147882</v>
      </c>
      <c r="C1127">
        <v>3</v>
      </c>
      <c r="D1127" t="s">
        <v>28</v>
      </c>
      <c r="E1127">
        <v>0.3</v>
      </c>
      <c r="F1127">
        <v>1.06</v>
      </c>
      <c r="G1127">
        <v>0.4</v>
      </c>
      <c r="H1127" t="s">
        <v>17</v>
      </c>
    </row>
    <row r="1128" spans="1:8" x14ac:dyDescent="0.25">
      <c r="A1128" t="s">
        <v>19</v>
      </c>
      <c r="B1128">
        <v>126666</v>
      </c>
      <c r="C1128">
        <v>18</v>
      </c>
      <c r="D1128" t="s">
        <v>15</v>
      </c>
      <c r="E1128">
        <v>0.57999999999999996</v>
      </c>
      <c r="F1128">
        <v>1.43</v>
      </c>
      <c r="G1128">
        <v>0.13</v>
      </c>
      <c r="H1128" t="s">
        <v>13</v>
      </c>
    </row>
    <row r="1129" spans="1:8" x14ac:dyDescent="0.25">
      <c r="A1129" t="s">
        <v>30</v>
      </c>
      <c r="B1129">
        <v>113319</v>
      </c>
      <c r="C1129">
        <v>3</v>
      </c>
      <c r="D1129" t="s">
        <v>28</v>
      </c>
      <c r="E1129">
        <v>0.14000000000000001</v>
      </c>
      <c r="F1129">
        <v>0.62</v>
      </c>
      <c r="G1129">
        <v>0.12</v>
      </c>
      <c r="H1129" t="s">
        <v>13</v>
      </c>
    </row>
    <row r="1130" spans="1:8" x14ac:dyDescent="0.25">
      <c r="A1130" t="s">
        <v>33</v>
      </c>
      <c r="B1130">
        <v>134041</v>
      </c>
      <c r="C1130">
        <v>5</v>
      </c>
      <c r="D1130" t="s">
        <v>9</v>
      </c>
      <c r="E1130">
        <v>0.91</v>
      </c>
      <c r="F1130">
        <v>1.37</v>
      </c>
      <c r="G1130">
        <v>0.16</v>
      </c>
      <c r="H1130" t="s">
        <v>13</v>
      </c>
    </row>
    <row r="1131" spans="1:8" x14ac:dyDescent="0.25">
      <c r="A1131" t="s">
        <v>21</v>
      </c>
      <c r="B1131">
        <v>43760</v>
      </c>
      <c r="C1131">
        <v>26</v>
      </c>
      <c r="D1131" t="s">
        <v>9</v>
      </c>
      <c r="E1131">
        <v>0.28999999999999998</v>
      </c>
      <c r="F1131">
        <v>0.85</v>
      </c>
      <c r="G1131">
        <v>0.17</v>
      </c>
      <c r="H1131" t="s">
        <v>13</v>
      </c>
    </row>
    <row r="1132" spans="1:8" x14ac:dyDescent="0.25">
      <c r="A1132" t="s">
        <v>18</v>
      </c>
      <c r="B1132">
        <v>118670</v>
      </c>
      <c r="C1132">
        <v>29</v>
      </c>
      <c r="D1132" t="s">
        <v>9</v>
      </c>
      <c r="E1132">
        <v>0.53</v>
      </c>
      <c r="F1132">
        <v>0.88</v>
      </c>
      <c r="G1132">
        <v>0.36</v>
      </c>
      <c r="H1132" t="s">
        <v>17</v>
      </c>
    </row>
    <row r="1133" spans="1:8" x14ac:dyDescent="0.25">
      <c r="A1133" t="s">
        <v>8</v>
      </c>
      <c r="B1133">
        <v>80806</v>
      </c>
      <c r="C1133">
        <v>19</v>
      </c>
      <c r="D1133" t="s">
        <v>9</v>
      </c>
      <c r="E1133">
        <v>0.03</v>
      </c>
      <c r="F1133">
        <v>0.84</v>
      </c>
      <c r="G1133">
        <v>0.85</v>
      </c>
      <c r="H1133" t="s">
        <v>10</v>
      </c>
    </row>
    <row r="1134" spans="1:8" x14ac:dyDescent="0.25">
      <c r="A1134" t="s">
        <v>18</v>
      </c>
      <c r="B1134">
        <v>83276</v>
      </c>
      <c r="C1134">
        <v>4</v>
      </c>
      <c r="D1134" t="s">
        <v>28</v>
      </c>
      <c r="E1134">
        <v>0.28999999999999998</v>
      </c>
      <c r="F1134">
        <v>1.48</v>
      </c>
      <c r="G1134">
        <v>0.32</v>
      </c>
      <c r="H1134" t="s">
        <v>17</v>
      </c>
    </row>
    <row r="1135" spans="1:8" x14ac:dyDescent="0.25">
      <c r="A1135" t="s">
        <v>23</v>
      </c>
      <c r="B1135">
        <v>58897</v>
      </c>
      <c r="C1135">
        <v>18</v>
      </c>
      <c r="D1135" t="s">
        <v>9</v>
      </c>
      <c r="E1135">
        <v>0.74</v>
      </c>
      <c r="F1135">
        <v>1.19</v>
      </c>
      <c r="G1135">
        <v>0.78</v>
      </c>
      <c r="H1135" t="s">
        <v>10</v>
      </c>
    </row>
    <row r="1136" spans="1:8" x14ac:dyDescent="0.25">
      <c r="A1136" t="s">
        <v>25</v>
      </c>
      <c r="B1136">
        <v>44842</v>
      </c>
      <c r="C1136">
        <v>0</v>
      </c>
      <c r="D1136" t="s">
        <v>28</v>
      </c>
      <c r="E1136">
        <v>0.2</v>
      </c>
      <c r="F1136">
        <v>1.45</v>
      </c>
      <c r="G1136">
        <v>0.33</v>
      </c>
      <c r="H1136" t="s">
        <v>17</v>
      </c>
    </row>
    <row r="1137" spans="1:8" x14ac:dyDescent="0.25">
      <c r="A1137" t="s">
        <v>14</v>
      </c>
      <c r="B1137">
        <v>115984</v>
      </c>
      <c r="C1137">
        <v>27</v>
      </c>
      <c r="D1137" t="s">
        <v>28</v>
      </c>
      <c r="E1137">
        <v>0.31</v>
      </c>
      <c r="F1137">
        <v>1.1000000000000001</v>
      </c>
      <c r="G1137">
        <v>0.76</v>
      </c>
      <c r="H1137" t="s">
        <v>10</v>
      </c>
    </row>
    <row r="1138" spans="1:8" x14ac:dyDescent="0.25">
      <c r="A1138" t="s">
        <v>24</v>
      </c>
      <c r="B1138">
        <v>105664</v>
      </c>
      <c r="C1138">
        <v>4</v>
      </c>
      <c r="D1138" t="s">
        <v>12</v>
      </c>
      <c r="E1138">
        <v>0.24</v>
      </c>
      <c r="F1138">
        <v>1.46</v>
      </c>
      <c r="G1138">
        <v>0.6</v>
      </c>
      <c r="H1138" t="s">
        <v>17</v>
      </c>
    </row>
    <row r="1139" spans="1:8" x14ac:dyDescent="0.25">
      <c r="A1139" t="s">
        <v>21</v>
      </c>
      <c r="B1139">
        <v>130777</v>
      </c>
      <c r="C1139">
        <v>22</v>
      </c>
      <c r="D1139" t="s">
        <v>12</v>
      </c>
      <c r="E1139">
        <v>0.56999999999999995</v>
      </c>
      <c r="F1139">
        <v>1.22</v>
      </c>
      <c r="G1139">
        <v>0.24</v>
      </c>
      <c r="H1139" t="s">
        <v>13</v>
      </c>
    </row>
    <row r="1140" spans="1:8" x14ac:dyDescent="0.25">
      <c r="A1140" t="s">
        <v>30</v>
      </c>
      <c r="B1140">
        <v>82723</v>
      </c>
      <c r="C1140">
        <v>29</v>
      </c>
      <c r="D1140" t="s">
        <v>12</v>
      </c>
      <c r="E1140">
        <v>0.04</v>
      </c>
      <c r="F1140">
        <v>0.84</v>
      </c>
      <c r="G1140">
        <v>0.15</v>
      </c>
      <c r="H1140" t="s">
        <v>13</v>
      </c>
    </row>
    <row r="1141" spans="1:8" x14ac:dyDescent="0.25">
      <c r="A1141" t="s">
        <v>22</v>
      </c>
      <c r="B1141">
        <v>104039</v>
      </c>
      <c r="C1141">
        <v>5</v>
      </c>
      <c r="D1141" t="s">
        <v>15</v>
      </c>
      <c r="E1141">
        <v>0.81</v>
      </c>
      <c r="F1141">
        <v>1.01</v>
      </c>
      <c r="G1141">
        <v>0.57999999999999996</v>
      </c>
      <c r="H1141" t="s">
        <v>17</v>
      </c>
    </row>
    <row r="1142" spans="1:8" x14ac:dyDescent="0.25">
      <c r="A1142" t="s">
        <v>20</v>
      </c>
      <c r="B1142">
        <v>33974</v>
      </c>
      <c r="C1142">
        <v>17</v>
      </c>
      <c r="D1142" t="s">
        <v>9</v>
      </c>
      <c r="E1142">
        <v>0.57999999999999996</v>
      </c>
      <c r="F1142">
        <v>0.89</v>
      </c>
      <c r="G1142">
        <v>0.34</v>
      </c>
      <c r="H1142" t="s">
        <v>17</v>
      </c>
    </row>
    <row r="1143" spans="1:8" x14ac:dyDescent="0.25">
      <c r="A1143" t="s">
        <v>14</v>
      </c>
      <c r="B1143">
        <v>148821</v>
      </c>
      <c r="C1143">
        <v>24</v>
      </c>
      <c r="D1143" t="s">
        <v>9</v>
      </c>
      <c r="E1143">
        <v>0.62</v>
      </c>
      <c r="F1143">
        <v>1.26</v>
      </c>
      <c r="G1143">
        <v>0.91</v>
      </c>
      <c r="H1143" t="s">
        <v>10</v>
      </c>
    </row>
    <row r="1144" spans="1:8" x14ac:dyDescent="0.25">
      <c r="A1144" t="s">
        <v>14</v>
      </c>
      <c r="B1144">
        <v>51944</v>
      </c>
      <c r="C1144">
        <v>1</v>
      </c>
      <c r="D1144" t="s">
        <v>15</v>
      </c>
      <c r="E1144">
        <v>7.0000000000000007E-2</v>
      </c>
      <c r="F1144">
        <v>0.7</v>
      </c>
      <c r="G1144">
        <v>0.72</v>
      </c>
      <c r="H1144" t="s">
        <v>10</v>
      </c>
    </row>
    <row r="1145" spans="1:8" x14ac:dyDescent="0.25">
      <c r="A1145" t="s">
        <v>14</v>
      </c>
      <c r="B1145">
        <v>127065</v>
      </c>
      <c r="C1145">
        <v>3</v>
      </c>
      <c r="D1145" t="s">
        <v>9</v>
      </c>
      <c r="E1145">
        <v>0.56000000000000005</v>
      </c>
      <c r="F1145">
        <v>0.75</v>
      </c>
      <c r="G1145">
        <v>0.76</v>
      </c>
      <c r="H1145" t="s">
        <v>10</v>
      </c>
    </row>
    <row r="1146" spans="1:8" x14ac:dyDescent="0.25">
      <c r="A1146" t="s">
        <v>8</v>
      </c>
      <c r="B1146">
        <v>130874</v>
      </c>
      <c r="C1146">
        <v>25</v>
      </c>
      <c r="D1146" t="s">
        <v>15</v>
      </c>
      <c r="E1146">
        <v>0.88</v>
      </c>
      <c r="F1146">
        <v>1.48</v>
      </c>
      <c r="G1146">
        <v>0.82</v>
      </c>
      <c r="H1146" t="s">
        <v>10</v>
      </c>
    </row>
    <row r="1147" spans="1:8" x14ac:dyDescent="0.25">
      <c r="A1147" t="s">
        <v>18</v>
      </c>
      <c r="B1147">
        <v>41039</v>
      </c>
      <c r="C1147">
        <v>9</v>
      </c>
      <c r="D1147" t="s">
        <v>12</v>
      </c>
      <c r="E1147">
        <v>0.05</v>
      </c>
      <c r="F1147">
        <v>0.66</v>
      </c>
      <c r="G1147">
        <v>0.46</v>
      </c>
      <c r="H1147" t="s">
        <v>17</v>
      </c>
    </row>
    <row r="1148" spans="1:8" x14ac:dyDescent="0.25">
      <c r="A1148" t="s">
        <v>20</v>
      </c>
      <c r="B1148">
        <v>102816</v>
      </c>
      <c r="C1148">
        <v>5</v>
      </c>
      <c r="D1148" t="s">
        <v>28</v>
      </c>
      <c r="E1148">
        <v>0.91</v>
      </c>
      <c r="F1148">
        <v>0.73</v>
      </c>
      <c r="G1148">
        <v>0.57999999999999996</v>
      </c>
      <c r="H1148" t="s">
        <v>17</v>
      </c>
    </row>
    <row r="1149" spans="1:8" x14ac:dyDescent="0.25">
      <c r="A1149" t="s">
        <v>26</v>
      </c>
      <c r="B1149">
        <v>133722</v>
      </c>
      <c r="C1149">
        <v>9</v>
      </c>
      <c r="D1149" t="s">
        <v>28</v>
      </c>
      <c r="E1149">
        <v>0.31</v>
      </c>
      <c r="F1149">
        <v>0.65</v>
      </c>
      <c r="G1149">
        <v>0.47</v>
      </c>
      <c r="H1149" t="s">
        <v>17</v>
      </c>
    </row>
    <row r="1150" spans="1:8" x14ac:dyDescent="0.25">
      <c r="A1150" t="s">
        <v>23</v>
      </c>
      <c r="B1150">
        <v>136657</v>
      </c>
      <c r="C1150">
        <v>8</v>
      </c>
      <c r="D1150" t="s">
        <v>12</v>
      </c>
      <c r="E1150">
        <v>0.16</v>
      </c>
      <c r="F1150">
        <v>0.69</v>
      </c>
      <c r="G1150">
        <v>0.93</v>
      </c>
      <c r="H1150" t="s">
        <v>10</v>
      </c>
    </row>
    <row r="1151" spans="1:8" x14ac:dyDescent="0.25">
      <c r="A1151" t="s">
        <v>33</v>
      </c>
      <c r="B1151">
        <v>135817</v>
      </c>
      <c r="C1151">
        <v>9</v>
      </c>
      <c r="D1151" t="s">
        <v>15</v>
      </c>
      <c r="E1151">
        <v>0.82</v>
      </c>
      <c r="F1151">
        <v>1.1399999999999999</v>
      </c>
      <c r="G1151">
        <v>0.11</v>
      </c>
      <c r="H1151" t="s">
        <v>13</v>
      </c>
    </row>
    <row r="1152" spans="1:8" x14ac:dyDescent="0.25">
      <c r="A1152" t="s">
        <v>16</v>
      </c>
      <c r="B1152">
        <v>93483</v>
      </c>
      <c r="C1152">
        <v>25</v>
      </c>
      <c r="D1152" t="s">
        <v>12</v>
      </c>
      <c r="E1152">
        <v>0.25</v>
      </c>
      <c r="F1152">
        <v>0.68</v>
      </c>
      <c r="G1152">
        <v>0.48</v>
      </c>
      <c r="H1152" t="s">
        <v>17</v>
      </c>
    </row>
    <row r="1153" spans="1:8" x14ac:dyDescent="0.25">
      <c r="A1153" t="s">
        <v>29</v>
      </c>
      <c r="B1153">
        <v>111165</v>
      </c>
      <c r="C1153">
        <v>4</v>
      </c>
      <c r="D1153" t="s">
        <v>12</v>
      </c>
      <c r="E1153">
        <v>0.99</v>
      </c>
      <c r="F1153">
        <v>1.18</v>
      </c>
      <c r="G1153">
        <v>0.93</v>
      </c>
      <c r="H1153" t="s">
        <v>10</v>
      </c>
    </row>
    <row r="1154" spans="1:8" x14ac:dyDescent="0.25">
      <c r="A1154" t="s">
        <v>26</v>
      </c>
      <c r="B1154">
        <v>73815</v>
      </c>
      <c r="C1154">
        <v>28</v>
      </c>
      <c r="D1154" t="s">
        <v>12</v>
      </c>
      <c r="E1154">
        <v>0.26</v>
      </c>
      <c r="F1154">
        <v>0.73</v>
      </c>
      <c r="G1154">
        <v>0.46</v>
      </c>
      <c r="H1154" t="s">
        <v>17</v>
      </c>
    </row>
    <row r="1155" spans="1:8" x14ac:dyDescent="0.25">
      <c r="A1155" t="s">
        <v>14</v>
      </c>
      <c r="B1155">
        <v>40244</v>
      </c>
      <c r="C1155">
        <v>20</v>
      </c>
      <c r="D1155" t="s">
        <v>12</v>
      </c>
      <c r="E1155">
        <v>0.62</v>
      </c>
      <c r="F1155">
        <v>1.07</v>
      </c>
      <c r="G1155">
        <v>0.74</v>
      </c>
      <c r="H1155" t="s">
        <v>10</v>
      </c>
    </row>
    <row r="1156" spans="1:8" x14ac:dyDescent="0.25">
      <c r="A1156" t="s">
        <v>26</v>
      </c>
      <c r="B1156">
        <v>116483</v>
      </c>
      <c r="C1156">
        <v>5</v>
      </c>
      <c r="D1156" t="s">
        <v>15</v>
      </c>
      <c r="E1156">
        <v>0.28999999999999998</v>
      </c>
      <c r="F1156">
        <v>0.66</v>
      </c>
      <c r="G1156">
        <v>0.57999999999999996</v>
      </c>
      <c r="H1156" t="s">
        <v>17</v>
      </c>
    </row>
    <row r="1157" spans="1:8" x14ac:dyDescent="0.25">
      <c r="A1157" t="s">
        <v>26</v>
      </c>
      <c r="B1157">
        <v>149346</v>
      </c>
      <c r="C1157">
        <v>28</v>
      </c>
      <c r="D1157" t="s">
        <v>15</v>
      </c>
      <c r="E1157">
        <v>0.32</v>
      </c>
      <c r="F1157">
        <v>1.1000000000000001</v>
      </c>
      <c r="G1157">
        <v>0.46</v>
      </c>
      <c r="H1157" t="s">
        <v>17</v>
      </c>
    </row>
    <row r="1158" spans="1:8" x14ac:dyDescent="0.25">
      <c r="A1158" t="s">
        <v>24</v>
      </c>
      <c r="B1158">
        <v>104399</v>
      </c>
      <c r="C1158">
        <v>19</v>
      </c>
      <c r="D1158" t="s">
        <v>12</v>
      </c>
      <c r="E1158">
        <v>0.66</v>
      </c>
      <c r="F1158">
        <v>1.1000000000000001</v>
      </c>
      <c r="G1158">
        <v>0.47</v>
      </c>
      <c r="H1158" t="s">
        <v>17</v>
      </c>
    </row>
    <row r="1159" spans="1:8" x14ac:dyDescent="0.25">
      <c r="A1159" t="s">
        <v>20</v>
      </c>
      <c r="B1159">
        <v>92327</v>
      </c>
      <c r="C1159">
        <v>4</v>
      </c>
      <c r="D1159" t="s">
        <v>15</v>
      </c>
      <c r="E1159">
        <v>0.53</v>
      </c>
      <c r="F1159">
        <v>0.68</v>
      </c>
      <c r="G1159">
        <v>0.55000000000000004</v>
      </c>
      <c r="H1159" t="s">
        <v>17</v>
      </c>
    </row>
    <row r="1160" spans="1:8" x14ac:dyDescent="0.25">
      <c r="A1160" t="s">
        <v>21</v>
      </c>
      <c r="B1160">
        <v>111399</v>
      </c>
      <c r="C1160">
        <v>1</v>
      </c>
      <c r="D1160" t="s">
        <v>12</v>
      </c>
      <c r="E1160">
        <v>0.2</v>
      </c>
      <c r="F1160">
        <v>1.31</v>
      </c>
      <c r="G1160">
        <v>0.26</v>
      </c>
      <c r="H1160" t="s">
        <v>13</v>
      </c>
    </row>
    <row r="1161" spans="1:8" x14ac:dyDescent="0.25">
      <c r="A1161" t="s">
        <v>21</v>
      </c>
      <c r="B1161">
        <v>114267</v>
      </c>
      <c r="C1161">
        <v>28</v>
      </c>
      <c r="D1161" t="s">
        <v>12</v>
      </c>
      <c r="E1161">
        <v>0.59</v>
      </c>
      <c r="F1161">
        <v>0.79</v>
      </c>
      <c r="G1161">
        <v>0.09</v>
      </c>
      <c r="H1161" t="s">
        <v>13</v>
      </c>
    </row>
    <row r="1162" spans="1:8" x14ac:dyDescent="0.25">
      <c r="A1162" t="s">
        <v>31</v>
      </c>
      <c r="B1162">
        <v>93537</v>
      </c>
      <c r="C1162">
        <v>18</v>
      </c>
      <c r="D1162" t="s">
        <v>15</v>
      </c>
      <c r="E1162">
        <v>0.95</v>
      </c>
      <c r="F1162">
        <v>1.3</v>
      </c>
      <c r="G1162">
        <v>0.75</v>
      </c>
      <c r="H1162" t="s">
        <v>10</v>
      </c>
    </row>
    <row r="1163" spans="1:8" x14ac:dyDescent="0.25">
      <c r="A1163" t="s">
        <v>32</v>
      </c>
      <c r="B1163">
        <v>144147</v>
      </c>
      <c r="C1163">
        <v>11</v>
      </c>
      <c r="D1163" t="s">
        <v>28</v>
      </c>
      <c r="E1163">
        <v>0.1</v>
      </c>
      <c r="F1163">
        <v>1.1000000000000001</v>
      </c>
      <c r="G1163">
        <v>0.42</v>
      </c>
      <c r="H1163" t="s">
        <v>17</v>
      </c>
    </row>
    <row r="1164" spans="1:8" x14ac:dyDescent="0.25">
      <c r="A1164" t="s">
        <v>14</v>
      </c>
      <c r="B1164">
        <v>126172</v>
      </c>
      <c r="C1164">
        <v>19</v>
      </c>
      <c r="D1164" t="s">
        <v>9</v>
      </c>
      <c r="E1164">
        <v>0.18</v>
      </c>
      <c r="F1164">
        <v>0.51</v>
      </c>
      <c r="G1164">
        <v>0.8</v>
      </c>
      <c r="H1164" t="s">
        <v>10</v>
      </c>
    </row>
    <row r="1165" spans="1:8" x14ac:dyDescent="0.25">
      <c r="A1165" t="s">
        <v>16</v>
      </c>
      <c r="B1165">
        <v>108267</v>
      </c>
      <c r="C1165">
        <v>16</v>
      </c>
      <c r="D1165" t="s">
        <v>28</v>
      </c>
      <c r="E1165">
        <v>0.03</v>
      </c>
      <c r="F1165">
        <v>0.86</v>
      </c>
      <c r="G1165">
        <v>0.6</v>
      </c>
      <c r="H1165" t="s">
        <v>17</v>
      </c>
    </row>
    <row r="1166" spans="1:8" x14ac:dyDescent="0.25">
      <c r="A1166" t="s">
        <v>29</v>
      </c>
      <c r="B1166">
        <v>56013</v>
      </c>
      <c r="C1166">
        <v>0</v>
      </c>
      <c r="D1166" t="s">
        <v>15</v>
      </c>
      <c r="E1166">
        <v>0.76</v>
      </c>
      <c r="F1166">
        <v>1.42</v>
      </c>
      <c r="G1166">
        <v>0.76</v>
      </c>
      <c r="H1166" t="s">
        <v>10</v>
      </c>
    </row>
    <row r="1167" spans="1:8" x14ac:dyDescent="0.25">
      <c r="A1167" t="s">
        <v>32</v>
      </c>
      <c r="B1167">
        <v>43829</v>
      </c>
      <c r="C1167">
        <v>14</v>
      </c>
      <c r="D1167" t="s">
        <v>28</v>
      </c>
      <c r="E1167">
        <v>0.14000000000000001</v>
      </c>
      <c r="F1167">
        <v>1.34</v>
      </c>
      <c r="G1167">
        <v>0.49</v>
      </c>
      <c r="H1167" t="s">
        <v>17</v>
      </c>
    </row>
    <row r="1168" spans="1:8" x14ac:dyDescent="0.25">
      <c r="A1168" t="s">
        <v>8</v>
      </c>
      <c r="B1168">
        <v>42391</v>
      </c>
      <c r="C1168">
        <v>10</v>
      </c>
      <c r="D1168" t="s">
        <v>15</v>
      </c>
      <c r="E1168">
        <v>0.87</v>
      </c>
      <c r="F1168">
        <v>1.03</v>
      </c>
      <c r="G1168">
        <v>0.79</v>
      </c>
      <c r="H1168" t="s">
        <v>10</v>
      </c>
    </row>
    <row r="1169" spans="1:8" x14ac:dyDescent="0.25">
      <c r="A1169" t="s">
        <v>21</v>
      </c>
      <c r="B1169">
        <v>55123</v>
      </c>
      <c r="C1169">
        <v>8</v>
      </c>
      <c r="D1169" t="s">
        <v>9</v>
      </c>
      <c r="E1169">
        <v>0.75</v>
      </c>
      <c r="F1169">
        <v>1.45</v>
      </c>
      <c r="G1169">
        <v>0.17</v>
      </c>
      <c r="H1169" t="s">
        <v>13</v>
      </c>
    </row>
    <row r="1170" spans="1:8" x14ac:dyDescent="0.25">
      <c r="A1170" t="s">
        <v>27</v>
      </c>
      <c r="B1170">
        <v>147420</v>
      </c>
      <c r="C1170">
        <v>27</v>
      </c>
      <c r="D1170" t="s">
        <v>12</v>
      </c>
      <c r="E1170">
        <v>0.59</v>
      </c>
      <c r="F1170">
        <v>1.03</v>
      </c>
      <c r="G1170">
        <v>0.68</v>
      </c>
      <c r="H1170" t="s">
        <v>17</v>
      </c>
    </row>
    <row r="1171" spans="1:8" x14ac:dyDescent="0.25">
      <c r="A1171" t="s">
        <v>26</v>
      </c>
      <c r="B1171">
        <v>120299</v>
      </c>
      <c r="C1171">
        <v>5</v>
      </c>
      <c r="D1171" t="s">
        <v>15</v>
      </c>
      <c r="E1171">
        <v>0.16</v>
      </c>
      <c r="F1171">
        <v>0.85</v>
      </c>
      <c r="G1171">
        <v>0.63</v>
      </c>
      <c r="H1171" t="s">
        <v>17</v>
      </c>
    </row>
    <row r="1172" spans="1:8" x14ac:dyDescent="0.25">
      <c r="A1172" t="s">
        <v>22</v>
      </c>
      <c r="B1172">
        <v>69140</v>
      </c>
      <c r="C1172">
        <v>2</v>
      </c>
      <c r="D1172" t="s">
        <v>12</v>
      </c>
      <c r="E1172">
        <v>0.59</v>
      </c>
      <c r="F1172">
        <v>0.88</v>
      </c>
      <c r="G1172">
        <v>0.43</v>
      </c>
      <c r="H1172" t="s">
        <v>17</v>
      </c>
    </row>
    <row r="1173" spans="1:8" x14ac:dyDescent="0.25">
      <c r="A1173" t="s">
        <v>29</v>
      </c>
      <c r="B1173">
        <v>113698</v>
      </c>
      <c r="C1173">
        <v>3</v>
      </c>
      <c r="D1173" t="s">
        <v>12</v>
      </c>
      <c r="E1173">
        <v>0.84</v>
      </c>
      <c r="F1173">
        <v>1.08</v>
      </c>
      <c r="G1173">
        <v>0.92</v>
      </c>
      <c r="H1173" t="s">
        <v>10</v>
      </c>
    </row>
    <row r="1174" spans="1:8" x14ac:dyDescent="0.25">
      <c r="A1174" t="s">
        <v>31</v>
      </c>
      <c r="B1174">
        <v>75939</v>
      </c>
      <c r="C1174">
        <v>26</v>
      </c>
      <c r="D1174" t="s">
        <v>15</v>
      </c>
      <c r="E1174">
        <v>7.0000000000000007E-2</v>
      </c>
      <c r="F1174">
        <v>1.1200000000000001</v>
      </c>
      <c r="G1174">
        <v>0.94</v>
      </c>
      <c r="H1174" t="s">
        <v>10</v>
      </c>
    </row>
    <row r="1175" spans="1:8" x14ac:dyDescent="0.25">
      <c r="A1175" t="s">
        <v>31</v>
      </c>
      <c r="B1175">
        <v>54180</v>
      </c>
      <c r="C1175">
        <v>13</v>
      </c>
      <c r="D1175" t="s">
        <v>28</v>
      </c>
      <c r="E1175">
        <v>0.06</v>
      </c>
      <c r="F1175">
        <v>1.41</v>
      </c>
      <c r="G1175">
        <v>0.84</v>
      </c>
      <c r="H1175" t="s">
        <v>10</v>
      </c>
    </row>
    <row r="1176" spans="1:8" x14ac:dyDescent="0.25">
      <c r="A1176" t="s">
        <v>33</v>
      </c>
      <c r="B1176">
        <v>125941</v>
      </c>
      <c r="C1176">
        <v>7</v>
      </c>
      <c r="D1176" t="s">
        <v>9</v>
      </c>
      <c r="E1176">
        <v>0.24</v>
      </c>
      <c r="F1176">
        <v>0.95</v>
      </c>
      <c r="G1176">
        <v>0.08</v>
      </c>
      <c r="H1176" t="s">
        <v>13</v>
      </c>
    </row>
    <row r="1177" spans="1:8" x14ac:dyDescent="0.25">
      <c r="A1177" t="s">
        <v>14</v>
      </c>
      <c r="B1177">
        <v>42003</v>
      </c>
      <c r="C1177">
        <v>4</v>
      </c>
      <c r="D1177" t="s">
        <v>9</v>
      </c>
      <c r="E1177">
        <v>0.63</v>
      </c>
      <c r="F1177">
        <v>1.31</v>
      </c>
      <c r="G1177">
        <v>0.91</v>
      </c>
      <c r="H1177" t="s">
        <v>10</v>
      </c>
    </row>
    <row r="1178" spans="1:8" x14ac:dyDescent="0.25">
      <c r="A1178" t="s">
        <v>19</v>
      </c>
      <c r="B1178">
        <v>46915</v>
      </c>
      <c r="C1178">
        <v>29</v>
      </c>
      <c r="D1178" t="s">
        <v>9</v>
      </c>
      <c r="E1178">
        <v>0.53</v>
      </c>
      <c r="F1178">
        <v>1.35</v>
      </c>
      <c r="G1178">
        <v>0.18</v>
      </c>
      <c r="H1178" t="s">
        <v>13</v>
      </c>
    </row>
    <row r="1179" spans="1:8" x14ac:dyDescent="0.25">
      <c r="A1179" t="s">
        <v>19</v>
      </c>
      <c r="B1179">
        <v>59179</v>
      </c>
      <c r="C1179">
        <v>21</v>
      </c>
      <c r="D1179" t="s">
        <v>15</v>
      </c>
      <c r="E1179">
        <v>0.19</v>
      </c>
      <c r="F1179">
        <v>1.37</v>
      </c>
      <c r="G1179">
        <v>0.08</v>
      </c>
      <c r="H1179" t="s">
        <v>13</v>
      </c>
    </row>
    <row r="1180" spans="1:8" x14ac:dyDescent="0.25">
      <c r="A1180" t="s">
        <v>18</v>
      </c>
      <c r="B1180">
        <v>119257</v>
      </c>
      <c r="C1180">
        <v>5</v>
      </c>
      <c r="D1180" t="s">
        <v>28</v>
      </c>
      <c r="E1180">
        <v>0.22</v>
      </c>
      <c r="F1180">
        <v>0.65</v>
      </c>
      <c r="G1180">
        <v>0.42</v>
      </c>
      <c r="H1180" t="s">
        <v>17</v>
      </c>
    </row>
    <row r="1181" spans="1:8" x14ac:dyDescent="0.25">
      <c r="A1181" t="s">
        <v>34</v>
      </c>
      <c r="B1181">
        <v>113994</v>
      </c>
      <c r="C1181">
        <v>8</v>
      </c>
      <c r="D1181" t="s">
        <v>15</v>
      </c>
      <c r="E1181">
        <v>0.85</v>
      </c>
      <c r="F1181">
        <v>1.1299999999999999</v>
      </c>
      <c r="G1181">
        <v>0.56000000000000005</v>
      </c>
      <c r="H1181" t="s">
        <v>17</v>
      </c>
    </row>
    <row r="1182" spans="1:8" x14ac:dyDescent="0.25">
      <c r="A1182" t="s">
        <v>30</v>
      </c>
      <c r="B1182">
        <v>88742</v>
      </c>
      <c r="C1182">
        <v>5</v>
      </c>
      <c r="D1182" t="s">
        <v>28</v>
      </c>
      <c r="E1182">
        <v>0.68</v>
      </c>
      <c r="F1182">
        <v>1.46</v>
      </c>
      <c r="G1182">
        <v>0.1</v>
      </c>
      <c r="H1182" t="s">
        <v>13</v>
      </c>
    </row>
    <row r="1183" spans="1:8" x14ac:dyDescent="0.25">
      <c r="A1183" t="s">
        <v>18</v>
      </c>
      <c r="B1183">
        <v>65963</v>
      </c>
      <c r="C1183">
        <v>15</v>
      </c>
      <c r="D1183" t="s">
        <v>9</v>
      </c>
      <c r="E1183">
        <v>0.18</v>
      </c>
      <c r="F1183">
        <v>0.82</v>
      </c>
      <c r="G1183">
        <v>0.32</v>
      </c>
      <c r="H1183" t="s">
        <v>17</v>
      </c>
    </row>
    <row r="1184" spans="1:8" x14ac:dyDescent="0.25">
      <c r="A1184" t="s">
        <v>22</v>
      </c>
      <c r="B1184">
        <v>128770</v>
      </c>
      <c r="C1184">
        <v>11</v>
      </c>
      <c r="D1184" t="s">
        <v>28</v>
      </c>
      <c r="E1184">
        <v>0.15</v>
      </c>
      <c r="F1184">
        <v>1.1100000000000001</v>
      </c>
      <c r="G1184">
        <v>0.5</v>
      </c>
      <c r="H1184" t="s">
        <v>17</v>
      </c>
    </row>
    <row r="1185" spans="1:8" x14ac:dyDescent="0.25">
      <c r="A1185" t="s">
        <v>32</v>
      </c>
      <c r="B1185">
        <v>61977</v>
      </c>
      <c r="C1185">
        <v>24</v>
      </c>
      <c r="D1185" t="s">
        <v>12</v>
      </c>
      <c r="E1185">
        <v>0.5</v>
      </c>
      <c r="F1185">
        <v>1.48</v>
      </c>
      <c r="G1185">
        <v>0.68</v>
      </c>
      <c r="H1185" t="s">
        <v>17</v>
      </c>
    </row>
    <row r="1186" spans="1:8" x14ac:dyDescent="0.25">
      <c r="A1186" t="s">
        <v>24</v>
      </c>
      <c r="B1186">
        <v>86195</v>
      </c>
      <c r="C1186">
        <v>10</v>
      </c>
      <c r="D1186" t="s">
        <v>28</v>
      </c>
      <c r="E1186">
        <v>0.22</v>
      </c>
      <c r="F1186">
        <v>0.52</v>
      </c>
      <c r="G1186">
        <v>0.6</v>
      </c>
      <c r="H1186" t="s">
        <v>17</v>
      </c>
    </row>
    <row r="1187" spans="1:8" x14ac:dyDescent="0.25">
      <c r="A1187" t="s">
        <v>27</v>
      </c>
      <c r="B1187">
        <v>35136</v>
      </c>
      <c r="C1187">
        <v>17</v>
      </c>
      <c r="D1187" t="s">
        <v>9</v>
      </c>
      <c r="E1187">
        <v>1</v>
      </c>
      <c r="F1187">
        <v>1.25</v>
      </c>
      <c r="G1187">
        <v>0.55000000000000004</v>
      </c>
      <c r="H1187" t="s">
        <v>17</v>
      </c>
    </row>
    <row r="1188" spans="1:8" x14ac:dyDescent="0.25">
      <c r="A1188" t="s">
        <v>20</v>
      </c>
      <c r="B1188">
        <v>139950</v>
      </c>
      <c r="C1188">
        <v>28</v>
      </c>
      <c r="D1188" t="s">
        <v>9</v>
      </c>
      <c r="E1188">
        <v>0.3</v>
      </c>
      <c r="F1188">
        <v>1.08</v>
      </c>
      <c r="G1188">
        <v>0.52</v>
      </c>
      <c r="H1188" t="s">
        <v>17</v>
      </c>
    </row>
    <row r="1189" spans="1:8" x14ac:dyDescent="0.25">
      <c r="A1189" t="s">
        <v>24</v>
      </c>
      <c r="B1189">
        <v>133488</v>
      </c>
      <c r="C1189">
        <v>28</v>
      </c>
      <c r="D1189" t="s">
        <v>12</v>
      </c>
      <c r="E1189">
        <v>0.85</v>
      </c>
      <c r="F1189">
        <v>0.56000000000000005</v>
      </c>
      <c r="G1189">
        <v>0.36</v>
      </c>
      <c r="H1189" t="s">
        <v>17</v>
      </c>
    </row>
    <row r="1190" spans="1:8" x14ac:dyDescent="0.25">
      <c r="A1190" t="s">
        <v>30</v>
      </c>
      <c r="B1190">
        <v>87251</v>
      </c>
      <c r="C1190">
        <v>29</v>
      </c>
      <c r="D1190" t="s">
        <v>12</v>
      </c>
      <c r="E1190">
        <v>0.96</v>
      </c>
      <c r="F1190">
        <v>1.43</v>
      </c>
      <c r="G1190">
        <v>0.12</v>
      </c>
      <c r="H1190" t="s">
        <v>13</v>
      </c>
    </row>
    <row r="1191" spans="1:8" x14ac:dyDescent="0.25">
      <c r="A1191" t="s">
        <v>31</v>
      </c>
      <c r="B1191">
        <v>48456</v>
      </c>
      <c r="C1191">
        <v>27</v>
      </c>
      <c r="D1191" t="s">
        <v>9</v>
      </c>
      <c r="E1191">
        <v>0.79</v>
      </c>
      <c r="F1191">
        <v>1.03</v>
      </c>
      <c r="G1191">
        <v>0.84</v>
      </c>
      <c r="H1191" t="s">
        <v>10</v>
      </c>
    </row>
    <row r="1192" spans="1:8" x14ac:dyDescent="0.25">
      <c r="A1192" t="s">
        <v>14</v>
      </c>
      <c r="B1192">
        <v>134042</v>
      </c>
      <c r="C1192">
        <v>12</v>
      </c>
      <c r="D1192" t="s">
        <v>15</v>
      </c>
      <c r="E1192">
        <v>0.79</v>
      </c>
      <c r="F1192">
        <v>1.41</v>
      </c>
      <c r="G1192">
        <v>0.75</v>
      </c>
      <c r="H1192" t="s">
        <v>10</v>
      </c>
    </row>
    <row r="1193" spans="1:8" x14ac:dyDescent="0.25">
      <c r="A1193" t="s">
        <v>16</v>
      </c>
      <c r="B1193">
        <v>42054</v>
      </c>
      <c r="C1193">
        <v>7</v>
      </c>
      <c r="D1193" t="s">
        <v>28</v>
      </c>
      <c r="E1193">
        <v>0.43</v>
      </c>
      <c r="F1193">
        <v>1.4</v>
      </c>
      <c r="G1193">
        <v>0.51</v>
      </c>
      <c r="H1193" t="s">
        <v>17</v>
      </c>
    </row>
    <row r="1194" spans="1:8" x14ac:dyDescent="0.25">
      <c r="A1194" t="s">
        <v>19</v>
      </c>
      <c r="B1194">
        <v>73441</v>
      </c>
      <c r="C1194">
        <v>18</v>
      </c>
      <c r="D1194" t="s">
        <v>12</v>
      </c>
      <c r="E1194">
        <v>0.86</v>
      </c>
      <c r="F1194">
        <v>1.39</v>
      </c>
      <c r="G1194">
        <v>0.21</v>
      </c>
      <c r="H1194" t="s">
        <v>13</v>
      </c>
    </row>
    <row r="1195" spans="1:8" x14ac:dyDescent="0.25">
      <c r="A1195" t="s">
        <v>34</v>
      </c>
      <c r="B1195">
        <v>80321</v>
      </c>
      <c r="C1195">
        <v>27</v>
      </c>
      <c r="D1195" t="s">
        <v>15</v>
      </c>
      <c r="E1195">
        <v>0.28999999999999998</v>
      </c>
      <c r="F1195">
        <v>1.1000000000000001</v>
      </c>
      <c r="G1195">
        <v>0.37</v>
      </c>
      <c r="H1195" t="s">
        <v>17</v>
      </c>
    </row>
    <row r="1196" spans="1:8" x14ac:dyDescent="0.25">
      <c r="A1196" t="s">
        <v>26</v>
      </c>
      <c r="B1196">
        <v>94566</v>
      </c>
      <c r="C1196">
        <v>27</v>
      </c>
      <c r="D1196" t="s">
        <v>28</v>
      </c>
      <c r="E1196">
        <v>0.31</v>
      </c>
      <c r="F1196">
        <v>1.01</v>
      </c>
      <c r="G1196">
        <v>0.53</v>
      </c>
      <c r="H1196" t="s">
        <v>17</v>
      </c>
    </row>
    <row r="1197" spans="1:8" x14ac:dyDescent="0.25">
      <c r="A1197" t="s">
        <v>22</v>
      </c>
      <c r="B1197">
        <v>42857</v>
      </c>
      <c r="C1197">
        <v>5</v>
      </c>
      <c r="D1197" t="s">
        <v>9</v>
      </c>
      <c r="E1197">
        <v>0.76</v>
      </c>
      <c r="F1197">
        <v>1.02</v>
      </c>
      <c r="G1197">
        <v>0.56000000000000005</v>
      </c>
      <c r="H1197" t="s">
        <v>17</v>
      </c>
    </row>
    <row r="1198" spans="1:8" x14ac:dyDescent="0.25">
      <c r="A1198" t="s">
        <v>30</v>
      </c>
      <c r="B1198">
        <v>114271</v>
      </c>
      <c r="C1198">
        <v>7</v>
      </c>
      <c r="D1198" t="s">
        <v>28</v>
      </c>
      <c r="E1198">
        <v>0.12</v>
      </c>
      <c r="F1198">
        <v>1.27</v>
      </c>
      <c r="G1198">
        <v>7.0000000000000007E-2</v>
      </c>
      <c r="H1198" t="s">
        <v>13</v>
      </c>
    </row>
    <row r="1199" spans="1:8" x14ac:dyDescent="0.25">
      <c r="A1199" t="s">
        <v>24</v>
      </c>
      <c r="B1199">
        <v>104745</v>
      </c>
      <c r="C1199">
        <v>20</v>
      </c>
      <c r="D1199" t="s">
        <v>15</v>
      </c>
      <c r="E1199">
        <v>0.85</v>
      </c>
      <c r="F1199">
        <v>1.32</v>
      </c>
      <c r="G1199">
        <v>0.6</v>
      </c>
      <c r="H1199" t="s">
        <v>17</v>
      </c>
    </row>
    <row r="1200" spans="1:8" x14ac:dyDescent="0.25">
      <c r="A1200" t="s">
        <v>18</v>
      </c>
      <c r="B1200">
        <v>119729</v>
      </c>
      <c r="C1200">
        <v>24</v>
      </c>
      <c r="D1200" t="s">
        <v>9</v>
      </c>
      <c r="E1200">
        <v>0.99</v>
      </c>
      <c r="F1200">
        <v>1.19</v>
      </c>
      <c r="G1200">
        <v>0.31</v>
      </c>
      <c r="H1200" t="s">
        <v>17</v>
      </c>
    </row>
    <row r="1201" spans="1:8" x14ac:dyDescent="0.25">
      <c r="A1201" t="s">
        <v>25</v>
      </c>
      <c r="B1201">
        <v>58134</v>
      </c>
      <c r="C1201">
        <v>20</v>
      </c>
      <c r="D1201" t="s">
        <v>28</v>
      </c>
      <c r="E1201">
        <v>0.67</v>
      </c>
      <c r="F1201">
        <v>1.17</v>
      </c>
      <c r="G1201">
        <v>0.66</v>
      </c>
      <c r="H1201" t="s">
        <v>17</v>
      </c>
    </row>
    <row r="1202" spans="1:8" x14ac:dyDescent="0.25">
      <c r="A1202" t="s">
        <v>31</v>
      </c>
      <c r="B1202">
        <v>57987</v>
      </c>
      <c r="C1202">
        <v>28</v>
      </c>
      <c r="D1202" t="s">
        <v>15</v>
      </c>
      <c r="E1202">
        <v>0.59</v>
      </c>
      <c r="F1202">
        <v>1.04</v>
      </c>
      <c r="G1202">
        <v>0.81</v>
      </c>
      <c r="H1202" t="s">
        <v>10</v>
      </c>
    </row>
    <row r="1203" spans="1:8" x14ac:dyDescent="0.25">
      <c r="A1203" t="s">
        <v>24</v>
      </c>
      <c r="B1203">
        <v>135454</v>
      </c>
      <c r="C1203">
        <v>1</v>
      </c>
      <c r="D1203" t="s">
        <v>12</v>
      </c>
      <c r="E1203">
        <v>0.36</v>
      </c>
      <c r="F1203">
        <v>1.44</v>
      </c>
      <c r="G1203">
        <v>0.65</v>
      </c>
      <c r="H1203" t="s">
        <v>17</v>
      </c>
    </row>
    <row r="1204" spans="1:8" x14ac:dyDescent="0.25">
      <c r="A1204" t="s">
        <v>18</v>
      </c>
      <c r="B1204">
        <v>60539</v>
      </c>
      <c r="C1204">
        <v>3</v>
      </c>
      <c r="D1204" t="s">
        <v>12</v>
      </c>
      <c r="E1204">
        <v>0.66</v>
      </c>
      <c r="F1204">
        <v>1.44</v>
      </c>
      <c r="G1204">
        <v>0.38</v>
      </c>
      <c r="H1204" t="s">
        <v>17</v>
      </c>
    </row>
    <row r="1205" spans="1:8" x14ac:dyDescent="0.25">
      <c r="A1205" t="s">
        <v>25</v>
      </c>
      <c r="B1205">
        <v>113081</v>
      </c>
      <c r="C1205">
        <v>17</v>
      </c>
      <c r="D1205" t="s">
        <v>12</v>
      </c>
      <c r="E1205">
        <v>0.92</v>
      </c>
      <c r="F1205">
        <v>0.67</v>
      </c>
      <c r="G1205">
        <v>0.41</v>
      </c>
      <c r="H1205" t="s">
        <v>17</v>
      </c>
    </row>
    <row r="1206" spans="1:8" x14ac:dyDescent="0.25">
      <c r="A1206" t="s">
        <v>22</v>
      </c>
      <c r="B1206">
        <v>146180</v>
      </c>
      <c r="C1206">
        <v>1</v>
      </c>
      <c r="D1206" t="s">
        <v>15</v>
      </c>
      <c r="E1206">
        <v>0.52</v>
      </c>
      <c r="F1206">
        <v>1.23</v>
      </c>
      <c r="G1206">
        <v>0.31</v>
      </c>
      <c r="H1206" t="s">
        <v>17</v>
      </c>
    </row>
    <row r="1207" spans="1:8" x14ac:dyDescent="0.25">
      <c r="A1207" t="s">
        <v>21</v>
      </c>
      <c r="B1207">
        <v>140164</v>
      </c>
      <c r="C1207">
        <v>17</v>
      </c>
      <c r="D1207" t="s">
        <v>12</v>
      </c>
      <c r="E1207">
        <v>0.97</v>
      </c>
      <c r="F1207">
        <v>1.48</v>
      </c>
      <c r="G1207">
        <v>0.17</v>
      </c>
      <c r="H1207" t="s">
        <v>13</v>
      </c>
    </row>
    <row r="1208" spans="1:8" x14ac:dyDescent="0.25">
      <c r="A1208" t="s">
        <v>25</v>
      </c>
      <c r="B1208">
        <v>54599</v>
      </c>
      <c r="C1208">
        <v>27</v>
      </c>
      <c r="D1208" t="s">
        <v>9</v>
      </c>
      <c r="E1208">
        <v>0.24</v>
      </c>
      <c r="F1208">
        <v>1.24</v>
      </c>
      <c r="G1208">
        <v>0.49</v>
      </c>
      <c r="H1208" t="s">
        <v>17</v>
      </c>
    </row>
    <row r="1209" spans="1:8" x14ac:dyDescent="0.25">
      <c r="A1209" t="s">
        <v>16</v>
      </c>
      <c r="B1209">
        <v>68921</v>
      </c>
      <c r="C1209">
        <v>19</v>
      </c>
      <c r="D1209" t="s">
        <v>9</v>
      </c>
      <c r="E1209">
        <v>0.35</v>
      </c>
      <c r="F1209">
        <v>1.45</v>
      </c>
      <c r="G1209">
        <v>0.64</v>
      </c>
      <c r="H1209" t="s">
        <v>17</v>
      </c>
    </row>
    <row r="1210" spans="1:8" x14ac:dyDescent="0.25">
      <c r="A1210" t="s">
        <v>34</v>
      </c>
      <c r="B1210">
        <v>140747</v>
      </c>
      <c r="C1210">
        <v>11</v>
      </c>
      <c r="D1210" t="s">
        <v>12</v>
      </c>
      <c r="E1210">
        <v>0.65</v>
      </c>
      <c r="F1210">
        <v>1.46</v>
      </c>
      <c r="G1210">
        <v>0.43</v>
      </c>
      <c r="H1210" t="s">
        <v>17</v>
      </c>
    </row>
    <row r="1211" spans="1:8" x14ac:dyDescent="0.25">
      <c r="A1211" t="s">
        <v>18</v>
      </c>
      <c r="B1211">
        <v>138809</v>
      </c>
      <c r="C1211">
        <v>19</v>
      </c>
      <c r="D1211" t="s">
        <v>28</v>
      </c>
      <c r="E1211">
        <v>0.82</v>
      </c>
      <c r="F1211">
        <v>0.93</v>
      </c>
      <c r="G1211">
        <v>0.34</v>
      </c>
      <c r="H1211" t="s">
        <v>17</v>
      </c>
    </row>
    <row r="1212" spans="1:8" x14ac:dyDescent="0.25">
      <c r="A1212" t="s">
        <v>20</v>
      </c>
      <c r="B1212">
        <v>35983</v>
      </c>
      <c r="C1212">
        <v>19</v>
      </c>
      <c r="D1212" t="s">
        <v>28</v>
      </c>
      <c r="E1212">
        <v>0.33</v>
      </c>
      <c r="F1212">
        <v>0.61</v>
      </c>
      <c r="G1212">
        <v>0.54</v>
      </c>
      <c r="H1212" t="s">
        <v>17</v>
      </c>
    </row>
    <row r="1213" spans="1:8" x14ac:dyDescent="0.25">
      <c r="A1213" t="s">
        <v>8</v>
      </c>
      <c r="B1213">
        <v>47946</v>
      </c>
      <c r="C1213">
        <v>7</v>
      </c>
      <c r="D1213" t="s">
        <v>15</v>
      </c>
      <c r="E1213">
        <v>0.72</v>
      </c>
      <c r="F1213">
        <v>1.38</v>
      </c>
      <c r="G1213">
        <v>0.86</v>
      </c>
      <c r="H1213" t="s">
        <v>10</v>
      </c>
    </row>
    <row r="1214" spans="1:8" x14ac:dyDescent="0.25">
      <c r="A1214" t="s">
        <v>31</v>
      </c>
      <c r="B1214">
        <v>138295</v>
      </c>
      <c r="C1214">
        <v>29</v>
      </c>
      <c r="D1214" t="s">
        <v>9</v>
      </c>
      <c r="E1214">
        <v>0.2</v>
      </c>
      <c r="F1214">
        <v>0.53</v>
      </c>
      <c r="G1214">
        <v>0.83</v>
      </c>
      <c r="H1214" t="s">
        <v>10</v>
      </c>
    </row>
    <row r="1215" spans="1:8" x14ac:dyDescent="0.25">
      <c r="A1215" t="s">
        <v>33</v>
      </c>
      <c r="B1215">
        <v>97806</v>
      </c>
      <c r="C1215">
        <v>11</v>
      </c>
      <c r="D1215" t="s">
        <v>9</v>
      </c>
      <c r="E1215">
        <v>0.55000000000000004</v>
      </c>
      <c r="F1215">
        <v>1.46</v>
      </c>
      <c r="G1215">
        <v>0.24</v>
      </c>
      <c r="H1215" t="s">
        <v>13</v>
      </c>
    </row>
    <row r="1216" spans="1:8" x14ac:dyDescent="0.25">
      <c r="A1216" t="s">
        <v>26</v>
      </c>
      <c r="B1216">
        <v>111339</v>
      </c>
      <c r="C1216">
        <v>0</v>
      </c>
      <c r="D1216" t="s">
        <v>28</v>
      </c>
      <c r="E1216">
        <v>0.46</v>
      </c>
      <c r="F1216">
        <v>1.1399999999999999</v>
      </c>
      <c r="G1216">
        <v>0.34</v>
      </c>
      <c r="H1216" t="s">
        <v>17</v>
      </c>
    </row>
    <row r="1217" spans="1:8" x14ac:dyDescent="0.25">
      <c r="A1217" t="s">
        <v>26</v>
      </c>
      <c r="B1217">
        <v>70720</v>
      </c>
      <c r="C1217">
        <v>17</v>
      </c>
      <c r="D1217" t="s">
        <v>28</v>
      </c>
      <c r="E1217">
        <v>0.86</v>
      </c>
      <c r="F1217">
        <v>1.43</v>
      </c>
      <c r="G1217">
        <v>0.6</v>
      </c>
      <c r="H1217" t="s">
        <v>17</v>
      </c>
    </row>
    <row r="1218" spans="1:8" x14ac:dyDescent="0.25">
      <c r="A1218" t="s">
        <v>22</v>
      </c>
      <c r="B1218">
        <v>50914</v>
      </c>
      <c r="C1218">
        <v>19</v>
      </c>
      <c r="D1218" t="s">
        <v>28</v>
      </c>
      <c r="E1218">
        <v>0.73</v>
      </c>
      <c r="F1218">
        <v>1.33</v>
      </c>
      <c r="G1218">
        <v>0.6</v>
      </c>
      <c r="H1218" t="s">
        <v>17</v>
      </c>
    </row>
    <row r="1219" spans="1:8" x14ac:dyDescent="0.25">
      <c r="A1219" t="s">
        <v>18</v>
      </c>
      <c r="B1219">
        <v>112684</v>
      </c>
      <c r="C1219">
        <v>28</v>
      </c>
      <c r="D1219" t="s">
        <v>28</v>
      </c>
      <c r="E1219">
        <v>0.17</v>
      </c>
      <c r="F1219">
        <v>1.3</v>
      </c>
      <c r="G1219">
        <v>0.49</v>
      </c>
      <c r="H1219" t="s">
        <v>17</v>
      </c>
    </row>
    <row r="1220" spans="1:8" x14ac:dyDescent="0.25">
      <c r="A1220" t="s">
        <v>22</v>
      </c>
      <c r="B1220">
        <v>55568</v>
      </c>
      <c r="C1220">
        <v>19</v>
      </c>
      <c r="D1220" t="s">
        <v>12</v>
      </c>
      <c r="E1220">
        <v>0.56000000000000005</v>
      </c>
      <c r="F1220">
        <v>1.2</v>
      </c>
      <c r="G1220">
        <v>0.62</v>
      </c>
      <c r="H1220" t="s">
        <v>17</v>
      </c>
    </row>
    <row r="1221" spans="1:8" x14ac:dyDescent="0.25">
      <c r="A1221" t="s">
        <v>27</v>
      </c>
      <c r="B1221">
        <v>130965</v>
      </c>
      <c r="C1221">
        <v>29</v>
      </c>
      <c r="D1221" t="s">
        <v>15</v>
      </c>
      <c r="E1221">
        <v>0.51</v>
      </c>
      <c r="F1221">
        <v>0.96</v>
      </c>
      <c r="G1221">
        <v>0.7</v>
      </c>
      <c r="H1221" t="s">
        <v>17</v>
      </c>
    </row>
    <row r="1222" spans="1:8" x14ac:dyDescent="0.25">
      <c r="A1222" t="s">
        <v>30</v>
      </c>
      <c r="B1222">
        <v>38861</v>
      </c>
      <c r="C1222">
        <v>29</v>
      </c>
      <c r="D1222" t="s">
        <v>28</v>
      </c>
      <c r="E1222">
        <v>0.9</v>
      </c>
      <c r="F1222">
        <v>1.47</v>
      </c>
      <c r="G1222">
        <v>0.22</v>
      </c>
      <c r="H1222" t="s">
        <v>13</v>
      </c>
    </row>
    <row r="1223" spans="1:8" x14ac:dyDescent="0.25">
      <c r="A1223" t="s">
        <v>21</v>
      </c>
      <c r="B1223">
        <v>88812</v>
      </c>
      <c r="C1223">
        <v>18</v>
      </c>
      <c r="D1223" t="s">
        <v>28</v>
      </c>
      <c r="E1223">
        <v>0.76</v>
      </c>
      <c r="F1223">
        <v>1.33</v>
      </c>
      <c r="G1223">
        <v>0.28999999999999998</v>
      </c>
      <c r="H1223" t="s">
        <v>13</v>
      </c>
    </row>
    <row r="1224" spans="1:8" x14ac:dyDescent="0.25">
      <c r="A1224" t="s">
        <v>18</v>
      </c>
      <c r="B1224">
        <v>104900</v>
      </c>
      <c r="C1224">
        <v>16</v>
      </c>
      <c r="D1224" t="s">
        <v>12</v>
      </c>
      <c r="E1224">
        <v>0.35</v>
      </c>
      <c r="F1224">
        <v>0.96</v>
      </c>
      <c r="G1224">
        <v>0.36</v>
      </c>
      <c r="H1224" t="s">
        <v>17</v>
      </c>
    </row>
    <row r="1225" spans="1:8" x14ac:dyDescent="0.25">
      <c r="A1225" t="s">
        <v>19</v>
      </c>
      <c r="B1225">
        <v>121814</v>
      </c>
      <c r="C1225">
        <v>0</v>
      </c>
      <c r="D1225" t="s">
        <v>15</v>
      </c>
      <c r="E1225">
        <v>0.51</v>
      </c>
      <c r="F1225">
        <v>0.97</v>
      </c>
      <c r="G1225">
        <v>0.24</v>
      </c>
      <c r="H1225" t="s">
        <v>13</v>
      </c>
    </row>
    <row r="1226" spans="1:8" x14ac:dyDescent="0.25">
      <c r="A1226" t="s">
        <v>29</v>
      </c>
      <c r="B1226">
        <v>112283</v>
      </c>
      <c r="C1226">
        <v>22</v>
      </c>
      <c r="D1226" t="s">
        <v>12</v>
      </c>
      <c r="E1226">
        <v>0.03</v>
      </c>
      <c r="F1226">
        <v>1.04</v>
      </c>
      <c r="G1226">
        <v>0.93</v>
      </c>
      <c r="H1226" t="s">
        <v>10</v>
      </c>
    </row>
    <row r="1227" spans="1:8" x14ac:dyDescent="0.25">
      <c r="A1227" t="s">
        <v>19</v>
      </c>
      <c r="B1227">
        <v>79678</v>
      </c>
      <c r="C1227">
        <v>0</v>
      </c>
      <c r="D1227" t="s">
        <v>28</v>
      </c>
      <c r="E1227">
        <v>0.77</v>
      </c>
      <c r="F1227">
        <v>1.1599999999999999</v>
      </c>
      <c r="G1227">
        <v>0.1</v>
      </c>
      <c r="H1227" t="s">
        <v>13</v>
      </c>
    </row>
    <row r="1228" spans="1:8" x14ac:dyDescent="0.25">
      <c r="A1228" t="s">
        <v>33</v>
      </c>
      <c r="B1228">
        <v>136020</v>
      </c>
      <c r="C1228">
        <v>27</v>
      </c>
      <c r="D1228" t="s">
        <v>28</v>
      </c>
      <c r="E1228">
        <v>0.82</v>
      </c>
      <c r="F1228">
        <v>1.47</v>
      </c>
      <c r="G1228">
        <v>0.1</v>
      </c>
      <c r="H1228" t="s">
        <v>13</v>
      </c>
    </row>
    <row r="1229" spans="1:8" x14ac:dyDescent="0.25">
      <c r="A1229" t="s">
        <v>16</v>
      </c>
      <c r="B1229">
        <v>127155</v>
      </c>
      <c r="C1229">
        <v>3</v>
      </c>
      <c r="D1229" t="s">
        <v>12</v>
      </c>
      <c r="E1229">
        <v>0.75</v>
      </c>
      <c r="F1229">
        <v>0.89</v>
      </c>
      <c r="G1229">
        <v>0.66</v>
      </c>
      <c r="H1229" t="s">
        <v>17</v>
      </c>
    </row>
    <row r="1230" spans="1:8" x14ac:dyDescent="0.25">
      <c r="A1230" t="s">
        <v>21</v>
      </c>
      <c r="B1230">
        <v>94813</v>
      </c>
      <c r="C1230">
        <v>15</v>
      </c>
      <c r="D1230" t="s">
        <v>28</v>
      </c>
      <c r="E1230">
        <v>0.52</v>
      </c>
      <c r="F1230">
        <v>1.25</v>
      </c>
      <c r="G1230">
        <v>0.08</v>
      </c>
      <c r="H1230" t="s">
        <v>13</v>
      </c>
    </row>
    <row r="1231" spans="1:8" x14ac:dyDescent="0.25">
      <c r="A1231" t="s">
        <v>16</v>
      </c>
      <c r="B1231">
        <v>127501</v>
      </c>
      <c r="C1231">
        <v>7</v>
      </c>
      <c r="D1231" t="s">
        <v>12</v>
      </c>
      <c r="E1231">
        <v>0.45</v>
      </c>
      <c r="F1231">
        <v>1.31</v>
      </c>
      <c r="G1231">
        <v>0.4</v>
      </c>
      <c r="H1231" t="s">
        <v>17</v>
      </c>
    </row>
    <row r="1232" spans="1:8" x14ac:dyDescent="0.25">
      <c r="A1232" t="s">
        <v>14</v>
      </c>
      <c r="B1232">
        <v>90843</v>
      </c>
      <c r="C1232">
        <v>27</v>
      </c>
      <c r="D1232" t="s">
        <v>9</v>
      </c>
      <c r="E1232">
        <v>0.83</v>
      </c>
      <c r="F1232">
        <v>0.56000000000000005</v>
      </c>
      <c r="G1232">
        <v>0.74</v>
      </c>
      <c r="H1232" t="s">
        <v>10</v>
      </c>
    </row>
    <row r="1233" spans="1:8" x14ac:dyDescent="0.25">
      <c r="A1233" t="s">
        <v>18</v>
      </c>
      <c r="B1233">
        <v>34715</v>
      </c>
      <c r="C1233">
        <v>6</v>
      </c>
      <c r="D1233" t="s">
        <v>12</v>
      </c>
      <c r="E1233">
        <v>0.9</v>
      </c>
      <c r="F1233">
        <v>0.9</v>
      </c>
      <c r="G1233">
        <v>0.45</v>
      </c>
      <c r="H1233" t="s">
        <v>17</v>
      </c>
    </row>
    <row r="1234" spans="1:8" x14ac:dyDescent="0.25">
      <c r="A1234" t="s">
        <v>26</v>
      </c>
      <c r="B1234">
        <v>44870</v>
      </c>
      <c r="C1234">
        <v>15</v>
      </c>
      <c r="D1234" t="s">
        <v>12</v>
      </c>
      <c r="E1234">
        <v>0.72</v>
      </c>
      <c r="F1234">
        <v>0.72</v>
      </c>
      <c r="G1234">
        <v>0.41</v>
      </c>
      <c r="H1234" t="s">
        <v>17</v>
      </c>
    </row>
    <row r="1235" spans="1:8" x14ac:dyDescent="0.25">
      <c r="A1235" t="s">
        <v>29</v>
      </c>
      <c r="B1235">
        <v>45432</v>
      </c>
      <c r="C1235">
        <v>11</v>
      </c>
      <c r="D1235" t="s">
        <v>15</v>
      </c>
      <c r="E1235">
        <v>0.44</v>
      </c>
      <c r="F1235">
        <v>1.07</v>
      </c>
      <c r="G1235">
        <v>0.82</v>
      </c>
      <c r="H1235" t="s">
        <v>10</v>
      </c>
    </row>
    <row r="1236" spans="1:8" x14ac:dyDescent="0.25">
      <c r="A1236" t="s">
        <v>20</v>
      </c>
      <c r="B1236">
        <v>102964</v>
      </c>
      <c r="C1236">
        <v>5</v>
      </c>
      <c r="D1236" t="s">
        <v>15</v>
      </c>
      <c r="E1236">
        <v>0.74</v>
      </c>
      <c r="F1236">
        <v>0.99</v>
      </c>
      <c r="G1236">
        <v>0.43</v>
      </c>
      <c r="H1236" t="s">
        <v>17</v>
      </c>
    </row>
    <row r="1237" spans="1:8" x14ac:dyDescent="0.25">
      <c r="A1237" t="s">
        <v>26</v>
      </c>
      <c r="B1237">
        <v>127677</v>
      </c>
      <c r="C1237">
        <v>13</v>
      </c>
      <c r="D1237" t="s">
        <v>28</v>
      </c>
      <c r="E1237">
        <v>0.64</v>
      </c>
      <c r="F1237">
        <v>0.84</v>
      </c>
      <c r="G1237">
        <v>0.35</v>
      </c>
      <c r="H1237" t="s">
        <v>17</v>
      </c>
    </row>
    <row r="1238" spans="1:8" x14ac:dyDescent="0.25">
      <c r="A1238" t="s">
        <v>29</v>
      </c>
      <c r="B1238">
        <v>36918</v>
      </c>
      <c r="C1238">
        <v>16</v>
      </c>
      <c r="D1238" t="s">
        <v>28</v>
      </c>
      <c r="E1238">
        <v>0.24</v>
      </c>
      <c r="F1238">
        <v>1.25</v>
      </c>
      <c r="G1238">
        <v>0.92</v>
      </c>
      <c r="H1238" t="s">
        <v>10</v>
      </c>
    </row>
    <row r="1239" spans="1:8" x14ac:dyDescent="0.25">
      <c r="A1239" t="s">
        <v>32</v>
      </c>
      <c r="B1239">
        <v>78634</v>
      </c>
      <c r="C1239">
        <v>1</v>
      </c>
      <c r="D1239" t="s">
        <v>15</v>
      </c>
      <c r="E1239">
        <v>0.76</v>
      </c>
      <c r="F1239">
        <v>1.27</v>
      </c>
      <c r="G1239">
        <v>0.56999999999999995</v>
      </c>
      <c r="H1239" t="s">
        <v>17</v>
      </c>
    </row>
    <row r="1240" spans="1:8" x14ac:dyDescent="0.25">
      <c r="A1240" t="s">
        <v>8</v>
      </c>
      <c r="B1240">
        <v>95199</v>
      </c>
      <c r="C1240">
        <v>20</v>
      </c>
      <c r="D1240" t="s">
        <v>12</v>
      </c>
      <c r="E1240">
        <v>0.4</v>
      </c>
      <c r="F1240">
        <v>1.04</v>
      </c>
      <c r="G1240">
        <v>0.86</v>
      </c>
      <c r="H1240" t="s">
        <v>10</v>
      </c>
    </row>
    <row r="1241" spans="1:8" x14ac:dyDescent="0.25">
      <c r="A1241" t="s">
        <v>8</v>
      </c>
      <c r="B1241">
        <v>115062</v>
      </c>
      <c r="C1241">
        <v>6</v>
      </c>
      <c r="D1241" t="s">
        <v>28</v>
      </c>
      <c r="E1241">
        <v>1</v>
      </c>
      <c r="F1241">
        <v>1.1000000000000001</v>
      </c>
      <c r="G1241">
        <v>0.71</v>
      </c>
      <c r="H1241" t="s">
        <v>10</v>
      </c>
    </row>
    <row r="1242" spans="1:8" x14ac:dyDescent="0.25">
      <c r="A1242" t="s">
        <v>25</v>
      </c>
      <c r="B1242">
        <v>119007</v>
      </c>
      <c r="C1242">
        <v>17</v>
      </c>
      <c r="D1242" t="s">
        <v>28</v>
      </c>
      <c r="E1242">
        <v>0.78</v>
      </c>
      <c r="F1242">
        <v>1.19</v>
      </c>
      <c r="G1242">
        <v>0.48</v>
      </c>
      <c r="H1242" t="s">
        <v>17</v>
      </c>
    </row>
    <row r="1243" spans="1:8" x14ac:dyDescent="0.25">
      <c r="A1243" t="s">
        <v>33</v>
      </c>
      <c r="B1243">
        <v>58333</v>
      </c>
      <c r="C1243">
        <v>13</v>
      </c>
      <c r="D1243" t="s">
        <v>12</v>
      </c>
      <c r="E1243">
        <v>0.64</v>
      </c>
      <c r="F1243">
        <v>1</v>
      </c>
      <c r="G1243">
        <v>0.14000000000000001</v>
      </c>
      <c r="H1243" t="s">
        <v>13</v>
      </c>
    </row>
    <row r="1244" spans="1:8" x14ac:dyDescent="0.25">
      <c r="A1244" t="s">
        <v>26</v>
      </c>
      <c r="B1244">
        <v>140415</v>
      </c>
      <c r="C1244">
        <v>12</v>
      </c>
      <c r="D1244" t="s">
        <v>12</v>
      </c>
      <c r="E1244">
        <v>0.52</v>
      </c>
      <c r="F1244">
        <v>0.64</v>
      </c>
      <c r="G1244">
        <v>0.38</v>
      </c>
      <c r="H1244" t="s">
        <v>17</v>
      </c>
    </row>
    <row r="1245" spans="1:8" x14ac:dyDescent="0.25">
      <c r="A1245" t="s">
        <v>25</v>
      </c>
      <c r="B1245">
        <v>89151</v>
      </c>
      <c r="C1245">
        <v>21</v>
      </c>
      <c r="D1245" t="s">
        <v>12</v>
      </c>
      <c r="E1245">
        <v>0.81</v>
      </c>
      <c r="F1245">
        <v>0.59</v>
      </c>
      <c r="G1245">
        <v>0.45</v>
      </c>
      <c r="H1245" t="s">
        <v>17</v>
      </c>
    </row>
    <row r="1246" spans="1:8" x14ac:dyDescent="0.25">
      <c r="A1246" t="s">
        <v>31</v>
      </c>
      <c r="B1246">
        <v>62784</v>
      </c>
      <c r="C1246">
        <v>17</v>
      </c>
      <c r="D1246" t="s">
        <v>9</v>
      </c>
      <c r="E1246">
        <v>0.85</v>
      </c>
      <c r="F1246">
        <v>1.31</v>
      </c>
      <c r="G1246">
        <v>0.75</v>
      </c>
      <c r="H1246" t="s">
        <v>10</v>
      </c>
    </row>
    <row r="1247" spans="1:8" x14ac:dyDescent="0.25">
      <c r="A1247" t="s">
        <v>25</v>
      </c>
      <c r="B1247">
        <v>143268</v>
      </c>
      <c r="C1247">
        <v>17</v>
      </c>
      <c r="D1247" t="s">
        <v>9</v>
      </c>
      <c r="E1247">
        <v>0.41</v>
      </c>
      <c r="F1247">
        <v>0.94</v>
      </c>
      <c r="G1247">
        <v>0.32</v>
      </c>
      <c r="H1247" t="s">
        <v>17</v>
      </c>
    </row>
    <row r="1248" spans="1:8" x14ac:dyDescent="0.25">
      <c r="A1248" t="s">
        <v>31</v>
      </c>
      <c r="B1248">
        <v>85134</v>
      </c>
      <c r="C1248">
        <v>17</v>
      </c>
      <c r="D1248" t="s">
        <v>28</v>
      </c>
      <c r="E1248">
        <v>0.79</v>
      </c>
      <c r="F1248">
        <v>1.21</v>
      </c>
      <c r="G1248">
        <v>0.76</v>
      </c>
      <c r="H1248" t="s">
        <v>10</v>
      </c>
    </row>
    <row r="1249" spans="1:8" x14ac:dyDescent="0.25">
      <c r="A1249" t="s">
        <v>32</v>
      </c>
      <c r="B1249">
        <v>87109</v>
      </c>
      <c r="C1249">
        <v>10</v>
      </c>
      <c r="D1249" t="s">
        <v>9</v>
      </c>
      <c r="E1249">
        <v>0.09</v>
      </c>
      <c r="F1249">
        <v>0.99</v>
      </c>
      <c r="G1249">
        <v>0.55000000000000004</v>
      </c>
      <c r="H1249" t="s">
        <v>17</v>
      </c>
    </row>
    <row r="1250" spans="1:8" x14ac:dyDescent="0.25">
      <c r="A1250" t="s">
        <v>16</v>
      </c>
      <c r="B1250">
        <v>114116</v>
      </c>
      <c r="C1250">
        <v>1</v>
      </c>
      <c r="D1250" t="s">
        <v>9</v>
      </c>
      <c r="E1250">
        <v>0.83</v>
      </c>
      <c r="F1250">
        <v>1.04</v>
      </c>
      <c r="G1250">
        <v>0.51</v>
      </c>
      <c r="H1250" t="s">
        <v>17</v>
      </c>
    </row>
    <row r="1251" spans="1:8" x14ac:dyDescent="0.25">
      <c r="A1251" t="s">
        <v>11</v>
      </c>
      <c r="B1251">
        <v>39495</v>
      </c>
      <c r="C1251">
        <v>3</v>
      </c>
      <c r="D1251" t="s">
        <v>9</v>
      </c>
      <c r="E1251">
        <v>0.05</v>
      </c>
      <c r="F1251">
        <v>1.1100000000000001</v>
      </c>
      <c r="G1251">
        <v>0.08</v>
      </c>
      <c r="H1251" t="s">
        <v>13</v>
      </c>
    </row>
    <row r="1252" spans="1:8" x14ac:dyDescent="0.25">
      <c r="A1252" t="s">
        <v>26</v>
      </c>
      <c r="B1252">
        <v>115380</v>
      </c>
      <c r="C1252">
        <v>12</v>
      </c>
      <c r="D1252" t="s">
        <v>12</v>
      </c>
      <c r="E1252">
        <v>0.87</v>
      </c>
      <c r="F1252">
        <v>0.66</v>
      </c>
      <c r="G1252">
        <v>0.67</v>
      </c>
      <c r="H1252" t="s">
        <v>17</v>
      </c>
    </row>
    <row r="1253" spans="1:8" x14ac:dyDescent="0.25">
      <c r="A1253" t="s">
        <v>32</v>
      </c>
      <c r="B1253">
        <v>117843</v>
      </c>
      <c r="C1253">
        <v>5</v>
      </c>
      <c r="D1253" t="s">
        <v>9</v>
      </c>
      <c r="E1253">
        <v>0.85</v>
      </c>
      <c r="F1253">
        <v>0.67</v>
      </c>
      <c r="G1253">
        <v>0.57999999999999996</v>
      </c>
      <c r="H1253" t="s">
        <v>17</v>
      </c>
    </row>
    <row r="1254" spans="1:8" x14ac:dyDescent="0.25">
      <c r="A1254" t="s">
        <v>18</v>
      </c>
      <c r="B1254">
        <v>84104</v>
      </c>
      <c r="C1254">
        <v>12</v>
      </c>
      <c r="D1254" t="s">
        <v>28</v>
      </c>
      <c r="E1254">
        <v>0.02</v>
      </c>
      <c r="F1254">
        <v>1.1100000000000001</v>
      </c>
      <c r="G1254">
        <v>0.63</v>
      </c>
      <c r="H1254" t="s">
        <v>17</v>
      </c>
    </row>
    <row r="1255" spans="1:8" x14ac:dyDescent="0.25">
      <c r="A1255" t="s">
        <v>16</v>
      </c>
      <c r="B1255">
        <v>81179</v>
      </c>
      <c r="C1255">
        <v>29</v>
      </c>
      <c r="D1255" t="s">
        <v>9</v>
      </c>
      <c r="E1255">
        <v>0.71</v>
      </c>
      <c r="F1255">
        <v>0.94</v>
      </c>
      <c r="G1255">
        <v>0.37</v>
      </c>
      <c r="H1255" t="s">
        <v>17</v>
      </c>
    </row>
    <row r="1256" spans="1:8" x14ac:dyDescent="0.25">
      <c r="A1256" t="s">
        <v>33</v>
      </c>
      <c r="B1256">
        <v>120404</v>
      </c>
      <c r="C1256">
        <v>26</v>
      </c>
      <c r="D1256" t="s">
        <v>28</v>
      </c>
      <c r="E1256">
        <v>0.15</v>
      </c>
      <c r="F1256">
        <v>0.76</v>
      </c>
      <c r="G1256">
        <v>0.14000000000000001</v>
      </c>
      <c r="H1256" t="s">
        <v>13</v>
      </c>
    </row>
    <row r="1257" spans="1:8" x14ac:dyDescent="0.25">
      <c r="A1257" t="s">
        <v>11</v>
      </c>
      <c r="B1257">
        <v>127119</v>
      </c>
      <c r="C1257">
        <v>25</v>
      </c>
      <c r="D1257" t="s">
        <v>15</v>
      </c>
      <c r="E1257">
        <v>0.99</v>
      </c>
      <c r="F1257">
        <v>0.56999999999999995</v>
      </c>
      <c r="G1257">
        <v>0.15</v>
      </c>
      <c r="H1257" t="s">
        <v>13</v>
      </c>
    </row>
    <row r="1258" spans="1:8" x14ac:dyDescent="0.25">
      <c r="A1258" t="s">
        <v>16</v>
      </c>
      <c r="B1258">
        <v>84232</v>
      </c>
      <c r="C1258">
        <v>19</v>
      </c>
      <c r="D1258" t="s">
        <v>9</v>
      </c>
      <c r="E1258">
        <v>0.68</v>
      </c>
      <c r="F1258">
        <v>1.04</v>
      </c>
      <c r="G1258">
        <v>0.62</v>
      </c>
      <c r="H1258" t="s">
        <v>17</v>
      </c>
    </row>
    <row r="1259" spans="1:8" x14ac:dyDescent="0.25">
      <c r="A1259" t="s">
        <v>14</v>
      </c>
      <c r="B1259">
        <v>38689</v>
      </c>
      <c r="C1259">
        <v>14</v>
      </c>
      <c r="D1259" t="s">
        <v>28</v>
      </c>
      <c r="E1259">
        <v>0.59</v>
      </c>
      <c r="F1259">
        <v>1.47</v>
      </c>
      <c r="G1259">
        <v>0.74</v>
      </c>
      <c r="H1259" t="s">
        <v>10</v>
      </c>
    </row>
    <row r="1260" spans="1:8" x14ac:dyDescent="0.25">
      <c r="A1260" t="s">
        <v>29</v>
      </c>
      <c r="B1260">
        <v>143466</v>
      </c>
      <c r="C1260">
        <v>16</v>
      </c>
      <c r="D1260" t="s">
        <v>15</v>
      </c>
      <c r="E1260">
        <v>0.64</v>
      </c>
      <c r="F1260">
        <v>1.37</v>
      </c>
      <c r="G1260">
        <v>0.9</v>
      </c>
      <c r="H1260" t="s">
        <v>10</v>
      </c>
    </row>
    <row r="1261" spans="1:8" x14ac:dyDescent="0.25">
      <c r="A1261" t="s">
        <v>24</v>
      </c>
      <c r="B1261">
        <v>141038</v>
      </c>
      <c r="C1261">
        <v>14</v>
      </c>
      <c r="D1261" t="s">
        <v>12</v>
      </c>
      <c r="E1261">
        <v>0.86</v>
      </c>
      <c r="F1261">
        <v>1.04</v>
      </c>
      <c r="G1261">
        <v>0.42</v>
      </c>
      <c r="H1261" t="s">
        <v>17</v>
      </c>
    </row>
    <row r="1262" spans="1:8" x14ac:dyDescent="0.25">
      <c r="A1262" t="s">
        <v>23</v>
      </c>
      <c r="B1262">
        <v>117526</v>
      </c>
      <c r="C1262">
        <v>20</v>
      </c>
      <c r="D1262" t="s">
        <v>9</v>
      </c>
      <c r="E1262">
        <v>0.17</v>
      </c>
      <c r="F1262">
        <v>0.64</v>
      </c>
      <c r="G1262">
        <v>0.84</v>
      </c>
      <c r="H1262" t="s">
        <v>10</v>
      </c>
    </row>
    <row r="1263" spans="1:8" x14ac:dyDescent="0.25">
      <c r="A1263" t="s">
        <v>25</v>
      </c>
      <c r="B1263">
        <v>99503</v>
      </c>
      <c r="C1263">
        <v>19</v>
      </c>
      <c r="D1263" t="s">
        <v>28</v>
      </c>
      <c r="E1263">
        <v>0.41</v>
      </c>
      <c r="F1263">
        <v>0.52</v>
      </c>
      <c r="G1263">
        <v>0.56999999999999995</v>
      </c>
      <c r="H1263" t="s">
        <v>17</v>
      </c>
    </row>
    <row r="1264" spans="1:8" x14ac:dyDescent="0.25">
      <c r="A1264" t="s">
        <v>21</v>
      </c>
      <c r="B1264">
        <v>39157</v>
      </c>
      <c r="C1264">
        <v>6</v>
      </c>
      <c r="D1264" t="s">
        <v>9</v>
      </c>
      <c r="E1264">
        <v>0.12</v>
      </c>
      <c r="F1264">
        <v>0.83</v>
      </c>
      <c r="G1264">
        <v>0.23</v>
      </c>
      <c r="H1264" t="s">
        <v>13</v>
      </c>
    </row>
    <row r="1265" spans="1:8" x14ac:dyDescent="0.25">
      <c r="A1265" t="s">
        <v>27</v>
      </c>
      <c r="B1265">
        <v>143565</v>
      </c>
      <c r="C1265">
        <v>6</v>
      </c>
      <c r="D1265" t="s">
        <v>12</v>
      </c>
      <c r="E1265">
        <v>0.4</v>
      </c>
      <c r="F1265">
        <v>1.32</v>
      </c>
      <c r="G1265">
        <v>0.57999999999999996</v>
      </c>
      <c r="H1265" t="s">
        <v>17</v>
      </c>
    </row>
    <row r="1266" spans="1:8" x14ac:dyDescent="0.25">
      <c r="A1266" t="s">
        <v>11</v>
      </c>
      <c r="B1266">
        <v>107952</v>
      </c>
      <c r="C1266">
        <v>16</v>
      </c>
      <c r="D1266" t="s">
        <v>9</v>
      </c>
      <c r="E1266">
        <v>0.43</v>
      </c>
      <c r="F1266">
        <v>0.52</v>
      </c>
      <c r="G1266">
        <v>0.11</v>
      </c>
      <c r="H1266" t="s">
        <v>13</v>
      </c>
    </row>
    <row r="1267" spans="1:8" x14ac:dyDescent="0.25">
      <c r="A1267" t="s">
        <v>20</v>
      </c>
      <c r="B1267">
        <v>81224</v>
      </c>
      <c r="C1267">
        <v>2</v>
      </c>
      <c r="D1267" t="s">
        <v>12</v>
      </c>
      <c r="E1267">
        <v>0.45</v>
      </c>
      <c r="F1267">
        <v>1.1100000000000001</v>
      </c>
      <c r="G1267">
        <v>0.43</v>
      </c>
      <c r="H1267" t="s">
        <v>17</v>
      </c>
    </row>
    <row r="1268" spans="1:8" x14ac:dyDescent="0.25">
      <c r="A1268" t="s">
        <v>26</v>
      </c>
      <c r="B1268">
        <v>49517</v>
      </c>
      <c r="C1268">
        <v>21</v>
      </c>
      <c r="D1268" t="s">
        <v>28</v>
      </c>
      <c r="E1268">
        <v>0.88</v>
      </c>
      <c r="F1268">
        <v>0.66</v>
      </c>
      <c r="G1268">
        <v>0.33</v>
      </c>
      <c r="H1268" t="s">
        <v>17</v>
      </c>
    </row>
    <row r="1269" spans="1:8" x14ac:dyDescent="0.25">
      <c r="A1269" t="s">
        <v>32</v>
      </c>
      <c r="B1269">
        <v>70849</v>
      </c>
      <c r="C1269">
        <v>22</v>
      </c>
      <c r="D1269" t="s">
        <v>28</v>
      </c>
      <c r="E1269">
        <v>0.11</v>
      </c>
      <c r="F1269">
        <v>1.21</v>
      </c>
      <c r="G1269">
        <v>0.39</v>
      </c>
      <c r="H1269" t="s">
        <v>17</v>
      </c>
    </row>
    <row r="1270" spans="1:8" x14ac:dyDescent="0.25">
      <c r="A1270" t="s">
        <v>22</v>
      </c>
      <c r="B1270">
        <v>142277</v>
      </c>
      <c r="C1270">
        <v>24</v>
      </c>
      <c r="D1270" t="s">
        <v>9</v>
      </c>
      <c r="E1270">
        <v>0.79</v>
      </c>
      <c r="F1270">
        <v>1.22</v>
      </c>
      <c r="G1270">
        <v>0.64</v>
      </c>
      <c r="H1270" t="s">
        <v>17</v>
      </c>
    </row>
    <row r="1271" spans="1:8" x14ac:dyDescent="0.25">
      <c r="A1271" t="s">
        <v>8</v>
      </c>
      <c r="B1271">
        <v>137251</v>
      </c>
      <c r="C1271">
        <v>25</v>
      </c>
      <c r="D1271" t="s">
        <v>15</v>
      </c>
      <c r="E1271">
        <v>0.61</v>
      </c>
      <c r="F1271">
        <v>0.96</v>
      </c>
      <c r="G1271">
        <v>0.72</v>
      </c>
      <c r="H1271" t="s">
        <v>10</v>
      </c>
    </row>
    <row r="1272" spans="1:8" x14ac:dyDescent="0.25">
      <c r="A1272" t="s">
        <v>20</v>
      </c>
      <c r="B1272">
        <v>42979</v>
      </c>
      <c r="C1272">
        <v>1</v>
      </c>
      <c r="D1272" t="s">
        <v>28</v>
      </c>
      <c r="E1272">
        <v>0.08</v>
      </c>
      <c r="F1272">
        <v>0.8</v>
      </c>
      <c r="G1272">
        <v>0.51</v>
      </c>
      <c r="H1272" t="s">
        <v>17</v>
      </c>
    </row>
    <row r="1273" spans="1:8" x14ac:dyDescent="0.25">
      <c r="A1273" t="s">
        <v>19</v>
      </c>
      <c r="B1273">
        <v>102868</v>
      </c>
      <c r="C1273">
        <v>7</v>
      </c>
      <c r="D1273" t="s">
        <v>28</v>
      </c>
      <c r="E1273">
        <v>0.28999999999999998</v>
      </c>
      <c r="F1273">
        <v>1.31</v>
      </c>
      <c r="G1273">
        <v>0.17</v>
      </c>
      <c r="H1273" t="s">
        <v>13</v>
      </c>
    </row>
    <row r="1274" spans="1:8" x14ac:dyDescent="0.25">
      <c r="A1274" t="s">
        <v>23</v>
      </c>
      <c r="B1274">
        <v>31649</v>
      </c>
      <c r="C1274">
        <v>0</v>
      </c>
      <c r="D1274" t="s">
        <v>28</v>
      </c>
      <c r="E1274">
        <v>0.56999999999999995</v>
      </c>
      <c r="F1274">
        <v>1.42</v>
      </c>
      <c r="G1274">
        <v>0.8</v>
      </c>
      <c r="H1274" t="s">
        <v>10</v>
      </c>
    </row>
    <row r="1275" spans="1:8" x14ac:dyDescent="0.25">
      <c r="A1275" t="s">
        <v>27</v>
      </c>
      <c r="B1275">
        <v>91305</v>
      </c>
      <c r="C1275">
        <v>20</v>
      </c>
      <c r="D1275" t="s">
        <v>15</v>
      </c>
      <c r="E1275">
        <v>0.12</v>
      </c>
      <c r="F1275">
        <v>0.62</v>
      </c>
      <c r="G1275">
        <v>0.67</v>
      </c>
      <c r="H1275" t="s">
        <v>17</v>
      </c>
    </row>
    <row r="1276" spans="1:8" x14ac:dyDescent="0.25">
      <c r="A1276" t="s">
        <v>24</v>
      </c>
      <c r="B1276">
        <v>38738</v>
      </c>
      <c r="C1276">
        <v>16</v>
      </c>
      <c r="D1276" t="s">
        <v>15</v>
      </c>
      <c r="E1276">
        <v>0.77</v>
      </c>
      <c r="F1276">
        <v>0.76</v>
      </c>
      <c r="G1276">
        <v>0.43</v>
      </c>
      <c r="H1276" t="s">
        <v>17</v>
      </c>
    </row>
    <row r="1277" spans="1:8" x14ac:dyDescent="0.25">
      <c r="A1277" t="s">
        <v>18</v>
      </c>
      <c r="B1277">
        <v>55775</v>
      </c>
      <c r="C1277">
        <v>24</v>
      </c>
      <c r="D1277" t="s">
        <v>15</v>
      </c>
      <c r="E1277">
        <v>0.77</v>
      </c>
      <c r="F1277">
        <v>1.21</v>
      </c>
      <c r="G1277">
        <v>0.59</v>
      </c>
      <c r="H1277" t="s">
        <v>17</v>
      </c>
    </row>
    <row r="1278" spans="1:8" x14ac:dyDescent="0.25">
      <c r="A1278" t="s">
        <v>20</v>
      </c>
      <c r="B1278">
        <v>45569</v>
      </c>
      <c r="C1278">
        <v>3</v>
      </c>
      <c r="D1278" t="s">
        <v>12</v>
      </c>
      <c r="E1278">
        <v>0.6</v>
      </c>
      <c r="F1278">
        <v>1.31</v>
      </c>
      <c r="G1278">
        <v>0.56000000000000005</v>
      </c>
      <c r="H1278" t="s">
        <v>17</v>
      </c>
    </row>
    <row r="1279" spans="1:8" x14ac:dyDescent="0.25">
      <c r="A1279" t="s">
        <v>30</v>
      </c>
      <c r="B1279">
        <v>89327</v>
      </c>
      <c r="C1279">
        <v>3</v>
      </c>
      <c r="D1279" t="s">
        <v>28</v>
      </c>
      <c r="E1279">
        <v>0.47</v>
      </c>
      <c r="F1279">
        <v>0.57999999999999996</v>
      </c>
      <c r="G1279">
        <v>0.12</v>
      </c>
      <c r="H1279" t="s">
        <v>13</v>
      </c>
    </row>
    <row r="1280" spans="1:8" x14ac:dyDescent="0.25">
      <c r="A1280" t="s">
        <v>24</v>
      </c>
      <c r="B1280">
        <v>142674</v>
      </c>
      <c r="C1280">
        <v>24</v>
      </c>
      <c r="D1280" t="s">
        <v>28</v>
      </c>
      <c r="E1280">
        <v>0.18</v>
      </c>
      <c r="F1280">
        <v>0.54</v>
      </c>
      <c r="G1280">
        <v>0.33</v>
      </c>
      <c r="H1280" t="s">
        <v>17</v>
      </c>
    </row>
    <row r="1281" spans="1:8" x14ac:dyDescent="0.25">
      <c r="A1281" t="s">
        <v>14</v>
      </c>
      <c r="B1281">
        <v>67602</v>
      </c>
      <c r="C1281">
        <v>10</v>
      </c>
      <c r="D1281" t="s">
        <v>28</v>
      </c>
      <c r="E1281">
        <v>0.71</v>
      </c>
      <c r="F1281">
        <v>1.24</v>
      </c>
      <c r="G1281">
        <v>0.87</v>
      </c>
      <c r="H1281" t="s">
        <v>10</v>
      </c>
    </row>
    <row r="1282" spans="1:8" x14ac:dyDescent="0.25">
      <c r="A1282" t="s">
        <v>20</v>
      </c>
      <c r="B1282">
        <v>68057</v>
      </c>
      <c r="C1282">
        <v>12</v>
      </c>
      <c r="D1282" t="s">
        <v>28</v>
      </c>
      <c r="E1282">
        <v>0.36</v>
      </c>
      <c r="F1282">
        <v>0.64</v>
      </c>
      <c r="G1282">
        <v>0.46</v>
      </c>
      <c r="H1282" t="s">
        <v>17</v>
      </c>
    </row>
    <row r="1283" spans="1:8" x14ac:dyDescent="0.25">
      <c r="A1283" t="s">
        <v>18</v>
      </c>
      <c r="B1283">
        <v>108104</v>
      </c>
      <c r="C1283">
        <v>26</v>
      </c>
      <c r="D1283" t="s">
        <v>9</v>
      </c>
      <c r="E1283">
        <v>0.1</v>
      </c>
      <c r="F1283">
        <v>0.75</v>
      </c>
      <c r="G1283">
        <v>0.41</v>
      </c>
      <c r="H1283" t="s">
        <v>17</v>
      </c>
    </row>
    <row r="1284" spans="1:8" x14ac:dyDescent="0.25">
      <c r="A1284" t="s">
        <v>30</v>
      </c>
      <c r="B1284">
        <v>139418</v>
      </c>
      <c r="C1284">
        <v>27</v>
      </c>
      <c r="D1284" t="s">
        <v>28</v>
      </c>
      <c r="E1284">
        <v>0.04</v>
      </c>
      <c r="F1284">
        <v>0.98</v>
      </c>
      <c r="G1284">
        <v>0.26</v>
      </c>
      <c r="H1284" t="s">
        <v>13</v>
      </c>
    </row>
    <row r="1285" spans="1:8" x14ac:dyDescent="0.25">
      <c r="A1285" t="s">
        <v>27</v>
      </c>
      <c r="B1285">
        <v>65411</v>
      </c>
      <c r="C1285">
        <v>11</v>
      </c>
      <c r="D1285" t="s">
        <v>15</v>
      </c>
      <c r="E1285">
        <v>0.8</v>
      </c>
      <c r="F1285">
        <v>1.41</v>
      </c>
      <c r="G1285">
        <v>0.53</v>
      </c>
      <c r="H1285" t="s">
        <v>17</v>
      </c>
    </row>
    <row r="1286" spans="1:8" x14ac:dyDescent="0.25">
      <c r="A1286" t="s">
        <v>18</v>
      </c>
      <c r="B1286">
        <v>139497</v>
      </c>
      <c r="C1286">
        <v>2</v>
      </c>
      <c r="D1286" t="s">
        <v>28</v>
      </c>
      <c r="E1286">
        <v>0.22</v>
      </c>
      <c r="F1286">
        <v>1.42</v>
      </c>
      <c r="G1286">
        <v>0.59</v>
      </c>
      <c r="H1286" t="s">
        <v>17</v>
      </c>
    </row>
    <row r="1287" spans="1:8" x14ac:dyDescent="0.25">
      <c r="A1287" t="s">
        <v>19</v>
      </c>
      <c r="B1287">
        <v>53043</v>
      </c>
      <c r="C1287">
        <v>0</v>
      </c>
      <c r="D1287" t="s">
        <v>15</v>
      </c>
      <c r="E1287">
        <v>0.92</v>
      </c>
      <c r="F1287">
        <v>1.45</v>
      </c>
      <c r="G1287">
        <v>0.17</v>
      </c>
      <c r="H1287" t="s">
        <v>13</v>
      </c>
    </row>
    <row r="1288" spans="1:8" x14ac:dyDescent="0.25">
      <c r="A1288" t="s">
        <v>18</v>
      </c>
      <c r="B1288">
        <v>139732</v>
      </c>
      <c r="C1288">
        <v>15</v>
      </c>
      <c r="D1288" t="s">
        <v>12</v>
      </c>
      <c r="E1288">
        <v>0.98</v>
      </c>
      <c r="F1288">
        <v>0.89</v>
      </c>
      <c r="G1288">
        <v>0.64</v>
      </c>
      <c r="H1288" t="s">
        <v>17</v>
      </c>
    </row>
    <row r="1289" spans="1:8" x14ac:dyDescent="0.25">
      <c r="A1289" t="s">
        <v>25</v>
      </c>
      <c r="B1289">
        <v>146332</v>
      </c>
      <c r="C1289">
        <v>27</v>
      </c>
      <c r="D1289" t="s">
        <v>9</v>
      </c>
      <c r="E1289">
        <v>0.81</v>
      </c>
      <c r="F1289">
        <v>0.82</v>
      </c>
      <c r="G1289">
        <v>0.5</v>
      </c>
      <c r="H1289" t="s">
        <v>17</v>
      </c>
    </row>
    <row r="1290" spans="1:8" x14ac:dyDescent="0.25">
      <c r="A1290" t="s">
        <v>29</v>
      </c>
      <c r="B1290">
        <v>110314</v>
      </c>
      <c r="C1290">
        <v>5</v>
      </c>
      <c r="D1290" t="s">
        <v>28</v>
      </c>
      <c r="E1290">
        <v>0.82</v>
      </c>
      <c r="F1290">
        <v>0.57999999999999996</v>
      </c>
      <c r="G1290">
        <v>0.85</v>
      </c>
      <c r="H1290" t="s">
        <v>10</v>
      </c>
    </row>
    <row r="1291" spans="1:8" x14ac:dyDescent="0.25">
      <c r="A1291" t="s">
        <v>22</v>
      </c>
      <c r="B1291">
        <v>147230</v>
      </c>
      <c r="C1291">
        <v>13</v>
      </c>
      <c r="D1291" t="s">
        <v>12</v>
      </c>
      <c r="E1291">
        <v>0.5</v>
      </c>
      <c r="F1291">
        <v>0.87</v>
      </c>
      <c r="G1291">
        <v>0.6</v>
      </c>
      <c r="H1291" t="s">
        <v>17</v>
      </c>
    </row>
    <row r="1292" spans="1:8" x14ac:dyDescent="0.25">
      <c r="A1292" t="s">
        <v>11</v>
      </c>
      <c r="B1292">
        <v>107271</v>
      </c>
      <c r="C1292">
        <v>15</v>
      </c>
      <c r="D1292" t="s">
        <v>9</v>
      </c>
      <c r="E1292">
        <v>0.32</v>
      </c>
      <c r="F1292">
        <v>0.64</v>
      </c>
      <c r="G1292">
        <v>0.05</v>
      </c>
      <c r="H1292" t="s">
        <v>13</v>
      </c>
    </row>
    <row r="1293" spans="1:8" x14ac:dyDescent="0.25">
      <c r="A1293" t="s">
        <v>29</v>
      </c>
      <c r="B1293">
        <v>135812</v>
      </c>
      <c r="C1293">
        <v>28</v>
      </c>
      <c r="D1293" t="s">
        <v>12</v>
      </c>
      <c r="E1293">
        <v>0.74</v>
      </c>
      <c r="F1293">
        <v>0.54</v>
      </c>
      <c r="G1293">
        <v>0.87</v>
      </c>
      <c r="H1293" t="s">
        <v>10</v>
      </c>
    </row>
    <row r="1294" spans="1:8" x14ac:dyDescent="0.25">
      <c r="A1294" t="s">
        <v>27</v>
      </c>
      <c r="B1294">
        <v>138613</v>
      </c>
      <c r="C1294">
        <v>9</v>
      </c>
      <c r="D1294" t="s">
        <v>12</v>
      </c>
      <c r="E1294">
        <v>0.28000000000000003</v>
      </c>
      <c r="F1294">
        <v>0.88</v>
      </c>
      <c r="G1294">
        <v>0.56000000000000005</v>
      </c>
      <c r="H1294" t="s">
        <v>17</v>
      </c>
    </row>
    <row r="1295" spans="1:8" x14ac:dyDescent="0.25">
      <c r="A1295" t="s">
        <v>33</v>
      </c>
      <c r="B1295">
        <v>82774</v>
      </c>
      <c r="C1295">
        <v>4</v>
      </c>
      <c r="D1295" t="s">
        <v>9</v>
      </c>
      <c r="E1295">
        <v>0.37</v>
      </c>
      <c r="F1295">
        <v>1.17</v>
      </c>
      <c r="G1295">
        <v>0.11</v>
      </c>
      <c r="H1295" t="s">
        <v>13</v>
      </c>
    </row>
    <row r="1296" spans="1:8" x14ac:dyDescent="0.25">
      <c r="A1296" t="s">
        <v>31</v>
      </c>
      <c r="B1296">
        <v>44436</v>
      </c>
      <c r="C1296">
        <v>10</v>
      </c>
      <c r="D1296" t="s">
        <v>28</v>
      </c>
      <c r="E1296">
        <v>0.04</v>
      </c>
      <c r="F1296">
        <v>0.82</v>
      </c>
      <c r="G1296">
        <v>0.84</v>
      </c>
      <c r="H1296" t="s">
        <v>10</v>
      </c>
    </row>
    <row r="1297" spans="1:8" x14ac:dyDescent="0.25">
      <c r="A1297" t="s">
        <v>31</v>
      </c>
      <c r="B1297">
        <v>41573</v>
      </c>
      <c r="C1297">
        <v>6</v>
      </c>
      <c r="D1297" t="s">
        <v>15</v>
      </c>
      <c r="E1297">
        <v>0.1</v>
      </c>
      <c r="F1297">
        <v>1.2</v>
      </c>
      <c r="G1297">
        <v>0.79</v>
      </c>
      <c r="H1297" t="s">
        <v>10</v>
      </c>
    </row>
    <row r="1298" spans="1:8" x14ac:dyDescent="0.25">
      <c r="A1298" t="s">
        <v>11</v>
      </c>
      <c r="B1298">
        <v>99269</v>
      </c>
      <c r="C1298">
        <v>3</v>
      </c>
      <c r="D1298" t="s">
        <v>28</v>
      </c>
      <c r="E1298">
        <v>0.74</v>
      </c>
      <c r="F1298">
        <v>0.82</v>
      </c>
      <c r="G1298">
        <v>0.08</v>
      </c>
      <c r="H1298" t="s">
        <v>13</v>
      </c>
    </row>
    <row r="1299" spans="1:8" x14ac:dyDescent="0.25">
      <c r="A1299" t="s">
        <v>26</v>
      </c>
      <c r="B1299">
        <v>55734</v>
      </c>
      <c r="C1299">
        <v>17</v>
      </c>
      <c r="D1299" t="s">
        <v>12</v>
      </c>
      <c r="E1299">
        <v>0.1</v>
      </c>
      <c r="F1299">
        <v>1.06</v>
      </c>
      <c r="G1299">
        <v>0.35</v>
      </c>
      <c r="H1299" t="s">
        <v>17</v>
      </c>
    </row>
    <row r="1300" spans="1:8" x14ac:dyDescent="0.25">
      <c r="A1300" t="s">
        <v>32</v>
      </c>
      <c r="B1300">
        <v>43764</v>
      </c>
      <c r="C1300">
        <v>25</v>
      </c>
      <c r="D1300" t="s">
        <v>28</v>
      </c>
      <c r="E1300">
        <v>0.41</v>
      </c>
      <c r="F1300">
        <v>0.8</v>
      </c>
      <c r="G1300">
        <v>0.33</v>
      </c>
      <c r="H1300" t="s">
        <v>17</v>
      </c>
    </row>
    <row r="1301" spans="1:8" x14ac:dyDescent="0.25">
      <c r="A1301" t="s">
        <v>31</v>
      </c>
      <c r="B1301">
        <v>40485</v>
      </c>
      <c r="C1301">
        <v>2</v>
      </c>
      <c r="D1301" t="s">
        <v>15</v>
      </c>
      <c r="E1301">
        <v>0.69</v>
      </c>
      <c r="F1301">
        <v>1.17</v>
      </c>
      <c r="G1301">
        <v>0.74</v>
      </c>
      <c r="H1301" t="s">
        <v>10</v>
      </c>
    </row>
    <row r="1302" spans="1:8" x14ac:dyDescent="0.25">
      <c r="A1302" t="s">
        <v>8</v>
      </c>
      <c r="B1302">
        <v>83804</v>
      </c>
      <c r="C1302">
        <v>21</v>
      </c>
      <c r="D1302" t="s">
        <v>28</v>
      </c>
      <c r="E1302">
        <v>0.22</v>
      </c>
      <c r="F1302">
        <v>0.54</v>
      </c>
      <c r="G1302">
        <v>0.84</v>
      </c>
      <c r="H1302" t="s">
        <v>10</v>
      </c>
    </row>
    <row r="1303" spans="1:8" x14ac:dyDescent="0.25">
      <c r="A1303" t="s">
        <v>18</v>
      </c>
      <c r="B1303">
        <v>97635</v>
      </c>
      <c r="C1303">
        <v>18</v>
      </c>
      <c r="D1303" t="s">
        <v>15</v>
      </c>
      <c r="E1303">
        <v>0.35</v>
      </c>
      <c r="F1303">
        <v>0.74</v>
      </c>
      <c r="G1303">
        <v>0.33</v>
      </c>
      <c r="H1303" t="s">
        <v>17</v>
      </c>
    </row>
    <row r="1304" spans="1:8" x14ac:dyDescent="0.25">
      <c r="A1304" t="s">
        <v>8</v>
      </c>
      <c r="B1304">
        <v>100880</v>
      </c>
      <c r="C1304">
        <v>19</v>
      </c>
      <c r="D1304" t="s">
        <v>28</v>
      </c>
      <c r="E1304">
        <v>0.65</v>
      </c>
      <c r="F1304">
        <v>1.26</v>
      </c>
      <c r="G1304">
        <v>0.78</v>
      </c>
      <c r="H1304" t="s">
        <v>10</v>
      </c>
    </row>
    <row r="1305" spans="1:8" x14ac:dyDescent="0.25">
      <c r="A1305" t="s">
        <v>33</v>
      </c>
      <c r="B1305">
        <v>74344</v>
      </c>
      <c r="C1305">
        <v>20</v>
      </c>
      <c r="D1305" t="s">
        <v>28</v>
      </c>
      <c r="E1305">
        <v>0.37</v>
      </c>
      <c r="F1305">
        <v>1.05</v>
      </c>
      <c r="G1305">
        <v>0.24</v>
      </c>
      <c r="H1305" t="s">
        <v>13</v>
      </c>
    </row>
    <row r="1306" spans="1:8" x14ac:dyDescent="0.25">
      <c r="A1306" t="s">
        <v>25</v>
      </c>
      <c r="B1306">
        <v>122424</v>
      </c>
      <c r="C1306">
        <v>26</v>
      </c>
      <c r="D1306" t="s">
        <v>9</v>
      </c>
      <c r="E1306">
        <v>0.12</v>
      </c>
      <c r="F1306">
        <v>0.53</v>
      </c>
      <c r="G1306">
        <v>0.42</v>
      </c>
      <c r="H1306" t="s">
        <v>17</v>
      </c>
    </row>
    <row r="1307" spans="1:8" x14ac:dyDescent="0.25">
      <c r="A1307" t="s">
        <v>22</v>
      </c>
      <c r="B1307">
        <v>131388</v>
      </c>
      <c r="C1307">
        <v>29</v>
      </c>
      <c r="D1307" t="s">
        <v>28</v>
      </c>
      <c r="E1307">
        <v>0.34</v>
      </c>
      <c r="F1307">
        <v>0.98</v>
      </c>
      <c r="G1307">
        <v>0.56999999999999995</v>
      </c>
      <c r="H1307" t="s">
        <v>17</v>
      </c>
    </row>
    <row r="1308" spans="1:8" x14ac:dyDescent="0.25">
      <c r="A1308" t="s">
        <v>30</v>
      </c>
      <c r="B1308">
        <v>146649</v>
      </c>
      <c r="C1308">
        <v>9</v>
      </c>
      <c r="D1308" t="s">
        <v>15</v>
      </c>
      <c r="E1308">
        <v>0.14000000000000001</v>
      </c>
      <c r="F1308">
        <v>0.97</v>
      </c>
      <c r="G1308">
        <v>0.13</v>
      </c>
      <c r="H1308" t="s">
        <v>13</v>
      </c>
    </row>
    <row r="1309" spans="1:8" x14ac:dyDescent="0.25">
      <c r="A1309" t="s">
        <v>26</v>
      </c>
      <c r="B1309">
        <v>79117</v>
      </c>
      <c r="C1309">
        <v>3</v>
      </c>
      <c r="D1309" t="s">
        <v>12</v>
      </c>
      <c r="E1309">
        <v>0.01</v>
      </c>
      <c r="F1309">
        <v>1.24</v>
      </c>
      <c r="G1309">
        <v>0.59</v>
      </c>
      <c r="H1309" t="s">
        <v>17</v>
      </c>
    </row>
    <row r="1310" spans="1:8" x14ac:dyDescent="0.25">
      <c r="A1310" t="s">
        <v>31</v>
      </c>
      <c r="B1310">
        <v>45685</v>
      </c>
      <c r="C1310">
        <v>27</v>
      </c>
      <c r="D1310" t="s">
        <v>15</v>
      </c>
      <c r="E1310">
        <v>0.56999999999999995</v>
      </c>
      <c r="F1310">
        <v>1.49</v>
      </c>
      <c r="G1310">
        <v>0.85</v>
      </c>
      <c r="H1310" t="s">
        <v>10</v>
      </c>
    </row>
    <row r="1311" spans="1:8" x14ac:dyDescent="0.25">
      <c r="A1311" t="s">
        <v>29</v>
      </c>
      <c r="B1311">
        <v>134031</v>
      </c>
      <c r="C1311">
        <v>16</v>
      </c>
      <c r="D1311" t="s">
        <v>9</v>
      </c>
      <c r="E1311">
        <v>0.91</v>
      </c>
      <c r="F1311">
        <v>0.72</v>
      </c>
      <c r="G1311">
        <v>0.91</v>
      </c>
      <c r="H1311" t="s">
        <v>10</v>
      </c>
    </row>
    <row r="1312" spans="1:8" x14ac:dyDescent="0.25">
      <c r="A1312" t="s">
        <v>33</v>
      </c>
      <c r="B1312">
        <v>67595</v>
      </c>
      <c r="C1312">
        <v>16</v>
      </c>
      <c r="D1312" t="s">
        <v>15</v>
      </c>
      <c r="E1312">
        <v>0.13</v>
      </c>
      <c r="F1312">
        <v>1.44</v>
      </c>
      <c r="G1312">
        <v>0.24</v>
      </c>
      <c r="H1312" t="s">
        <v>13</v>
      </c>
    </row>
    <row r="1313" spans="1:8" x14ac:dyDescent="0.25">
      <c r="A1313" t="s">
        <v>34</v>
      </c>
      <c r="B1313">
        <v>54541</v>
      </c>
      <c r="C1313">
        <v>1</v>
      </c>
      <c r="D1313" t="s">
        <v>9</v>
      </c>
      <c r="E1313">
        <v>0.24</v>
      </c>
      <c r="F1313">
        <v>1.22</v>
      </c>
      <c r="G1313">
        <v>0.36</v>
      </c>
      <c r="H1313" t="s">
        <v>17</v>
      </c>
    </row>
    <row r="1314" spans="1:8" x14ac:dyDescent="0.25">
      <c r="A1314" t="s">
        <v>14</v>
      </c>
      <c r="B1314">
        <v>118598</v>
      </c>
      <c r="C1314">
        <v>7</v>
      </c>
      <c r="D1314" t="s">
        <v>28</v>
      </c>
      <c r="E1314">
        <v>0.66</v>
      </c>
      <c r="F1314">
        <v>0.97</v>
      </c>
      <c r="G1314">
        <v>0.82</v>
      </c>
      <c r="H1314" t="s">
        <v>10</v>
      </c>
    </row>
    <row r="1315" spans="1:8" x14ac:dyDescent="0.25">
      <c r="A1315" t="s">
        <v>22</v>
      </c>
      <c r="B1315">
        <v>70785</v>
      </c>
      <c r="C1315">
        <v>10</v>
      </c>
      <c r="D1315" t="s">
        <v>15</v>
      </c>
      <c r="E1315">
        <v>0.6</v>
      </c>
      <c r="F1315">
        <v>1.1299999999999999</v>
      </c>
      <c r="G1315">
        <v>0.61</v>
      </c>
      <c r="H1315" t="s">
        <v>17</v>
      </c>
    </row>
    <row r="1316" spans="1:8" x14ac:dyDescent="0.25">
      <c r="A1316" t="s">
        <v>34</v>
      </c>
      <c r="B1316">
        <v>131633</v>
      </c>
      <c r="C1316">
        <v>28</v>
      </c>
      <c r="D1316" t="s">
        <v>15</v>
      </c>
      <c r="E1316">
        <v>0.18</v>
      </c>
      <c r="F1316">
        <v>0.81</v>
      </c>
      <c r="G1316">
        <v>0.61</v>
      </c>
      <c r="H1316" t="s">
        <v>17</v>
      </c>
    </row>
    <row r="1317" spans="1:8" x14ac:dyDescent="0.25">
      <c r="A1317" t="s">
        <v>24</v>
      </c>
      <c r="B1317">
        <v>90359</v>
      </c>
      <c r="C1317">
        <v>15</v>
      </c>
      <c r="D1317" t="s">
        <v>9</v>
      </c>
      <c r="E1317">
        <v>0.68</v>
      </c>
      <c r="F1317">
        <v>0.87</v>
      </c>
      <c r="G1317">
        <v>0.59</v>
      </c>
      <c r="H1317" t="s">
        <v>17</v>
      </c>
    </row>
    <row r="1318" spans="1:8" x14ac:dyDescent="0.25">
      <c r="A1318" t="s">
        <v>33</v>
      </c>
      <c r="B1318">
        <v>55642</v>
      </c>
      <c r="C1318">
        <v>3</v>
      </c>
      <c r="D1318" t="s">
        <v>28</v>
      </c>
      <c r="E1318">
        <v>0.82</v>
      </c>
      <c r="F1318">
        <v>0.88</v>
      </c>
      <c r="G1318">
        <v>0.23</v>
      </c>
      <c r="H1318" t="s">
        <v>13</v>
      </c>
    </row>
    <row r="1319" spans="1:8" x14ac:dyDescent="0.25">
      <c r="A1319" t="s">
        <v>22</v>
      </c>
      <c r="B1319">
        <v>117657</v>
      </c>
      <c r="C1319">
        <v>0</v>
      </c>
      <c r="D1319" t="s">
        <v>9</v>
      </c>
      <c r="E1319">
        <v>0.52</v>
      </c>
      <c r="F1319">
        <v>1.17</v>
      </c>
      <c r="G1319">
        <v>0.32</v>
      </c>
      <c r="H1319" t="s">
        <v>17</v>
      </c>
    </row>
    <row r="1320" spans="1:8" x14ac:dyDescent="0.25">
      <c r="A1320" t="s">
        <v>22</v>
      </c>
      <c r="B1320">
        <v>128525</v>
      </c>
      <c r="C1320">
        <v>0</v>
      </c>
      <c r="D1320" t="s">
        <v>15</v>
      </c>
      <c r="E1320">
        <v>0.5</v>
      </c>
      <c r="F1320">
        <v>1.1200000000000001</v>
      </c>
      <c r="G1320">
        <v>0.43</v>
      </c>
      <c r="H1320" t="s">
        <v>17</v>
      </c>
    </row>
    <row r="1321" spans="1:8" x14ac:dyDescent="0.25">
      <c r="A1321" t="s">
        <v>20</v>
      </c>
      <c r="B1321">
        <v>41360</v>
      </c>
      <c r="C1321">
        <v>18</v>
      </c>
      <c r="D1321" t="s">
        <v>28</v>
      </c>
      <c r="E1321">
        <v>0.11</v>
      </c>
      <c r="F1321">
        <v>1.0900000000000001</v>
      </c>
      <c r="G1321">
        <v>0.56999999999999995</v>
      </c>
      <c r="H1321" t="s">
        <v>17</v>
      </c>
    </row>
    <row r="1322" spans="1:8" x14ac:dyDescent="0.25">
      <c r="A1322" t="s">
        <v>14</v>
      </c>
      <c r="B1322">
        <v>135190</v>
      </c>
      <c r="C1322">
        <v>10</v>
      </c>
      <c r="D1322" t="s">
        <v>9</v>
      </c>
      <c r="E1322">
        <v>0.15</v>
      </c>
      <c r="F1322">
        <v>0.83</v>
      </c>
      <c r="G1322">
        <v>0.73</v>
      </c>
      <c r="H1322" t="s">
        <v>10</v>
      </c>
    </row>
    <row r="1323" spans="1:8" x14ac:dyDescent="0.25">
      <c r="A1323" t="s">
        <v>25</v>
      </c>
      <c r="B1323">
        <v>81747</v>
      </c>
      <c r="C1323">
        <v>21</v>
      </c>
      <c r="D1323" t="s">
        <v>15</v>
      </c>
      <c r="E1323">
        <v>0.48</v>
      </c>
      <c r="F1323">
        <v>0.77</v>
      </c>
      <c r="G1323">
        <v>0.45</v>
      </c>
      <c r="H1323" t="s">
        <v>17</v>
      </c>
    </row>
    <row r="1324" spans="1:8" x14ac:dyDescent="0.25">
      <c r="A1324" t="s">
        <v>23</v>
      </c>
      <c r="B1324">
        <v>131809</v>
      </c>
      <c r="C1324">
        <v>2</v>
      </c>
      <c r="D1324" t="s">
        <v>15</v>
      </c>
      <c r="E1324">
        <v>0.28000000000000003</v>
      </c>
      <c r="F1324">
        <v>0.64</v>
      </c>
      <c r="G1324">
        <v>0.78</v>
      </c>
      <c r="H1324" t="s">
        <v>10</v>
      </c>
    </row>
    <row r="1325" spans="1:8" x14ac:dyDescent="0.25">
      <c r="A1325" t="s">
        <v>29</v>
      </c>
      <c r="B1325">
        <v>145070</v>
      </c>
      <c r="C1325">
        <v>14</v>
      </c>
      <c r="D1325" t="s">
        <v>9</v>
      </c>
      <c r="E1325">
        <v>0.28000000000000003</v>
      </c>
      <c r="F1325">
        <v>0.76</v>
      </c>
      <c r="G1325">
        <v>0.82</v>
      </c>
      <c r="H1325" t="s">
        <v>10</v>
      </c>
    </row>
    <row r="1326" spans="1:8" x14ac:dyDescent="0.25">
      <c r="A1326" t="s">
        <v>8</v>
      </c>
      <c r="B1326">
        <v>98688</v>
      </c>
      <c r="C1326">
        <v>8</v>
      </c>
      <c r="D1326" t="s">
        <v>9</v>
      </c>
      <c r="E1326">
        <v>0.8</v>
      </c>
      <c r="F1326">
        <v>0.65</v>
      </c>
      <c r="G1326">
        <v>0.79</v>
      </c>
      <c r="H1326" t="s">
        <v>10</v>
      </c>
    </row>
    <row r="1327" spans="1:8" x14ac:dyDescent="0.25">
      <c r="A1327" t="s">
        <v>8</v>
      </c>
      <c r="B1327">
        <v>53545</v>
      </c>
      <c r="C1327">
        <v>7</v>
      </c>
      <c r="D1327" t="s">
        <v>28</v>
      </c>
      <c r="E1327">
        <v>0.03</v>
      </c>
      <c r="F1327">
        <v>0.56999999999999995</v>
      </c>
      <c r="G1327">
        <v>0.8</v>
      </c>
      <c r="H1327" t="s">
        <v>10</v>
      </c>
    </row>
    <row r="1328" spans="1:8" x14ac:dyDescent="0.25">
      <c r="A1328" t="s">
        <v>16</v>
      </c>
      <c r="B1328">
        <v>138322</v>
      </c>
      <c r="C1328">
        <v>14</v>
      </c>
      <c r="D1328" t="s">
        <v>12</v>
      </c>
      <c r="E1328">
        <v>0.43</v>
      </c>
      <c r="F1328">
        <v>1.1200000000000001</v>
      </c>
      <c r="G1328">
        <v>0.31</v>
      </c>
      <c r="H1328" t="s">
        <v>17</v>
      </c>
    </row>
    <row r="1329" spans="1:8" x14ac:dyDescent="0.25">
      <c r="A1329" t="s">
        <v>34</v>
      </c>
      <c r="B1329">
        <v>37965</v>
      </c>
      <c r="C1329">
        <v>2</v>
      </c>
      <c r="D1329" t="s">
        <v>12</v>
      </c>
      <c r="E1329">
        <v>0.78</v>
      </c>
      <c r="F1329">
        <v>1.36</v>
      </c>
      <c r="G1329">
        <v>0.66</v>
      </c>
      <c r="H1329" t="s">
        <v>17</v>
      </c>
    </row>
    <row r="1330" spans="1:8" x14ac:dyDescent="0.25">
      <c r="A1330" t="s">
        <v>20</v>
      </c>
      <c r="B1330">
        <v>52546</v>
      </c>
      <c r="C1330">
        <v>18</v>
      </c>
      <c r="D1330" t="s">
        <v>12</v>
      </c>
      <c r="E1330">
        <v>0.28000000000000003</v>
      </c>
      <c r="F1330">
        <v>1.47</v>
      </c>
      <c r="G1330">
        <v>0.61</v>
      </c>
      <c r="H1330" t="s">
        <v>17</v>
      </c>
    </row>
    <row r="1331" spans="1:8" x14ac:dyDescent="0.25">
      <c r="A1331" t="s">
        <v>11</v>
      </c>
      <c r="B1331">
        <v>57774</v>
      </c>
      <c r="C1331">
        <v>12</v>
      </c>
      <c r="D1331" t="s">
        <v>28</v>
      </c>
      <c r="E1331">
        <v>0</v>
      </c>
      <c r="F1331">
        <v>1.05</v>
      </c>
      <c r="G1331">
        <v>0.11</v>
      </c>
      <c r="H1331" t="s">
        <v>13</v>
      </c>
    </row>
    <row r="1332" spans="1:8" x14ac:dyDescent="0.25">
      <c r="A1332" t="s">
        <v>33</v>
      </c>
      <c r="B1332">
        <v>113394</v>
      </c>
      <c r="C1332">
        <v>0</v>
      </c>
      <c r="D1332" t="s">
        <v>28</v>
      </c>
      <c r="E1332">
        <v>0.09</v>
      </c>
      <c r="F1332">
        <v>0.56000000000000005</v>
      </c>
      <c r="G1332">
        <v>0.14000000000000001</v>
      </c>
      <c r="H1332" t="s">
        <v>13</v>
      </c>
    </row>
    <row r="1333" spans="1:8" x14ac:dyDescent="0.25">
      <c r="A1333" t="s">
        <v>33</v>
      </c>
      <c r="B1333">
        <v>40002</v>
      </c>
      <c r="C1333">
        <v>10</v>
      </c>
      <c r="D1333" t="s">
        <v>12</v>
      </c>
      <c r="E1333">
        <v>0.83</v>
      </c>
      <c r="F1333">
        <v>0.7</v>
      </c>
      <c r="G1333">
        <v>0.09</v>
      </c>
      <c r="H1333" t="s">
        <v>13</v>
      </c>
    </row>
    <row r="1334" spans="1:8" x14ac:dyDescent="0.25">
      <c r="A1334" t="s">
        <v>11</v>
      </c>
      <c r="B1334">
        <v>107365</v>
      </c>
      <c r="C1334">
        <v>22</v>
      </c>
      <c r="D1334" t="s">
        <v>12</v>
      </c>
      <c r="E1334">
        <v>0.78</v>
      </c>
      <c r="F1334">
        <v>0.97</v>
      </c>
      <c r="G1334">
        <v>0.24</v>
      </c>
      <c r="H1334" t="s">
        <v>13</v>
      </c>
    </row>
    <row r="1335" spans="1:8" x14ac:dyDescent="0.25">
      <c r="A1335" t="s">
        <v>29</v>
      </c>
      <c r="B1335">
        <v>44833</v>
      </c>
      <c r="C1335">
        <v>18</v>
      </c>
      <c r="D1335" t="s">
        <v>28</v>
      </c>
      <c r="E1335">
        <v>0.61</v>
      </c>
      <c r="F1335">
        <v>0.6</v>
      </c>
      <c r="G1335">
        <v>0.91</v>
      </c>
      <c r="H1335" t="s">
        <v>10</v>
      </c>
    </row>
    <row r="1336" spans="1:8" x14ac:dyDescent="0.25">
      <c r="A1336" t="s">
        <v>24</v>
      </c>
      <c r="B1336">
        <v>52844</v>
      </c>
      <c r="C1336">
        <v>24</v>
      </c>
      <c r="D1336" t="s">
        <v>9</v>
      </c>
      <c r="E1336">
        <v>0.71</v>
      </c>
      <c r="F1336">
        <v>0.54</v>
      </c>
      <c r="G1336">
        <v>0.38</v>
      </c>
      <c r="H1336" t="s">
        <v>17</v>
      </c>
    </row>
    <row r="1337" spans="1:8" x14ac:dyDescent="0.25">
      <c r="A1337" t="s">
        <v>22</v>
      </c>
      <c r="B1337">
        <v>95265</v>
      </c>
      <c r="C1337">
        <v>6</v>
      </c>
      <c r="D1337" t="s">
        <v>15</v>
      </c>
      <c r="E1337">
        <v>0.16</v>
      </c>
      <c r="F1337">
        <v>0.83</v>
      </c>
      <c r="G1337">
        <v>0.31</v>
      </c>
      <c r="H1337" t="s">
        <v>17</v>
      </c>
    </row>
    <row r="1338" spans="1:8" x14ac:dyDescent="0.25">
      <c r="A1338" t="s">
        <v>26</v>
      </c>
      <c r="B1338">
        <v>35725</v>
      </c>
      <c r="C1338">
        <v>9</v>
      </c>
      <c r="D1338" t="s">
        <v>9</v>
      </c>
      <c r="E1338">
        <v>0.47</v>
      </c>
      <c r="F1338">
        <v>0.63</v>
      </c>
      <c r="G1338">
        <v>0.33</v>
      </c>
      <c r="H1338" t="s">
        <v>17</v>
      </c>
    </row>
    <row r="1339" spans="1:8" x14ac:dyDescent="0.25">
      <c r="A1339" t="s">
        <v>8</v>
      </c>
      <c r="B1339">
        <v>33573</v>
      </c>
      <c r="C1339">
        <v>21</v>
      </c>
      <c r="D1339" t="s">
        <v>28</v>
      </c>
      <c r="E1339">
        <v>0.21</v>
      </c>
      <c r="F1339">
        <v>0.54</v>
      </c>
      <c r="G1339">
        <v>0.82</v>
      </c>
      <c r="H1339" t="s">
        <v>10</v>
      </c>
    </row>
    <row r="1340" spans="1:8" x14ac:dyDescent="0.25">
      <c r="A1340" t="s">
        <v>29</v>
      </c>
      <c r="B1340">
        <v>65744</v>
      </c>
      <c r="C1340">
        <v>19</v>
      </c>
      <c r="D1340" t="s">
        <v>28</v>
      </c>
      <c r="E1340">
        <v>0.9</v>
      </c>
      <c r="F1340">
        <v>1.18</v>
      </c>
      <c r="G1340">
        <v>0.85</v>
      </c>
      <c r="H1340" t="s">
        <v>10</v>
      </c>
    </row>
    <row r="1341" spans="1:8" x14ac:dyDescent="0.25">
      <c r="A1341" t="s">
        <v>29</v>
      </c>
      <c r="B1341">
        <v>58672</v>
      </c>
      <c r="C1341">
        <v>12</v>
      </c>
      <c r="D1341" t="s">
        <v>28</v>
      </c>
      <c r="E1341">
        <v>0.4</v>
      </c>
      <c r="F1341">
        <v>1.45</v>
      </c>
      <c r="G1341">
        <v>0.76</v>
      </c>
      <c r="H1341" t="s">
        <v>10</v>
      </c>
    </row>
    <row r="1342" spans="1:8" x14ac:dyDescent="0.25">
      <c r="A1342" t="s">
        <v>16</v>
      </c>
      <c r="B1342">
        <v>107831</v>
      </c>
      <c r="C1342">
        <v>23</v>
      </c>
      <c r="D1342" t="s">
        <v>9</v>
      </c>
      <c r="E1342">
        <v>0.06</v>
      </c>
      <c r="F1342">
        <v>0.64</v>
      </c>
      <c r="G1342">
        <v>0.48</v>
      </c>
      <c r="H1342" t="s">
        <v>17</v>
      </c>
    </row>
    <row r="1343" spans="1:8" x14ac:dyDescent="0.25">
      <c r="A1343" t="s">
        <v>21</v>
      </c>
      <c r="B1343">
        <v>69215</v>
      </c>
      <c r="C1343">
        <v>7</v>
      </c>
      <c r="D1343" t="s">
        <v>9</v>
      </c>
      <c r="E1343">
        <v>0.19</v>
      </c>
      <c r="F1343">
        <v>0.74</v>
      </c>
      <c r="G1343">
        <v>0.25</v>
      </c>
      <c r="H1343" t="s">
        <v>13</v>
      </c>
    </row>
    <row r="1344" spans="1:8" x14ac:dyDescent="0.25">
      <c r="A1344" t="s">
        <v>11</v>
      </c>
      <c r="B1344">
        <v>88769</v>
      </c>
      <c r="C1344">
        <v>5</v>
      </c>
      <c r="D1344" t="s">
        <v>9</v>
      </c>
      <c r="E1344">
        <v>0.08</v>
      </c>
      <c r="F1344">
        <v>0.51</v>
      </c>
      <c r="G1344">
        <v>0.15</v>
      </c>
      <c r="H1344" t="s">
        <v>13</v>
      </c>
    </row>
    <row r="1345" spans="1:8" x14ac:dyDescent="0.25">
      <c r="A1345" t="s">
        <v>33</v>
      </c>
      <c r="B1345">
        <v>48408</v>
      </c>
      <c r="C1345">
        <v>9</v>
      </c>
      <c r="D1345" t="s">
        <v>15</v>
      </c>
      <c r="E1345">
        <v>0.54</v>
      </c>
      <c r="F1345">
        <v>0.8</v>
      </c>
      <c r="G1345">
        <v>0.22</v>
      </c>
      <c r="H1345" t="s">
        <v>13</v>
      </c>
    </row>
    <row r="1346" spans="1:8" x14ac:dyDescent="0.25">
      <c r="A1346" t="s">
        <v>22</v>
      </c>
      <c r="B1346">
        <v>34286</v>
      </c>
      <c r="C1346">
        <v>3</v>
      </c>
      <c r="D1346" t="s">
        <v>12</v>
      </c>
      <c r="E1346">
        <v>0.82</v>
      </c>
      <c r="F1346">
        <v>0.75</v>
      </c>
      <c r="G1346">
        <v>0.47</v>
      </c>
      <c r="H1346" t="s">
        <v>17</v>
      </c>
    </row>
    <row r="1347" spans="1:8" x14ac:dyDescent="0.25">
      <c r="A1347" t="s">
        <v>23</v>
      </c>
      <c r="B1347">
        <v>86153</v>
      </c>
      <c r="C1347">
        <v>11</v>
      </c>
      <c r="D1347" t="s">
        <v>9</v>
      </c>
      <c r="E1347">
        <v>0.56999999999999995</v>
      </c>
      <c r="F1347">
        <v>1.24</v>
      </c>
      <c r="G1347">
        <v>0.84</v>
      </c>
      <c r="H1347" t="s">
        <v>10</v>
      </c>
    </row>
    <row r="1348" spans="1:8" x14ac:dyDescent="0.25">
      <c r="A1348" t="s">
        <v>30</v>
      </c>
      <c r="B1348">
        <v>102944</v>
      </c>
      <c r="C1348">
        <v>6</v>
      </c>
      <c r="D1348" t="s">
        <v>15</v>
      </c>
      <c r="E1348">
        <v>0.9</v>
      </c>
      <c r="F1348">
        <v>1.26</v>
      </c>
      <c r="G1348">
        <v>0.26</v>
      </c>
      <c r="H1348" t="s">
        <v>13</v>
      </c>
    </row>
    <row r="1349" spans="1:8" x14ac:dyDescent="0.25">
      <c r="A1349" t="s">
        <v>30</v>
      </c>
      <c r="B1349">
        <v>92845</v>
      </c>
      <c r="C1349">
        <v>22</v>
      </c>
      <c r="D1349" t="s">
        <v>15</v>
      </c>
      <c r="E1349">
        <v>0.24</v>
      </c>
      <c r="F1349">
        <v>0.96</v>
      </c>
      <c r="G1349">
        <v>0.1</v>
      </c>
      <c r="H1349" t="s">
        <v>13</v>
      </c>
    </row>
    <row r="1350" spans="1:8" x14ac:dyDescent="0.25">
      <c r="A1350" t="s">
        <v>30</v>
      </c>
      <c r="B1350">
        <v>145429</v>
      </c>
      <c r="C1350">
        <v>14</v>
      </c>
      <c r="D1350" t="s">
        <v>28</v>
      </c>
      <c r="E1350">
        <v>0.17</v>
      </c>
      <c r="F1350">
        <v>0.52</v>
      </c>
      <c r="G1350">
        <v>0.1</v>
      </c>
      <c r="H1350" t="s">
        <v>13</v>
      </c>
    </row>
    <row r="1351" spans="1:8" x14ac:dyDescent="0.25">
      <c r="A1351" t="s">
        <v>21</v>
      </c>
      <c r="B1351">
        <v>144621</v>
      </c>
      <c r="C1351">
        <v>5</v>
      </c>
      <c r="D1351" t="s">
        <v>15</v>
      </c>
      <c r="E1351">
        <v>0</v>
      </c>
      <c r="F1351">
        <v>1.37</v>
      </c>
      <c r="G1351">
        <v>0.26</v>
      </c>
      <c r="H1351" t="s">
        <v>13</v>
      </c>
    </row>
    <row r="1352" spans="1:8" x14ac:dyDescent="0.25">
      <c r="A1352" t="s">
        <v>14</v>
      </c>
      <c r="B1352">
        <v>110174</v>
      </c>
      <c r="C1352">
        <v>4</v>
      </c>
      <c r="D1352" t="s">
        <v>28</v>
      </c>
      <c r="E1352">
        <v>0.53</v>
      </c>
      <c r="F1352">
        <v>1.35</v>
      </c>
      <c r="G1352">
        <v>0.71</v>
      </c>
      <c r="H1352" t="s">
        <v>10</v>
      </c>
    </row>
    <row r="1353" spans="1:8" x14ac:dyDescent="0.25">
      <c r="A1353" t="s">
        <v>22</v>
      </c>
      <c r="B1353">
        <v>95951</v>
      </c>
      <c r="C1353">
        <v>3</v>
      </c>
      <c r="D1353" t="s">
        <v>15</v>
      </c>
      <c r="E1353">
        <v>0.68</v>
      </c>
      <c r="F1353">
        <v>0.64</v>
      </c>
      <c r="G1353">
        <v>0.36</v>
      </c>
      <c r="H1353" t="s">
        <v>17</v>
      </c>
    </row>
    <row r="1354" spans="1:8" x14ac:dyDescent="0.25">
      <c r="A1354" t="s">
        <v>18</v>
      </c>
      <c r="B1354">
        <v>132255</v>
      </c>
      <c r="C1354">
        <v>20</v>
      </c>
      <c r="D1354" t="s">
        <v>28</v>
      </c>
      <c r="E1354">
        <v>0.92</v>
      </c>
      <c r="F1354">
        <v>0.61</v>
      </c>
      <c r="G1354">
        <v>0.38</v>
      </c>
      <c r="H1354" t="s">
        <v>17</v>
      </c>
    </row>
    <row r="1355" spans="1:8" x14ac:dyDescent="0.25">
      <c r="A1355" t="s">
        <v>21</v>
      </c>
      <c r="B1355">
        <v>77052</v>
      </c>
      <c r="C1355">
        <v>22</v>
      </c>
      <c r="D1355" t="s">
        <v>15</v>
      </c>
      <c r="E1355">
        <v>0.05</v>
      </c>
      <c r="F1355">
        <v>1.24</v>
      </c>
      <c r="G1355">
        <v>0.14000000000000001</v>
      </c>
      <c r="H1355" t="s">
        <v>13</v>
      </c>
    </row>
    <row r="1356" spans="1:8" x14ac:dyDescent="0.25">
      <c r="A1356" t="s">
        <v>31</v>
      </c>
      <c r="B1356">
        <v>98324</v>
      </c>
      <c r="C1356">
        <v>21</v>
      </c>
      <c r="D1356" t="s">
        <v>12</v>
      </c>
      <c r="E1356">
        <v>0.01</v>
      </c>
      <c r="F1356">
        <v>1.24</v>
      </c>
      <c r="G1356">
        <v>0.77</v>
      </c>
      <c r="H1356" t="s">
        <v>10</v>
      </c>
    </row>
    <row r="1357" spans="1:8" x14ac:dyDescent="0.25">
      <c r="A1357" t="s">
        <v>16</v>
      </c>
      <c r="B1357">
        <v>127204</v>
      </c>
      <c r="C1357">
        <v>15</v>
      </c>
      <c r="D1357" t="s">
        <v>28</v>
      </c>
      <c r="E1357">
        <v>0.03</v>
      </c>
      <c r="F1357">
        <v>1.47</v>
      </c>
      <c r="G1357">
        <v>0.56000000000000005</v>
      </c>
      <c r="H1357" t="s">
        <v>17</v>
      </c>
    </row>
    <row r="1358" spans="1:8" x14ac:dyDescent="0.25">
      <c r="A1358" t="s">
        <v>26</v>
      </c>
      <c r="B1358">
        <v>106489</v>
      </c>
      <c r="C1358">
        <v>11</v>
      </c>
      <c r="D1358" t="s">
        <v>15</v>
      </c>
      <c r="E1358">
        <v>0.44</v>
      </c>
      <c r="F1358">
        <v>1.22</v>
      </c>
      <c r="G1358">
        <v>0.56000000000000005</v>
      </c>
      <c r="H1358" t="s">
        <v>17</v>
      </c>
    </row>
    <row r="1359" spans="1:8" x14ac:dyDescent="0.25">
      <c r="A1359" t="s">
        <v>32</v>
      </c>
      <c r="B1359">
        <v>138906</v>
      </c>
      <c r="C1359">
        <v>2</v>
      </c>
      <c r="D1359" t="s">
        <v>12</v>
      </c>
      <c r="E1359">
        <v>0.9</v>
      </c>
      <c r="F1359">
        <v>0.7</v>
      </c>
      <c r="G1359">
        <v>0.42</v>
      </c>
      <c r="H1359" t="s">
        <v>17</v>
      </c>
    </row>
    <row r="1360" spans="1:8" x14ac:dyDescent="0.25">
      <c r="A1360" t="s">
        <v>23</v>
      </c>
      <c r="B1360">
        <v>105477</v>
      </c>
      <c r="C1360">
        <v>19</v>
      </c>
      <c r="D1360" t="s">
        <v>28</v>
      </c>
      <c r="E1360">
        <v>0.97</v>
      </c>
      <c r="F1360">
        <v>0.93</v>
      </c>
      <c r="G1360">
        <v>0.76</v>
      </c>
      <c r="H1360" t="s">
        <v>10</v>
      </c>
    </row>
    <row r="1361" spans="1:8" x14ac:dyDescent="0.25">
      <c r="A1361" t="s">
        <v>27</v>
      </c>
      <c r="B1361">
        <v>128103</v>
      </c>
      <c r="C1361">
        <v>21</v>
      </c>
      <c r="D1361" t="s">
        <v>28</v>
      </c>
      <c r="E1361">
        <v>0.08</v>
      </c>
      <c r="F1361">
        <v>1.29</v>
      </c>
      <c r="G1361">
        <v>0.63</v>
      </c>
      <c r="H1361" t="s">
        <v>17</v>
      </c>
    </row>
    <row r="1362" spans="1:8" x14ac:dyDescent="0.25">
      <c r="A1362" t="s">
        <v>25</v>
      </c>
      <c r="B1362">
        <v>58401</v>
      </c>
      <c r="C1362">
        <v>4</v>
      </c>
      <c r="D1362" t="s">
        <v>15</v>
      </c>
      <c r="E1362">
        <v>0.94</v>
      </c>
      <c r="F1362">
        <v>1.02</v>
      </c>
      <c r="G1362">
        <v>0.51</v>
      </c>
      <c r="H1362" t="s">
        <v>17</v>
      </c>
    </row>
    <row r="1363" spans="1:8" x14ac:dyDescent="0.25">
      <c r="A1363" t="s">
        <v>8</v>
      </c>
      <c r="B1363">
        <v>109870</v>
      </c>
      <c r="C1363">
        <v>14</v>
      </c>
      <c r="D1363" t="s">
        <v>9</v>
      </c>
      <c r="E1363">
        <v>0.55000000000000004</v>
      </c>
      <c r="F1363">
        <v>1.1100000000000001</v>
      </c>
      <c r="G1363">
        <v>0.88</v>
      </c>
      <c r="H1363" t="s">
        <v>10</v>
      </c>
    </row>
    <row r="1364" spans="1:8" x14ac:dyDescent="0.25">
      <c r="A1364" t="s">
        <v>19</v>
      </c>
      <c r="B1364">
        <v>93560</v>
      </c>
      <c r="C1364">
        <v>21</v>
      </c>
      <c r="D1364" t="s">
        <v>12</v>
      </c>
      <c r="E1364">
        <v>0.6</v>
      </c>
      <c r="F1364">
        <v>0.72</v>
      </c>
      <c r="G1364">
        <v>0.13</v>
      </c>
      <c r="H1364" t="s">
        <v>13</v>
      </c>
    </row>
    <row r="1365" spans="1:8" x14ac:dyDescent="0.25">
      <c r="A1365" t="s">
        <v>21</v>
      </c>
      <c r="B1365">
        <v>143114</v>
      </c>
      <c r="C1365">
        <v>15</v>
      </c>
      <c r="D1365" t="s">
        <v>15</v>
      </c>
      <c r="E1365">
        <v>0.46</v>
      </c>
      <c r="F1365">
        <v>1.19</v>
      </c>
      <c r="G1365">
        <v>0.16</v>
      </c>
      <c r="H1365" t="s">
        <v>13</v>
      </c>
    </row>
    <row r="1366" spans="1:8" x14ac:dyDescent="0.25">
      <c r="A1366" t="s">
        <v>22</v>
      </c>
      <c r="B1366">
        <v>128960</v>
      </c>
      <c r="C1366">
        <v>7</v>
      </c>
      <c r="D1366" t="s">
        <v>9</v>
      </c>
      <c r="E1366">
        <v>0.52</v>
      </c>
      <c r="F1366">
        <v>1.06</v>
      </c>
      <c r="G1366">
        <v>0.59</v>
      </c>
      <c r="H1366" t="s">
        <v>17</v>
      </c>
    </row>
    <row r="1367" spans="1:8" x14ac:dyDescent="0.25">
      <c r="A1367" t="s">
        <v>32</v>
      </c>
      <c r="B1367">
        <v>30125</v>
      </c>
      <c r="C1367">
        <v>14</v>
      </c>
      <c r="D1367" t="s">
        <v>12</v>
      </c>
      <c r="E1367">
        <v>0.8</v>
      </c>
      <c r="F1367">
        <v>1.27</v>
      </c>
      <c r="G1367">
        <v>0.31</v>
      </c>
      <c r="H1367" t="s">
        <v>17</v>
      </c>
    </row>
    <row r="1368" spans="1:8" x14ac:dyDescent="0.25">
      <c r="A1368" t="s">
        <v>16</v>
      </c>
      <c r="B1368">
        <v>121703</v>
      </c>
      <c r="C1368">
        <v>15</v>
      </c>
      <c r="D1368" t="s">
        <v>9</v>
      </c>
      <c r="E1368">
        <v>0.9</v>
      </c>
      <c r="F1368">
        <v>0.95</v>
      </c>
      <c r="G1368">
        <v>0.46</v>
      </c>
      <c r="H1368" t="s">
        <v>17</v>
      </c>
    </row>
    <row r="1369" spans="1:8" x14ac:dyDescent="0.25">
      <c r="A1369" t="s">
        <v>32</v>
      </c>
      <c r="B1369">
        <v>40736</v>
      </c>
      <c r="C1369">
        <v>25</v>
      </c>
      <c r="D1369" t="s">
        <v>28</v>
      </c>
      <c r="E1369">
        <v>0.87</v>
      </c>
      <c r="F1369">
        <v>1.45</v>
      </c>
      <c r="G1369">
        <v>0.31</v>
      </c>
      <c r="H1369" t="s">
        <v>17</v>
      </c>
    </row>
    <row r="1370" spans="1:8" x14ac:dyDescent="0.25">
      <c r="A1370" t="s">
        <v>25</v>
      </c>
      <c r="B1370">
        <v>131709</v>
      </c>
      <c r="C1370">
        <v>25</v>
      </c>
      <c r="D1370" t="s">
        <v>15</v>
      </c>
      <c r="E1370">
        <v>0.66</v>
      </c>
      <c r="F1370">
        <v>1.01</v>
      </c>
      <c r="G1370">
        <v>0.59</v>
      </c>
      <c r="H1370" t="s">
        <v>17</v>
      </c>
    </row>
    <row r="1371" spans="1:8" x14ac:dyDescent="0.25">
      <c r="A1371" t="s">
        <v>26</v>
      </c>
      <c r="B1371">
        <v>48050</v>
      </c>
      <c r="C1371">
        <v>29</v>
      </c>
      <c r="D1371" t="s">
        <v>28</v>
      </c>
      <c r="E1371">
        <v>0.68</v>
      </c>
      <c r="F1371">
        <v>1.05</v>
      </c>
      <c r="G1371">
        <v>0.56999999999999995</v>
      </c>
      <c r="H1371" t="s">
        <v>17</v>
      </c>
    </row>
    <row r="1372" spans="1:8" x14ac:dyDescent="0.25">
      <c r="A1372" t="s">
        <v>30</v>
      </c>
      <c r="B1372">
        <v>38338</v>
      </c>
      <c r="C1372">
        <v>20</v>
      </c>
      <c r="D1372" t="s">
        <v>12</v>
      </c>
      <c r="E1372">
        <v>0.83</v>
      </c>
      <c r="F1372">
        <v>0.92</v>
      </c>
      <c r="G1372">
        <v>0.16</v>
      </c>
      <c r="H1372" t="s">
        <v>13</v>
      </c>
    </row>
    <row r="1373" spans="1:8" x14ac:dyDescent="0.25">
      <c r="A1373" t="s">
        <v>22</v>
      </c>
      <c r="B1373">
        <v>80382</v>
      </c>
      <c r="C1373">
        <v>22</v>
      </c>
      <c r="D1373" t="s">
        <v>15</v>
      </c>
      <c r="E1373">
        <v>0.87</v>
      </c>
      <c r="F1373">
        <v>1.23</v>
      </c>
      <c r="G1373">
        <v>0.6</v>
      </c>
      <c r="H1373" t="s">
        <v>17</v>
      </c>
    </row>
    <row r="1374" spans="1:8" x14ac:dyDescent="0.25">
      <c r="A1374" t="s">
        <v>26</v>
      </c>
      <c r="B1374">
        <v>147511</v>
      </c>
      <c r="C1374">
        <v>0</v>
      </c>
      <c r="D1374" t="s">
        <v>15</v>
      </c>
      <c r="E1374">
        <v>1</v>
      </c>
      <c r="F1374">
        <v>0.76</v>
      </c>
      <c r="G1374">
        <v>0.59</v>
      </c>
      <c r="H1374" t="s">
        <v>17</v>
      </c>
    </row>
    <row r="1375" spans="1:8" x14ac:dyDescent="0.25">
      <c r="A1375" t="s">
        <v>16</v>
      </c>
      <c r="B1375">
        <v>46791</v>
      </c>
      <c r="C1375">
        <v>4</v>
      </c>
      <c r="D1375" t="s">
        <v>28</v>
      </c>
      <c r="E1375">
        <v>0.01</v>
      </c>
      <c r="F1375">
        <v>1.49</v>
      </c>
      <c r="G1375">
        <v>0.69</v>
      </c>
      <c r="H1375" t="s">
        <v>17</v>
      </c>
    </row>
    <row r="1376" spans="1:8" x14ac:dyDescent="0.25">
      <c r="A1376" t="s">
        <v>24</v>
      </c>
      <c r="B1376">
        <v>114300</v>
      </c>
      <c r="C1376">
        <v>16</v>
      </c>
      <c r="D1376" t="s">
        <v>9</v>
      </c>
      <c r="E1376">
        <v>0.09</v>
      </c>
      <c r="F1376">
        <v>1.36</v>
      </c>
      <c r="G1376">
        <v>0.54</v>
      </c>
      <c r="H1376" t="s">
        <v>17</v>
      </c>
    </row>
    <row r="1377" spans="1:8" x14ac:dyDescent="0.25">
      <c r="A1377" t="s">
        <v>8</v>
      </c>
      <c r="B1377">
        <v>105165</v>
      </c>
      <c r="C1377">
        <v>6</v>
      </c>
      <c r="D1377" t="s">
        <v>28</v>
      </c>
      <c r="E1377">
        <v>0.41</v>
      </c>
      <c r="F1377">
        <v>0.66</v>
      </c>
      <c r="G1377">
        <v>0.83</v>
      </c>
      <c r="H1377" t="s">
        <v>10</v>
      </c>
    </row>
    <row r="1378" spans="1:8" x14ac:dyDescent="0.25">
      <c r="A1378" t="s">
        <v>23</v>
      </c>
      <c r="B1378">
        <v>68180</v>
      </c>
      <c r="C1378">
        <v>29</v>
      </c>
      <c r="D1378" t="s">
        <v>15</v>
      </c>
      <c r="E1378">
        <v>0.17</v>
      </c>
      <c r="F1378">
        <v>0.56000000000000005</v>
      </c>
      <c r="G1378">
        <v>0.77</v>
      </c>
      <c r="H1378" t="s">
        <v>10</v>
      </c>
    </row>
    <row r="1379" spans="1:8" x14ac:dyDescent="0.25">
      <c r="A1379" t="s">
        <v>33</v>
      </c>
      <c r="B1379">
        <v>72019</v>
      </c>
      <c r="C1379">
        <v>16</v>
      </c>
      <c r="D1379" t="s">
        <v>28</v>
      </c>
      <c r="E1379">
        <v>0.72</v>
      </c>
      <c r="F1379">
        <v>1.21</v>
      </c>
      <c r="G1379">
        <v>0.18</v>
      </c>
      <c r="H1379" t="s">
        <v>13</v>
      </c>
    </row>
    <row r="1380" spans="1:8" x14ac:dyDescent="0.25">
      <c r="A1380" t="s">
        <v>25</v>
      </c>
      <c r="B1380">
        <v>117464</v>
      </c>
      <c r="C1380">
        <v>9</v>
      </c>
      <c r="D1380" t="s">
        <v>15</v>
      </c>
      <c r="E1380">
        <v>0.51</v>
      </c>
      <c r="F1380">
        <v>0.92</v>
      </c>
      <c r="G1380">
        <v>0.48</v>
      </c>
      <c r="H1380" t="s">
        <v>17</v>
      </c>
    </row>
    <row r="1381" spans="1:8" x14ac:dyDescent="0.25">
      <c r="A1381" t="s">
        <v>14</v>
      </c>
      <c r="B1381">
        <v>100278</v>
      </c>
      <c r="C1381">
        <v>28</v>
      </c>
      <c r="D1381" t="s">
        <v>9</v>
      </c>
      <c r="E1381">
        <v>0.5</v>
      </c>
      <c r="F1381">
        <v>1.07</v>
      </c>
      <c r="G1381">
        <v>0.88</v>
      </c>
      <c r="H1381" t="s">
        <v>10</v>
      </c>
    </row>
    <row r="1382" spans="1:8" x14ac:dyDescent="0.25">
      <c r="A1382" t="s">
        <v>24</v>
      </c>
      <c r="B1382">
        <v>105073</v>
      </c>
      <c r="C1382">
        <v>1</v>
      </c>
      <c r="D1382" t="s">
        <v>9</v>
      </c>
      <c r="E1382">
        <v>0.28000000000000003</v>
      </c>
      <c r="F1382">
        <v>1.4</v>
      </c>
      <c r="G1382">
        <v>0.37</v>
      </c>
      <c r="H1382" t="s">
        <v>17</v>
      </c>
    </row>
    <row r="1383" spans="1:8" x14ac:dyDescent="0.25">
      <c r="A1383" t="s">
        <v>24</v>
      </c>
      <c r="B1383">
        <v>35922</v>
      </c>
      <c r="C1383">
        <v>23</v>
      </c>
      <c r="D1383" t="s">
        <v>28</v>
      </c>
      <c r="E1383">
        <v>1</v>
      </c>
      <c r="F1383">
        <v>1.45</v>
      </c>
      <c r="G1383">
        <v>0.54</v>
      </c>
      <c r="H1383" t="s">
        <v>17</v>
      </c>
    </row>
    <row r="1384" spans="1:8" x14ac:dyDescent="0.25">
      <c r="A1384" t="s">
        <v>18</v>
      </c>
      <c r="B1384">
        <v>99915</v>
      </c>
      <c r="C1384">
        <v>13</v>
      </c>
      <c r="D1384" t="s">
        <v>15</v>
      </c>
      <c r="E1384">
        <v>0.19</v>
      </c>
      <c r="F1384">
        <v>0.72</v>
      </c>
      <c r="G1384">
        <v>0.62</v>
      </c>
      <c r="H1384" t="s">
        <v>17</v>
      </c>
    </row>
    <row r="1385" spans="1:8" x14ac:dyDescent="0.25">
      <c r="A1385" t="s">
        <v>24</v>
      </c>
      <c r="B1385">
        <v>143868</v>
      </c>
      <c r="C1385">
        <v>27</v>
      </c>
      <c r="D1385" t="s">
        <v>9</v>
      </c>
      <c r="E1385">
        <v>0.06</v>
      </c>
      <c r="F1385">
        <v>1.23</v>
      </c>
      <c r="G1385">
        <v>0.43</v>
      </c>
      <c r="H1385" t="s">
        <v>17</v>
      </c>
    </row>
    <row r="1386" spans="1:8" x14ac:dyDescent="0.25">
      <c r="A1386" t="s">
        <v>20</v>
      </c>
      <c r="B1386">
        <v>30318</v>
      </c>
      <c r="C1386">
        <v>10</v>
      </c>
      <c r="D1386" t="s">
        <v>28</v>
      </c>
      <c r="E1386">
        <v>0.03</v>
      </c>
      <c r="F1386">
        <v>0.95</v>
      </c>
      <c r="G1386">
        <v>0.52</v>
      </c>
      <c r="H1386" t="s">
        <v>17</v>
      </c>
    </row>
    <row r="1387" spans="1:8" x14ac:dyDescent="0.25">
      <c r="A1387" t="s">
        <v>25</v>
      </c>
      <c r="B1387">
        <v>144148</v>
      </c>
      <c r="C1387">
        <v>19</v>
      </c>
      <c r="D1387" t="s">
        <v>12</v>
      </c>
      <c r="E1387">
        <v>0.59</v>
      </c>
      <c r="F1387">
        <v>0.64</v>
      </c>
      <c r="G1387">
        <v>0.56000000000000005</v>
      </c>
      <c r="H1387" t="s">
        <v>17</v>
      </c>
    </row>
    <row r="1388" spans="1:8" x14ac:dyDescent="0.25">
      <c r="A1388" t="s">
        <v>18</v>
      </c>
      <c r="B1388">
        <v>68790</v>
      </c>
      <c r="C1388">
        <v>3</v>
      </c>
      <c r="D1388" t="s">
        <v>12</v>
      </c>
      <c r="E1388">
        <v>0.65</v>
      </c>
      <c r="F1388">
        <v>0.87</v>
      </c>
      <c r="G1388">
        <v>0.43</v>
      </c>
      <c r="H1388" t="s">
        <v>17</v>
      </c>
    </row>
    <row r="1389" spans="1:8" x14ac:dyDescent="0.25">
      <c r="A1389" t="s">
        <v>18</v>
      </c>
      <c r="B1389">
        <v>102353</v>
      </c>
      <c r="C1389">
        <v>6</v>
      </c>
      <c r="D1389" t="s">
        <v>28</v>
      </c>
      <c r="E1389">
        <v>0.01</v>
      </c>
      <c r="F1389">
        <v>1.1299999999999999</v>
      </c>
      <c r="G1389">
        <v>0.55000000000000004</v>
      </c>
      <c r="H1389" t="s">
        <v>17</v>
      </c>
    </row>
    <row r="1390" spans="1:8" x14ac:dyDescent="0.25">
      <c r="A1390" t="s">
        <v>23</v>
      </c>
      <c r="B1390">
        <v>50810</v>
      </c>
      <c r="C1390">
        <v>16</v>
      </c>
      <c r="D1390" t="s">
        <v>15</v>
      </c>
      <c r="E1390">
        <v>0.77</v>
      </c>
      <c r="F1390">
        <v>1.46</v>
      </c>
      <c r="G1390">
        <v>0.71</v>
      </c>
      <c r="H1390" t="s">
        <v>10</v>
      </c>
    </row>
    <row r="1391" spans="1:8" x14ac:dyDescent="0.25">
      <c r="A1391" t="s">
        <v>11</v>
      </c>
      <c r="B1391">
        <v>83565</v>
      </c>
      <c r="C1391">
        <v>2</v>
      </c>
      <c r="D1391" t="s">
        <v>15</v>
      </c>
      <c r="E1391">
        <v>0</v>
      </c>
      <c r="F1391">
        <v>0.61</v>
      </c>
      <c r="G1391">
        <v>0.14000000000000001</v>
      </c>
      <c r="H1391" t="s">
        <v>13</v>
      </c>
    </row>
    <row r="1392" spans="1:8" x14ac:dyDescent="0.25">
      <c r="A1392" t="s">
        <v>11</v>
      </c>
      <c r="B1392">
        <v>74555</v>
      </c>
      <c r="C1392">
        <v>2</v>
      </c>
      <c r="D1392" t="s">
        <v>28</v>
      </c>
      <c r="E1392">
        <v>0.66</v>
      </c>
      <c r="F1392">
        <v>1.48</v>
      </c>
      <c r="G1392">
        <v>0.28999999999999998</v>
      </c>
      <c r="H1392" t="s">
        <v>13</v>
      </c>
    </row>
    <row r="1393" spans="1:8" x14ac:dyDescent="0.25">
      <c r="A1393" t="s">
        <v>29</v>
      </c>
      <c r="B1393">
        <v>110196</v>
      </c>
      <c r="C1393">
        <v>17</v>
      </c>
      <c r="D1393" t="s">
        <v>9</v>
      </c>
      <c r="E1393">
        <v>0.98</v>
      </c>
      <c r="F1393">
        <v>1.35</v>
      </c>
      <c r="G1393">
        <v>0.81</v>
      </c>
      <c r="H1393" t="s">
        <v>10</v>
      </c>
    </row>
    <row r="1394" spans="1:8" x14ac:dyDescent="0.25">
      <c r="A1394" t="s">
        <v>34</v>
      </c>
      <c r="B1394">
        <v>133501</v>
      </c>
      <c r="C1394">
        <v>10</v>
      </c>
      <c r="D1394" t="s">
        <v>28</v>
      </c>
      <c r="E1394">
        <v>0.19</v>
      </c>
      <c r="F1394">
        <v>1.22</v>
      </c>
      <c r="G1394">
        <v>0.43</v>
      </c>
      <c r="H1394" t="s">
        <v>17</v>
      </c>
    </row>
    <row r="1395" spans="1:8" x14ac:dyDescent="0.25">
      <c r="A1395" t="s">
        <v>22</v>
      </c>
      <c r="B1395">
        <v>60639</v>
      </c>
      <c r="C1395">
        <v>10</v>
      </c>
      <c r="D1395" t="s">
        <v>28</v>
      </c>
      <c r="E1395">
        <v>0.2</v>
      </c>
      <c r="F1395">
        <v>0.56000000000000005</v>
      </c>
      <c r="G1395">
        <v>0.52</v>
      </c>
      <c r="H1395" t="s">
        <v>17</v>
      </c>
    </row>
    <row r="1396" spans="1:8" x14ac:dyDescent="0.25">
      <c r="A1396" t="s">
        <v>29</v>
      </c>
      <c r="B1396">
        <v>94414</v>
      </c>
      <c r="C1396">
        <v>21</v>
      </c>
      <c r="D1396" t="s">
        <v>12</v>
      </c>
      <c r="E1396">
        <v>0.75</v>
      </c>
      <c r="F1396">
        <v>0.67</v>
      </c>
      <c r="G1396">
        <v>0.85</v>
      </c>
      <c r="H1396" t="s">
        <v>10</v>
      </c>
    </row>
    <row r="1397" spans="1:8" x14ac:dyDescent="0.25">
      <c r="A1397" t="s">
        <v>21</v>
      </c>
      <c r="B1397">
        <v>97963</v>
      </c>
      <c r="C1397">
        <v>25</v>
      </c>
      <c r="D1397" t="s">
        <v>28</v>
      </c>
      <c r="E1397">
        <v>0.69</v>
      </c>
      <c r="F1397">
        <v>1.1499999999999999</v>
      </c>
      <c r="G1397">
        <v>0.15</v>
      </c>
      <c r="H1397" t="s">
        <v>13</v>
      </c>
    </row>
    <row r="1398" spans="1:8" x14ac:dyDescent="0.25">
      <c r="A1398" t="s">
        <v>11</v>
      </c>
      <c r="B1398">
        <v>137020</v>
      </c>
      <c r="C1398">
        <v>23</v>
      </c>
      <c r="D1398" t="s">
        <v>12</v>
      </c>
      <c r="E1398">
        <v>0.53</v>
      </c>
      <c r="F1398">
        <v>0.98</v>
      </c>
      <c r="G1398">
        <v>0.22</v>
      </c>
      <c r="H1398" t="s">
        <v>13</v>
      </c>
    </row>
    <row r="1399" spans="1:8" x14ac:dyDescent="0.25">
      <c r="A1399" t="s">
        <v>31</v>
      </c>
      <c r="B1399">
        <v>71941</v>
      </c>
      <c r="C1399">
        <v>22</v>
      </c>
      <c r="D1399" t="s">
        <v>15</v>
      </c>
      <c r="E1399">
        <v>0.45</v>
      </c>
      <c r="F1399">
        <v>1.36</v>
      </c>
      <c r="G1399">
        <v>0.92</v>
      </c>
      <c r="H1399" t="s">
        <v>10</v>
      </c>
    </row>
    <row r="1400" spans="1:8" x14ac:dyDescent="0.25">
      <c r="A1400" t="s">
        <v>29</v>
      </c>
      <c r="B1400">
        <v>54269</v>
      </c>
      <c r="C1400">
        <v>1</v>
      </c>
      <c r="D1400" t="s">
        <v>12</v>
      </c>
      <c r="E1400">
        <v>0.87</v>
      </c>
      <c r="F1400">
        <v>1.17</v>
      </c>
      <c r="G1400">
        <v>0.87</v>
      </c>
      <c r="H1400" t="s">
        <v>10</v>
      </c>
    </row>
    <row r="1401" spans="1:8" x14ac:dyDescent="0.25">
      <c r="A1401" t="s">
        <v>8</v>
      </c>
      <c r="B1401">
        <v>122816</v>
      </c>
      <c r="C1401">
        <v>15</v>
      </c>
      <c r="D1401" t="s">
        <v>9</v>
      </c>
      <c r="E1401">
        <v>0.1</v>
      </c>
      <c r="F1401">
        <v>1</v>
      </c>
      <c r="G1401">
        <v>0.81</v>
      </c>
      <c r="H1401" t="s">
        <v>10</v>
      </c>
    </row>
    <row r="1402" spans="1:8" x14ac:dyDescent="0.25">
      <c r="A1402" t="s">
        <v>26</v>
      </c>
      <c r="B1402">
        <v>97500</v>
      </c>
      <c r="C1402">
        <v>23</v>
      </c>
      <c r="D1402" t="s">
        <v>9</v>
      </c>
      <c r="E1402">
        <v>0.26</v>
      </c>
      <c r="F1402">
        <v>1.1000000000000001</v>
      </c>
      <c r="G1402">
        <v>0.56999999999999995</v>
      </c>
      <c r="H1402" t="s">
        <v>17</v>
      </c>
    </row>
    <row r="1403" spans="1:8" x14ac:dyDescent="0.25">
      <c r="A1403" t="s">
        <v>25</v>
      </c>
      <c r="B1403">
        <v>129626</v>
      </c>
      <c r="C1403">
        <v>11</v>
      </c>
      <c r="D1403" t="s">
        <v>28</v>
      </c>
      <c r="E1403">
        <v>0.47</v>
      </c>
      <c r="F1403">
        <v>0.5</v>
      </c>
      <c r="G1403">
        <v>0.46</v>
      </c>
      <c r="H1403" t="s">
        <v>17</v>
      </c>
    </row>
    <row r="1404" spans="1:8" x14ac:dyDescent="0.25">
      <c r="A1404" t="s">
        <v>18</v>
      </c>
      <c r="B1404">
        <v>95107</v>
      </c>
      <c r="C1404">
        <v>9</v>
      </c>
      <c r="D1404" t="s">
        <v>28</v>
      </c>
      <c r="E1404">
        <v>0.13</v>
      </c>
      <c r="F1404">
        <v>0.55000000000000004</v>
      </c>
      <c r="G1404">
        <v>0.61</v>
      </c>
      <c r="H1404" t="s">
        <v>17</v>
      </c>
    </row>
    <row r="1405" spans="1:8" x14ac:dyDescent="0.25">
      <c r="A1405" t="s">
        <v>8</v>
      </c>
      <c r="B1405">
        <v>49638</v>
      </c>
      <c r="C1405">
        <v>16</v>
      </c>
      <c r="D1405" t="s">
        <v>15</v>
      </c>
      <c r="E1405">
        <v>0.41</v>
      </c>
      <c r="F1405">
        <v>0.87</v>
      </c>
      <c r="G1405">
        <v>0.83</v>
      </c>
      <c r="H1405" t="s">
        <v>10</v>
      </c>
    </row>
    <row r="1406" spans="1:8" x14ac:dyDescent="0.25">
      <c r="A1406" t="s">
        <v>26</v>
      </c>
      <c r="B1406">
        <v>131471</v>
      </c>
      <c r="C1406">
        <v>4</v>
      </c>
      <c r="D1406" t="s">
        <v>9</v>
      </c>
      <c r="E1406">
        <v>0.98</v>
      </c>
      <c r="F1406">
        <v>0.92</v>
      </c>
      <c r="G1406">
        <v>0.38</v>
      </c>
      <c r="H1406" t="s">
        <v>17</v>
      </c>
    </row>
    <row r="1407" spans="1:8" x14ac:dyDescent="0.25">
      <c r="A1407" t="s">
        <v>26</v>
      </c>
      <c r="B1407">
        <v>65319</v>
      </c>
      <c r="C1407">
        <v>25</v>
      </c>
      <c r="D1407" t="s">
        <v>15</v>
      </c>
      <c r="E1407">
        <v>0.76</v>
      </c>
      <c r="F1407">
        <v>0.87</v>
      </c>
      <c r="G1407">
        <v>0.65</v>
      </c>
      <c r="H1407" t="s">
        <v>17</v>
      </c>
    </row>
    <row r="1408" spans="1:8" x14ac:dyDescent="0.25">
      <c r="A1408" t="s">
        <v>8</v>
      </c>
      <c r="B1408">
        <v>46029</v>
      </c>
      <c r="C1408">
        <v>14</v>
      </c>
      <c r="D1408" t="s">
        <v>9</v>
      </c>
      <c r="E1408">
        <v>0.2</v>
      </c>
      <c r="F1408">
        <v>1.19</v>
      </c>
      <c r="G1408">
        <v>0.75</v>
      </c>
      <c r="H1408" t="s">
        <v>10</v>
      </c>
    </row>
    <row r="1409" spans="1:8" x14ac:dyDescent="0.25">
      <c r="A1409" t="s">
        <v>19</v>
      </c>
      <c r="B1409">
        <v>62380</v>
      </c>
      <c r="C1409">
        <v>2</v>
      </c>
      <c r="D1409" t="s">
        <v>9</v>
      </c>
      <c r="E1409">
        <v>0.28999999999999998</v>
      </c>
      <c r="F1409">
        <v>1.1200000000000001</v>
      </c>
      <c r="G1409">
        <v>0.1</v>
      </c>
      <c r="H1409" t="s">
        <v>13</v>
      </c>
    </row>
    <row r="1410" spans="1:8" x14ac:dyDescent="0.25">
      <c r="A1410" t="s">
        <v>22</v>
      </c>
      <c r="B1410">
        <v>108966</v>
      </c>
      <c r="C1410">
        <v>4</v>
      </c>
      <c r="D1410" t="s">
        <v>28</v>
      </c>
      <c r="E1410">
        <v>7.0000000000000007E-2</v>
      </c>
      <c r="F1410">
        <v>1.2</v>
      </c>
      <c r="G1410">
        <v>0.47</v>
      </c>
      <c r="H1410" t="s">
        <v>17</v>
      </c>
    </row>
    <row r="1411" spans="1:8" x14ac:dyDescent="0.25">
      <c r="A1411" t="s">
        <v>18</v>
      </c>
      <c r="B1411">
        <v>142692</v>
      </c>
      <c r="C1411">
        <v>27</v>
      </c>
      <c r="D1411" t="s">
        <v>12</v>
      </c>
      <c r="E1411">
        <v>0.39</v>
      </c>
      <c r="F1411">
        <v>1.1599999999999999</v>
      </c>
      <c r="G1411">
        <v>0.67</v>
      </c>
      <c r="H1411" t="s">
        <v>17</v>
      </c>
    </row>
    <row r="1412" spans="1:8" x14ac:dyDescent="0.25">
      <c r="A1412" t="s">
        <v>23</v>
      </c>
      <c r="B1412">
        <v>33518</v>
      </c>
      <c r="C1412">
        <v>6</v>
      </c>
      <c r="D1412" t="s">
        <v>12</v>
      </c>
      <c r="E1412">
        <v>0.89</v>
      </c>
      <c r="F1412">
        <v>1.49</v>
      </c>
      <c r="G1412">
        <v>0.84</v>
      </c>
      <c r="H1412" t="s">
        <v>10</v>
      </c>
    </row>
    <row r="1413" spans="1:8" x14ac:dyDescent="0.25">
      <c r="A1413" t="s">
        <v>16</v>
      </c>
      <c r="B1413">
        <v>49098</v>
      </c>
      <c r="C1413">
        <v>6</v>
      </c>
      <c r="D1413" t="s">
        <v>9</v>
      </c>
      <c r="E1413">
        <v>0.2</v>
      </c>
      <c r="F1413">
        <v>0.64</v>
      </c>
      <c r="G1413">
        <v>0.43</v>
      </c>
      <c r="H1413" t="s">
        <v>17</v>
      </c>
    </row>
    <row r="1414" spans="1:8" x14ac:dyDescent="0.25">
      <c r="A1414" t="s">
        <v>14</v>
      </c>
      <c r="B1414">
        <v>130992</v>
      </c>
      <c r="C1414">
        <v>4</v>
      </c>
      <c r="D1414" t="s">
        <v>12</v>
      </c>
      <c r="E1414">
        <v>0.08</v>
      </c>
      <c r="F1414">
        <v>1.34</v>
      </c>
      <c r="G1414">
        <v>0.81</v>
      </c>
      <c r="H1414" t="s">
        <v>10</v>
      </c>
    </row>
    <row r="1415" spans="1:8" x14ac:dyDescent="0.25">
      <c r="A1415" t="s">
        <v>16</v>
      </c>
      <c r="B1415">
        <v>43950</v>
      </c>
      <c r="C1415">
        <v>2</v>
      </c>
      <c r="D1415" t="s">
        <v>12</v>
      </c>
      <c r="E1415">
        <v>0.16</v>
      </c>
      <c r="F1415">
        <v>1</v>
      </c>
      <c r="G1415">
        <v>0.67</v>
      </c>
      <c r="H1415" t="s">
        <v>17</v>
      </c>
    </row>
    <row r="1416" spans="1:8" x14ac:dyDescent="0.25">
      <c r="A1416" t="s">
        <v>18</v>
      </c>
      <c r="B1416">
        <v>96603</v>
      </c>
      <c r="C1416">
        <v>24</v>
      </c>
      <c r="D1416" t="s">
        <v>15</v>
      </c>
      <c r="E1416">
        <v>0.19</v>
      </c>
      <c r="F1416">
        <v>0.62</v>
      </c>
      <c r="G1416">
        <v>0.5</v>
      </c>
      <c r="H1416" t="s">
        <v>17</v>
      </c>
    </row>
    <row r="1417" spans="1:8" x14ac:dyDescent="0.25">
      <c r="A1417" t="s">
        <v>33</v>
      </c>
      <c r="B1417">
        <v>106831</v>
      </c>
      <c r="C1417">
        <v>23</v>
      </c>
      <c r="D1417" t="s">
        <v>9</v>
      </c>
      <c r="E1417">
        <v>0.32</v>
      </c>
      <c r="F1417">
        <v>1.48</v>
      </c>
      <c r="G1417">
        <v>7.0000000000000007E-2</v>
      </c>
      <c r="H1417" t="s">
        <v>13</v>
      </c>
    </row>
    <row r="1418" spans="1:8" x14ac:dyDescent="0.25">
      <c r="A1418" t="s">
        <v>29</v>
      </c>
      <c r="B1418">
        <v>81850</v>
      </c>
      <c r="C1418">
        <v>22</v>
      </c>
      <c r="D1418" t="s">
        <v>15</v>
      </c>
      <c r="E1418">
        <v>0.92</v>
      </c>
      <c r="F1418">
        <v>0.9</v>
      </c>
      <c r="G1418">
        <v>0.85</v>
      </c>
      <c r="H1418" t="s">
        <v>10</v>
      </c>
    </row>
    <row r="1419" spans="1:8" x14ac:dyDescent="0.25">
      <c r="A1419" t="s">
        <v>33</v>
      </c>
      <c r="B1419">
        <v>142697</v>
      </c>
      <c r="C1419">
        <v>16</v>
      </c>
      <c r="D1419" t="s">
        <v>12</v>
      </c>
      <c r="E1419">
        <v>0.1</v>
      </c>
      <c r="F1419">
        <v>1.02</v>
      </c>
      <c r="G1419">
        <v>0.19</v>
      </c>
      <c r="H1419" t="s">
        <v>13</v>
      </c>
    </row>
    <row r="1420" spans="1:8" x14ac:dyDescent="0.25">
      <c r="A1420" t="s">
        <v>34</v>
      </c>
      <c r="B1420">
        <v>63158</v>
      </c>
      <c r="C1420">
        <v>18</v>
      </c>
      <c r="D1420" t="s">
        <v>15</v>
      </c>
      <c r="E1420">
        <v>0.7</v>
      </c>
      <c r="F1420">
        <v>0.64</v>
      </c>
      <c r="G1420">
        <v>0.54</v>
      </c>
      <c r="H1420" t="s">
        <v>17</v>
      </c>
    </row>
    <row r="1421" spans="1:8" x14ac:dyDescent="0.25">
      <c r="A1421" t="s">
        <v>31</v>
      </c>
      <c r="B1421">
        <v>43065</v>
      </c>
      <c r="C1421">
        <v>18</v>
      </c>
      <c r="D1421" t="s">
        <v>12</v>
      </c>
      <c r="E1421">
        <v>0.55000000000000004</v>
      </c>
      <c r="F1421">
        <v>0.77</v>
      </c>
      <c r="G1421">
        <v>0.73</v>
      </c>
      <c r="H1421" t="s">
        <v>10</v>
      </c>
    </row>
    <row r="1422" spans="1:8" x14ac:dyDescent="0.25">
      <c r="A1422" t="s">
        <v>14</v>
      </c>
      <c r="B1422">
        <v>53115</v>
      </c>
      <c r="C1422">
        <v>16</v>
      </c>
      <c r="D1422" t="s">
        <v>9</v>
      </c>
      <c r="E1422">
        <v>0.89</v>
      </c>
      <c r="F1422">
        <v>0.97</v>
      </c>
      <c r="G1422">
        <v>0.91</v>
      </c>
      <c r="H1422" t="s">
        <v>10</v>
      </c>
    </row>
    <row r="1423" spans="1:8" x14ac:dyDescent="0.25">
      <c r="A1423" t="s">
        <v>18</v>
      </c>
      <c r="B1423">
        <v>111462</v>
      </c>
      <c r="C1423">
        <v>0</v>
      </c>
      <c r="D1423" t="s">
        <v>28</v>
      </c>
      <c r="E1423">
        <v>0.9</v>
      </c>
      <c r="F1423">
        <v>1.38</v>
      </c>
      <c r="G1423">
        <v>0.32</v>
      </c>
      <c r="H1423" t="s">
        <v>17</v>
      </c>
    </row>
    <row r="1424" spans="1:8" x14ac:dyDescent="0.25">
      <c r="A1424" t="s">
        <v>29</v>
      </c>
      <c r="B1424">
        <v>30234</v>
      </c>
      <c r="C1424">
        <v>18</v>
      </c>
      <c r="D1424" t="s">
        <v>12</v>
      </c>
      <c r="E1424">
        <v>0.71</v>
      </c>
      <c r="F1424">
        <v>0.73</v>
      </c>
      <c r="G1424">
        <v>0.8</v>
      </c>
      <c r="H1424" t="s">
        <v>10</v>
      </c>
    </row>
    <row r="1425" spans="1:8" x14ac:dyDescent="0.25">
      <c r="A1425" t="s">
        <v>16</v>
      </c>
      <c r="B1425">
        <v>80262</v>
      </c>
      <c r="C1425">
        <v>17</v>
      </c>
      <c r="D1425" t="s">
        <v>15</v>
      </c>
      <c r="E1425">
        <v>0.33</v>
      </c>
      <c r="F1425">
        <v>1.17</v>
      </c>
      <c r="G1425">
        <v>0.51</v>
      </c>
      <c r="H1425" t="s">
        <v>17</v>
      </c>
    </row>
    <row r="1426" spans="1:8" x14ac:dyDescent="0.25">
      <c r="A1426" t="s">
        <v>19</v>
      </c>
      <c r="B1426">
        <v>100529</v>
      </c>
      <c r="C1426">
        <v>27</v>
      </c>
      <c r="D1426" t="s">
        <v>28</v>
      </c>
      <c r="E1426">
        <v>0.57999999999999996</v>
      </c>
      <c r="F1426">
        <v>0.74</v>
      </c>
      <c r="G1426">
        <v>0.27</v>
      </c>
      <c r="H1426" t="s">
        <v>13</v>
      </c>
    </row>
    <row r="1427" spans="1:8" x14ac:dyDescent="0.25">
      <c r="A1427" t="s">
        <v>32</v>
      </c>
      <c r="B1427">
        <v>72563</v>
      </c>
      <c r="C1427">
        <v>6</v>
      </c>
      <c r="D1427" t="s">
        <v>12</v>
      </c>
      <c r="E1427">
        <v>0.04</v>
      </c>
      <c r="F1427">
        <v>1.27</v>
      </c>
      <c r="G1427">
        <v>0.53</v>
      </c>
      <c r="H1427" t="s">
        <v>17</v>
      </c>
    </row>
    <row r="1428" spans="1:8" x14ac:dyDescent="0.25">
      <c r="A1428" t="s">
        <v>25</v>
      </c>
      <c r="B1428">
        <v>122983</v>
      </c>
      <c r="C1428">
        <v>27</v>
      </c>
      <c r="D1428" t="s">
        <v>9</v>
      </c>
      <c r="E1428">
        <v>0.92</v>
      </c>
      <c r="F1428">
        <v>0.93</v>
      </c>
      <c r="G1428">
        <v>0.42</v>
      </c>
      <c r="H1428" t="s">
        <v>17</v>
      </c>
    </row>
    <row r="1429" spans="1:8" x14ac:dyDescent="0.25">
      <c r="A1429" t="s">
        <v>19</v>
      </c>
      <c r="B1429">
        <v>93815</v>
      </c>
      <c r="C1429">
        <v>3</v>
      </c>
      <c r="D1429" t="s">
        <v>15</v>
      </c>
      <c r="E1429">
        <v>0.79</v>
      </c>
      <c r="F1429">
        <v>0.91</v>
      </c>
      <c r="G1429">
        <v>0.22</v>
      </c>
      <c r="H1429" t="s">
        <v>13</v>
      </c>
    </row>
    <row r="1430" spans="1:8" x14ac:dyDescent="0.25">
      <c r="A1430" t="s">
        <v>27</v>
      </c>
      <c r="B1430">
        <v>58385</v>
      </c>
      <c r="C1430">
        <v>3</v>
      </c>
      <c r="D1430" t="s">
        <v>15</v>
      </c>
      <c r="E1430">
        <v>7.0000000000000007E-2</v>
      </c>
      <c r="F1430">
        <v>1.1100000000000001</v>
      </c>
      <c r="G1430">
        <v>0.32</v>
      </c>
      <c r="H1430" t="s">
        <v>17</v>
      </c>
    </row>
    <row r="1431" spans="1:8" x14ac:dyDescent="0.25">
      <c r="A1431" t="s">
        <v>16</v>
      </c>
      <c r="B1431">
        <v>148297</v>
      </c>
      <c r="C1431">
        <v>29</v>
      </c>
      <c r="D1431" t="s">
        <v>28</v>
      </c>
      <c r="E1431">
        <v>0.77</v>
      </c>
      <c r="F1431">
        <v>1.08</v>
      </c>
      <c r="G1431">
        <v>0.63</v>
      </c>
      <c r="H1431" t="s">
        <v>17</v>
      </c>
    </row>
    <row r="1432" spans="1:8" x14ac:dyDescent="0.25">
      <c r="A1432" t="s">
        <v>34</v>
      </c>
      <c r="B1432">
        <v>35289</v>
      </c>
      <c r="C1432">
        <v>19</v>
      </c>
      <c r="D1432" t="s">
        <v>15</v>
      </c>
      <c r="E1432">
        <v>0.41</v>
      </c>
      <c r="F1432">
        <v>1.41</v>
      </c>
      <c r="G1432">
        <v>0.35</v>
      </c>
      <c r="H1432" t="s">
        <v>17</v>
      </c>
    </row>
    <row r="1433" spans="1:8" x14ac:dyDescent="0.25">
      <c r="A1433" t="s">
        <v>14</v>
      </c>
      <c r="B1433">
        <v>35877</v>
      </c>
      <c r="C1433">
        <v>0</v>
      </c>
      <c r="D1433" t="s">
        <v>9</v>
      </c>
      <c r="E1433">
        <v>0.91</v>
      </c>
      <c r="F1433">
        <v>1.02</v>
      </c>
      <c r="G1433">
        <v>0.94</v>
      </c>
      <c r="H1433" t="s">
        <v>10</v>
      </c>
    </row>
    <row r="1434" spans="1:8" x14ac:dyDescent="0.25">
      <c r="A1434" t="s">
        <v>26</v>
      </c>
      <c r="B1434">
        <v>52761</v>
      </c>
      <c r="C1434">
        <v>0</v>
      </c>
      <c r="D1434" t="s">
        <v>9</v>
      </c>
      <c r="E1434">
        <v>0.89</v>
      </c>
      <c r="F1434">
        <v>1.1399999999999999</v>
      </c>
      <c r="G1434">
        <v>0.4</v>
      </c>
      <c r="H1434" t="s">
        <v>17</v>
      </c>
    </row>
    <row r="1435" spans="1:8" x14ac:dyDescent="0.25">
      <c r="A1435" t="s">
        <v>29</v>
      </c>
      <c r="B1435">
        <v>123758</v>
      </c>
      <c r="C1435">
        <v>18</v>
      </c>
      <c r="D1435" t="s">
        <v>9</v>
      </c>
      <c r="E1435">
        <v>0.64</v>
      </c>
      <c r="F1435">
        <v>0.89</v>
      </c>
      <c r="G1435">
        <v>0.83</v>
      </c>
      <c r="H1435" t="s">
        <v>10</v>
      </c>
    </row>
    <row r="1436" spans="1:8" x14ac:dyDescent="0.25">
      <c r="A1436" t="s">
        <v>27</v>
      </c>
      <c r="B1436">
        <v>86366</v>
      </c>
      <c r="C1436">
        <v>2</v>
      </c>
      <c r="D1436" t="s">
        <v>15</v>
      </c>
      <c r="E1436">
        <v>0.04</v>
      </c>
      <c r="F1436">
        <v>0.72</v>
      </c>
      <c r="G1436">
        <v>0.66</v>
      </c>
      <c r="H1436" t="s">
        <v>17</v>
      </c>
    </row>
    <row r="1437" spans="1:8" x14ac:dyDescent="0.25">
      <c r="A1437" t="s">
        <v>24</v>
      </c>
      <c r="B1437">
        <v>85652</v>
      </c>
      <c r="C1437">
        <v>22</v>
      </c>
      <c r="D1437" t="s">
        <v>9</v>
      </c>
      <c r="E1437">
        <v>0.53</v>
      </c>
      <c r="F1437">
        <v>0.53</v>
      </c>
      <c r="G1437">
        <v>0.49</v>
      </c>
      <c r="H1437" t="s">
        <v>17</v>
      </c>
    </row>
    <row r="1438" spans="1:8" x14ac:dyDescent="0.25">
      <c r="A1438" t="s">
        <v>16</v>
      </c>
      <c r="B1438">
        <v>55286</v>
      </c>
      <c r="C1438">
        <v>23</v>
      </c>
      <c r="D1438" t="s">
        <v>12</v>
      </c>
      <c r="E1438">
        <v>0.28000000000000003</v>
      </c>
      <c r="F1438">
        <v>1.28</v>
      </c>
      <c r="G1438">
        <v>0.56999999999999995</v>
      </c>
      <c r="H1438" t="s">
        <v>17</v>
      </c>
    </row>
    <row r="1439" spans="1:8" x14ac:dyDescent="0.25">
      <c r="A1439" t="s">
        <v>27</v>
      </c>
      <c r="B1439">
        <v>104041</v>
      </c>
      <c r="C1439">
        <v>19</v>
      </c>
      <c r="D1439" t="s">
        <v>15</v>
      </c>
      <c r="E1439">
        <v>0.98</v>
      </c>
      <c r="F1439">
        <v>0.74</v>
      </c>
      <c r="G1439">
        <v>0.64</v>
      </c>
      <c r="H1439" t="s">
        <v>17</v>
      </c>
    </row>
    <row r="1440" spans="1:8" x14ac:dyDescent="0.25">
      <c r="A1440" t="s">
        <v>30</v>
      </c>
      <c r="B1440">
        <v>140998</v>
      </c>
      <c r="C1440">
        <v>9</v>
      </c>
      <c r="D1440" t="s">
        <v>15</v>
      </c>
      <c r="E1440">
        <v>0.77</v>
      </c>
      <c r="F1440">
        <v>0.78</v>
      </c>
      <c r="G1440">
        <v>0.05</v>
      </c>
      <c r="H1440" t="s">
        <v>13</v>
      </c>
    </row>
    <row r="1441" spans="1:8" x14ac:dyDescent="0.25">
      <c r="A1441" t="s">
        <v>22</v>
      </c>
      <c r="B1441">
        <v>122743</v>
      </c>
      <c r="C1441">
        <v>20</v>
      </c>
      <c r="D1441" t="s">
        <v>9</v>
      </c>
      <c r="E1441">
        <v>0.23</v>
      </c>
      <c r="F1441">
        <v>1.31</v>
      </c>
      <c r="G1441">
        <v>0.45</v>
      </c>
      <c r="H1441" t="s">
        <v>17</v>
      </c>
    </row>
    <row r="1442" spans="1:8" x14ac:dyDescent="0.25">
      <c r="A1442" t="s">
        <v>33</v>
      </c>
      <c r="B1442">
        <v>64303</v>
      </c>
      <c r="C1442">
        <v>17</v>
      </c>
      <c r="D1442" t="s">
        <v>28</v>
      </c>
      <c r="E1442">
        <v>0.87</v>
      </c>
      <c r="F1442">
        <v>1.02</v>
      </c>
      <c r="G1442">
        <v>0.28000000000000003</v>
      </c>
      <c r="H1442" t="s">
        <v>13</v>
      </c>
    </row>
    <row r="1443" spans="1:8" x14ac:dyDescent="0.25">
      <c r="A1443" t="s">
        <v>19</v>
      </c>
      <c r="B1443">
        <v>89977</v>
      </c>
      <c r="C1443">
        <v>3</v>
      </c>
      <c r="D1443" t="s">
        <v>9</v>
      </c>
      <c r="E1443">
        <v>0.27</v>
      </c>
      <c r="F1443">
        <v>0.76</v>
      </c>
      <c r="G1443">
        <v>0.13</v>
      </c>
      <c r="H1443" t="s">
        <v>13</v>
      </c>
    </row>
    <row r="1444" spans="1:8" x14ac:dyDescent="0.25">
      <c r="A1444" t="s">
        <v>16</v>
      </c>
      <c r="B1444">
        <v>67133</v>
      </c>
      <c r="C1444">
        <v>19</v>
      </c>
      <c r="D1444" t="s">
        <v>28</v>
      </c>
      <c r="E1444">
        <v>0.83</v>
      </c>
      <c r="F1444">
        <v>1.27</v>
      </c>
      <c r="G1444">
        <v>0.63</v>
      </c>
      <c r="H1444" t="s">
        <v>17</v>
      </c>
    </row>
    <row r="1445" spans="1:8" x14ac:dyDescent="0.25">
      <c r="A1445" t="s">
        <v>27</v>
      </c>
      <c r="B1445">
        <v>70680</v>
      </c>
      <c r="C1445">
        <v>19</v>
      </c>
      <c r="D1445" t="s">
        <v>9</v>
      </c>
      <c r="E1445">
        <v>0.04</v>
      </c>
      <c r="F1445">
        <v>1.1100000000000001</v>
      </c>
      <c r="G1445">
        <v>0.59</v>
      </c>
      <c r="H1445" t="s">
        <v>17</v>
      </c>
    </row>
    <row r="1446" spans="1:8" x14ac:dyDescent="0.25">
      <c r="A1446" t="s">
        <v>14</v>
      </c>
      <c r="B1446">
        <v>47013</v>
      </c>
      <c r="C1446">
        <v>16</v>
      </c>
      <c r="D1446" t="s">
        <v>15</v>
      </c>
      <c r="E1446">
        <v>0.7</v>
      </c>
      <c r="F1446">
        <v>0.63</v>
      </c>
      <c r="G1446">
        <v>0.95</v>
      </c>
      <c r="H1446" t="s">
        <v>10</v>
      </c>
    </row>
    <row r="1447" spans="1:8" x14ac:dyDescent="0.25">
      <c r="A1447" t="s">
        <v>27</v>
      </c>
      <c r="B1447">
        <v>139982</v>
      </c>
      <c r="C1447">
        <v>26</v>
      </c>
      <c r="D1447" t="s">
        <v>28</v>
      </c>
      <c r="E1447">
        <v>0.65</v>
      </c>
      <c r="F1447">
        <v>1.27</v>
      </c>
      <c r="G1447">
        <v>0.44</v>
      </c>
      <c r="H1447" t="s">
        <v>17</v>
      </c>
    </row>
    <row r="1448" spans="1:8" x14ac:dyDescent="0.25">
      <c r="A1448" t="s">
        <v>25</v>
      </c>
      <c r="B1448">
        <v>114935</v>
      </c>
      <c r="C1448">
        <v>22</v>
      </c>
      <c r="D1448" t="s">
        <v>12</v>
      </c>
      <c r="E1448">
        <v>0.6</v>
      </c>
      <c r="F1448">
        <v>0.68</v>
      </c>
      <c r="G1448">
        <v>0.36</v>
      </c>
      <c r="H1448" t="s">
        <v>17</v>
      </c>
    </row>
    <row r="1449" spans="1:8" x14ac:dyDescent="0.25">
      <c r="A1449" t="s">
        <v>23</v>
      </c>
      <c r="B1449">
        <v>74741</v>
      </c>
      <c r="C1449">
        <v>12</v>
      </c>
      <c r="D1449" t="s">
        <v>12</v>
      </c>
      <c r="E1449">
        <v>0.19</v>
      </c>
      <c r="F1449">
        <v>0.95</v>
      </c>
      <c r="G1449">
        <v>0.94</v>
      </c>
      <c r="H1449" t="s">
        <v>10</v>
      </c>
    </row>
    <row r="1450" spans="1:8" x14ac:dyDescent="0.25">
      <c r="A1450" t="s">
        <v>30</v>
      </c>
      <c r="B1450">
        <v>114153</v>
      </c>
      <c r="C1450">
        <v>20</v>
      </c>
      <c r="D1450" t="s">
        <v>15</v>
      </c>
      <c r="E1450">
        <v>0.34</v>
      </c>
      <c r="F1450">
        <v>0.95</v>
      </c>
      <c r="G1450">
        <v>0.19</v>
      </c>
      <c r="H1450" t="s">
        <v>13</v>
      </c>
    </row>
    <row r="1451" spans="1:8" x14ac:dyDescent="0.25">
      <c r="A1451" t="s">
        <v>14</v>
      </c>
      <c r="B1451">
        <v>113110</v>
      </c>
      <c r="C1451">
        <v>11</v>
      </c>
      <c r="D1451" t="s">
        <v>15</v>
      </c>
      <c r="E1451">
        <v>0.85</v>
      </c>
      <c r="F1451">
        <v>0.81</v>
      </c>
      <c r="G1451">
        <v>0.84</v>
      </c>
      <c r="H1451" t="s">
        <v>10</v>
      </c>
    </row>
    <row r="1452" spans="1:8" x14ac:dyDescent="0.25">
      <c r="A1452" t="s">
        <v>31</v>
      </c>
      <c r="B1452">
        <v>108596</v>
      </c>
      <c r="C1452">
        <v>9</v>
      </c>
      <c r="D1452" t="s">
        <v>28</v>
      </c>
      <c r="E1452">
        <v>0.21</v>
      </c>
      <c r="F1452">
        <v>1.45</v>
      </c>
      <c r="G1452">
        <v>0.9</v>
      </c>
      <c r="H1452" t="s">
        <v>10</v>
      </c>
    </row>
    <row r="1453" spans="1:8" x14ac:dyDescent="0.25">
      <c r="A1453" t="s">
        <v>34</v>
      </c>
      <c r="B1453">
        <v>94274</v>
      </c>
      <c r="C1453">
        <v>10</v>
      </c>
      <c r="D1453" t="s">
        <v>12</v>
      </c>
      <c r="E1453">
        <v>0.14000000000000001</v>
      </c>
      <c r="F1453">
        <v>0.86</v>
      </c>
      <c r="G1453">
        <v>0.49</v>
      </c>
      <c r="H1453" t="s">
        <v>17</v>
      </c>
    </row>
    <row r="1454" spans="1:8" x14ac:dyDescent="0.25">
      <c r="A1454" t="s">
        <v>34</v>
      </c>
      <c r="B1454">
        <v>135649</v>
      </c>
      <c r="C1454">
        <v>11</v>
      </c>
      <c r="D1454" t="s">
        <v>12</v>
      </c>
      <c r="E1454">
        <v>0.86</v>
      </c>
      <c r="F1454">
        <v>0.59</v>
      </c>
      <c r="G1454">
        <v>0.56000000000000005</v>
      </c>
      <c r="H1454" t="s">
        <v>17</v>
      </c>
    </row>
    <row r="1455" spans="1:8" x14ac:dyDescent="0.25">
      <c r="A1455" t="s">
        <v>30</v>
      </c>
      <c r="B1455">
        <v>131433</v>
      </c>
      <c r="C1455">
        <v>10</v>
      </c>
      <c r="D1455" t="s">
        <v>15</v>
      </c>
      <c r="E1455">
        <v>0.8</v>
      </c>
      <c r="F1455">
        <v>0.71</v>
      </c>
      <c r="G1455">
        <v>0.12</v>
      </c>
      <c r="H1455" t="s">
        <v>13</v>
      </c>
    </row>
    <row r="1456" spans="1:8" x14ac:dyDescent="0.25">
      <c r="A1456" t="s">
        <v>32</v>
      </c>
      <c r="B1456">
        <v>148962</v>
      </c>
      <c r="C1456">
        <v>27</v>
      </c>
      <c r="D1456" t="s">
        <v>28</v>
      </c>
      <c r="E1456">
        <v>0.32</v>
      </c>
      <c r="F1456">
        <v>1.38</v>
      </c>
      <c r="G1456">
        <v>0.56000000000000005</v>
      </c>
      <c r="H1456" t="s">
        <v>17</v>
      </c>
    </row>
    <row r="1457" spans="1:8" x14ac:dyDescent="0.25">
      <c r="A1457" t="s">
        <v>14</v>
      </c>
      <c r="B1457">
        <v>104901</v>
      </c>
      <c r="C1457">
        <v>5</v>
      </c>
      <c r="D1457" t="s">
        <v>9</v>
      </c>
      <c r="E1457">
        <v>0.93</v>
      </c>
      <c r="F1457">
        <v>0.74</v>
      </c>
      <c r="G1457">
        <v>0.91</v>
      </c>
      <c r="H1457" t="s">
        <v>10</v>
      </c>
    </row>
    <row r="1458" spans="1:8" x14ac:dyDescent="0.25">
      <c r="A1458" t="s">
        <v>21</v>
      </c>
      <c r="B1458">
        <v>44133</v>
      </c>
      <c r="C1458">
        <v>27</v>
      </c>
      <c r="D1458" t="s">
        <v>28</v>
      </c>
      <c r="E1458">
        <v>0.1</v>
      </c>
      <c r="F1458">
        <v>0.61</v>
      </c>
      <c r="G1458">
        <v>0.25</v>
      </c>
      <c r="H1458" t="s">
        <v>13</v>
      </c>
    </row>
    <row r="1459" spans="1:8" x14ac:dyDescent="0.25">
      <c r="A1459" t="s">
        <v>11</v>
      </c>
      <c r="B1459">
        <v>114293</v>
      </c>
      <c r="C1459">
        <v>11</v>
      </c>
      <c r="D1459" t="s">
        <v>15</v>
      </c>
      <c r="E1459">
        <v>0.7</v>
      </c>
      <c r="F1459">
        <v>1.45</v>
      </c>
      <c r="G1459">
        <v>0.08</v>
      </c>
      <c r="H1459" t="s">
        <v>13</v>
      </c>
    </row>
    <row r="1460" spans="1:8" x14ac:dyDescent="0.25">
      <c r="A1460" t="s">
        <v>19</v>
      </c>
      <c r="B1460">
        <v>66155</v>
      </c>
      <c r="C1460">
        <v>9</v>
      </c>
      <c r="D1460" t="s">
        <v>12</v>
      </c>
      <c r="E1460">
        <v>0.87</v>
      </c>
      <c r="F1460">
        <v>1.25</v>
      </c>
      <c r="G1460">
        <v>0.26</v>
      </c>
      <c r="H1460" t="s">
        <v>13</v>
      </c>
    </row>
    <row r="1461" spans="1:8" x14ac:dyDescent="0.25">
      <c r="A1461" t="s">
        <v>24</v>
      </c>
      <c r="B1461">
        <v>116070</v>
      </c>
      <c r="C1461">
        <v>24</v>
      </c>
      <c r="D1461" t="s">
        <v>12</v>
      </c>
      <c r="E1461">
        <v>0.53</v>
      </c>
      <c r="F1461">
        <v>0.79</v>
      </c>
      <c r="G1461">
        <v>0.35</v>
      </c>
      <c r="H1461" t="s">
        <v>17</v>
      </c>
    </row>
    <row r="1462" spans="1:8" x14ac:dyDescent="0.25">
      <c r="A1462" t="s">
        <v>33</v>
      </c>
      <c r="B1462">
        <v>86439</v>
      </c>
      <c r="C1462">
        <v>20</v>
      </c>
      <c r="D1462" t="s">
        <v>28</v>
      </c>
      <c r="E1462">
        <v>0.53</v>
      </c>
      <c r="F1462">
        <v>0.87</v>
      </c>
      <c r="G1462">
        <v>0.05</v>
      </c>
      <c r="H1462" t="s">
        <v>13</v>
      </c>
    </row>
    <row r="1463" spans="1:8" x14ac:dyDescent="0.25">
      <c r="A1463" t="s">
        <v>19</v>
      </c>
      <c r="B1463">
        <v>98500</v>
      </c>
      <c r="C1463">
        <v>6</v>
      </c>
      <c r="D1463" t="s">
        <v>28</v>
      </c>
      <c r="E1463">
        <v>0.19</v>
      </c>
      <c r="F1463">
        <v>1.22</v>
      </c>
      <c r="G1463">
        <v>0.14000000000000001</v>
      </c>
      <c r="H1463" t="s">
        <v>13</v>
      </c>
    </row>
    <row r="1464" spans="1:8" x14ac:dyDescent="0.25">
      <c r="A1464" t="s">
        <v>11</v>
      </c>
      <c r="B1464">
        <v>79887</v>
      </c>
      <c r="C1464">
        <v>19</v>
      </c>
      <c r="D1464" t="s">
        <v>12</v>
      </c>
      <c r="E1464">
        <v>0.56000000000000005</v>
      </c>
      <c r="F1464">
        <v>0.56000000000000005</v>
      </c>
      <c r="G1464">
        <v>0.2</v>
      </c>
      <c r="H1464" t="s">
        <v>13</v>
      </c>
    </row>
    <row r="1465" spans="1:8" x14ac:dyDescent="0.25">
      <c r="A1465" t="s">
        <v>11</v>
      </c>
      <c r="B1465">
        <v>109880</v>
      </c>
      <c r="C1465">
        <v>14</v>
      </c>
      <c r="D1465" t="s">
        <v>9</v>
      </c>
      <c r="E1465">
        <v>0.51</v>
      </c>
      <c r="F1465">
        <v>1.26</v>
      </c>
      <c r="G1465">
        <v>0.09</v>
      </c>
      <c r="H1465" t="s">
        <v>13</v>
      </c>
    </row>
    <row r="1466" spans="1:8" x14ac:dyDescent="0.25">
      <c r="A1466" t="s">
        <v>27</v>
      </c>
      <c r="B1466">
        <v>105352</v>
      </c>
      <c r="C1466">
        <v>4</v>
      </c>
      <c r="D1466" t="s">
        <v>9</v>
      </c>
      <c r="E1466">
        <v>0.41</v>
      </c>
      <c r="F1466">
        <v>0.73</v>
      </c>
      <c r="G1466">
        <v>0.65</v>
      </c>
      <c r="H1466" t="s">
        <v>17</v>
      </c>
    </row>
    <row r="1467" spans="1:8" x14ac:dyDescent="0.25">
      <c r="A1467" t="s">
        <v>31</v>
      </c>
      <c r="B1467">
        <v>73781</v>
      </c>
      <c r="C1467">
        <v>17</v>
      </c>
      <c r="D1467" t="s">
        <v>12</v>
      </c>
      <c r="E1467">
        <v>0.94</v>
      </c>
      <c r="F1467">
        <v>1.34</v>
      </c>
      <c r="G1467">
        <v>0.93</v>
      </c>
      <c r="H1467" t="s">
        <v>10</v>
      </c>
    </row>
    <row r="1468" spans="1:8" x14ac:dyDescent="0.25">
      <c r="A1468" t="s">
        <v>21</v>
      </c>
      <c r="B1468">
        <v>126492</v>
      </c>
      <c r="C1468">
        <v>12</v>
      </c>
      <c r="D1468" t="s">
        <v>15</v>
      </c>
      <c r="E1468">
        <v>0.08</v>
      </c>
      <c r="F1468">
        <v>0.88</v>
      </c>
      <c r="G1468">
        <v>0.28000000000000003</v>
      </c>
      <c r="H1468" t="s">
        <v>13</v>
      </c>
    </row>
    <row r="1469" spans="1:8" x14ac:dyDescent="0.25">
      <c r="A1469" t="s">
        <v>34</v>
      </c>
      <c r="B1469">
        <v>149635</v>
      </c>
      <c r="C1469">
        <v>19</v>
      </c>
      <c r="D1469" t="s">
        <v>12</v>
      </c>
      <c r="E1469">
        <v>0.83</v>
      </c>
      <c r="F1469">
        <v>0.56000000000000005</v>
      </c>
      <c r="G1469">
        <v>0.65</v>
      </c>
      <c r="H1469" t="s">
        <v>17</v>
      </c>
    </row>
    <row r="1470" spans="1:8" x14ac:dyDescent="0.25">
      <c r="A1470" t="s">
        <v>30</v>
      </c>
      <c r="B1470">
        <v>99368</v>
      </c>
      <c r="C1470">
        <v>19</v>
      </c>
      <c r="D1470" t="s">
        <v>9</v>
      </c>
      <c r="E1470">
        <v>0.79</v>
      </c>
      <c r="F1470">
        <v>0.96</v>
      </c>
      <c r="G1470">
        <v>0.05</v>
      </c>
      <c r="H1470" t="s">
        <v>13</v>
      </c>
    </row>
    <row r="1471" spans="1:8" x14ac:dyDescent="0.25">
      <c r="A1471" t="s">
        <v>8</v>
      </c>
      <c r="B1471">
        <v>94344</v>
      </c>
      <c r="C1471">
        <v>0</v>
      </c>
      <c r="D1471" t="s">
        <v>28</v>
      </c>
      <c r="E1471">
        <v>0.52</v>
      </c>
      <c r="F1471">
        <v>1.17</v>
      </c>
      <c r="G1471">
        <v>0.72</v>
      </c>
      <c r="H1471" t="s">
        <v>10</v>
      </c>
    </row>
    <row r="1472" spans="1:8" x14ac:dyDescent="0.25">
      <c r="A1472" t="s">
        <v>27</v>
      </c>
      <c r="B1472">
        <v>79223</v>
      </c>
      <c r="C1472">
        <v>1</v>
      </c>
      <c r="D1472" t="s">
        <v>15</v>
      </c>
      <c r="E1472">
        <v>0.47</v>
      </c>
      <c r="F1472">
        <v>1.17</v>
      </c>
      <c r="G1472">
        <v>0.68</v>
      </c>
      <c r="H1472" t="s">
        <v>17</v>
      </c>
    </row>
    <row r="1473" spans="1:8" x14ac:dyDescent="0.25">
      <c r="A1473" t="s">
        <v>14</v>
      </c>
      <c r="B1473">
        <v>68907</v>
      </c>
      <c r="C1473">
        <v>8</v>
      </c>
      <c r="D1473" t="s">
        <v>28</v>
      </c>
      <c r="E1473">
        <v>0.05</v>
      </c>
      <c r="F1473">
        <v>1.07</v>
      </c>
      <c r="G1473">
        <v>0.93</v>
      </c>
      <c r="H1473" t="s">
        <v>10</v>
      </c>
    </row>
    <row r="1474" spans="1:8" x14ac:dyDescent="0.25">
      <c r="A1474" t="s">
        <v>33</v>
      </c>
      <c r="B1474">
        <v>115733</v>
      </c>
      <c r="C1474">
        <v>8</v>
      </c>
      <c r="D1474" t="s">
        <v>9</v>
      </c>
      <c r="E1474">
        <v>0.43</v>
      </c>
      <c r="F1474">
        <v>1.08</v>
      </c>
      <c r="G1474">
        <v>0.12</v>
      </c>
      <c r="H1474" t="s">
        <v>13</v>
      </c>
    </row>
    <row r="1475" spans="1:8" x14ac:dyDescent="0.25">
      <c r="A1475" t="s">
        <v>27</v>
      </c>
      <c r="B1475">
        <v>80281</v>
      </c>
      <c r="C1475">
        <v>6</v>
      </c>
      <c r="D1475" t="s">
        <v>28</v>
      </c>
      <c r="E1475">
        <v>0</v>
      </c>
      <c r="F1475">
        <v>1.1000000000000001</v>
      </c>
      <c r="G1475">
        <v>0.48</v>
      </c>
      <c r="H1475" t="s">
        <v>17</v>
      </c>
    </row>
    <row r="1476" spans="1:8" x14ac:dyDescent="0.25">
      <c r="A1476" t="s">
        <v>29</v>
      </c>
      <c r="B1476">
        <v>128203</v>
      </c>
      <c r="C1476">
        <v>12</v>
      </c>
      <c r="D1476" t="s">
        <v>9</v>
      </c>
      <c r="E1476">
        <v>0.28999999999999998</v>
      </c>
      <c r="F1476">
        <v>0.82</v>
      </c>
      <c r="G1476">
        <v>0.7</v>
      </c>
      <c r="H1476" t="s">
        <v>17</v>
      </c>
    </row>
    <row r="1477" spans="1:8" x14ac:dyDescent="0.25">
      <c r="A1477" t="s">
        <v>22</v>
      </c>
      <c r="B1477">
        <v>96416</v>
      </c>
      <c r="C1477">
        <v>18</v>
      </c>
      <c r="D1477" t="s">
        <v>15</v>
      </c>
      <c r="E1477">
        <v>0.54</v>
      </c>
      <c r="F1477">
        <v>1.41</v>
      </c>
      <c r="G1477">
        <v>0.37</v>
      </c>
      <c r="H1477" t="s">
        <v>17</v>
      </c>
    </row>
    <row r="1478" spans="1:8" x14ac:dyDescent="0.25">
      <c r="A1478" t="s">
        <v>30</v>
      </c>
      <c r="B1478">
        <v>59825</v>
      </c>
      <c r="C1478">
        <v>21</v>
      </c>
      <c r="D1478" t="s">
        <v>15</v>
      </c>
      <c r="E1478">
        <v>0.99</v>
      </c>
      <c r="F1478">
        <v>1.33</v>
      </c>
      <c r="G1478">
        <v>0.19</v>
      </c>
      <c r="H1478" t="s">
        <v>13</v>
      </c>
    </row>
    <row r="1479" spans="1:8" x14ac:dyDescent="0.25">
      <c r="A1479" t="s">
        <v>18</v>
      </c>
      <c r="B1479">
        <v>42795</v>
      </c>
      <c r="C1479">
        <v>8</v>
      </c>
      <c r="D1479" t="s">
        <v>15</v>
      </c>
      <c r="E1479">
        <v>0.3</v>
      </c>
      <c r="F1479">
        <v>1.41</v>
      </c>
      <c r="G1479">
        <v>0.46</v>
      </c>
      <c r="H1479" t="s">
        <v>17</v>
      </c>
    </row>
    <row r="1480" spans="1:8" x14ac:dyDescent="0.25">
      <c r="A1480" t="s">
        <v>24</v>
      </c>
      <c r="B1480">
        <v>127391</v>
      </c>
      <c r="C1480">
        <v>14</v>
      </c>
      <c r="D1480" t="s">
        <v>28</v>
      </c>
      <c r="E1480">
        <v>0.18</v>
      </c>
      <c r="F1480">
        <v>1.18</v>
      </c>
      <c r="G1480">
        <v>0.5</v>
      </c>
      <c r="H1480" t="s">
        <v>17</v>
      </c>
    </row>
    <row r="1481" spans="1:8" x14ac:dyDescent="0.25">
      <c r="A1481" t="s">
        <v>25</v>
      </c>
      <c r="B1481">
        <v>87635</v>
      </c>
      <c r="C1481">
        <v>16</v>
      </c>
      <c r="D1481" t="s">
        <v>28</v>
      </c>
      <c r="E1481">
        <v>0.35</v>
      </c>
      <c r="F1481">
        <v>1.29</v>
      </c>
      <c r="G1481">
        <v>0.34</v>
      </c>
      <c r="H1481" t="s">
        <v>17</v>
      </c>
    </row>
    <row r="1482" spans="1:8" x14ac:dyDescent="0.25">
      <c r="A1482" t="s">
        <v>27</v>
      </c>
      <c r="B1482">
        <v>111115</v>
      </c>
      <c r="C1482">
        <v>14</v>
      </c>
      <c r="D1482" t="s">
        <v>28</v>
      </c>
      <c r="E1482">
        <v>0.12</v>
      </c>
      <c r="F1482">
        <v>0.75</v>
      </c>
      <c r="G1482">
        <v>0.63</v>
      </c>
      <c r="H1482" t="s">
        <v>17</v>
      </c>
    </row>
    <row r="1483" spans="1:8" x14ac:dyDescent="0.25">
      <c r="A1483" t="s">
        <v>19</v>
      </c>
      <c r="B1483">
        <v>87392</v>
      </c>
      <c r="C1483">
        <v>26</v>
      </c>
      <c r="D1483" t="s">
        <v>9</v>
      </c>
      <c r="E1483">
        <v>0.85</v>
      </c>
      <c r="F1483">
        <v>0.82</v>
      </c>
      <c r="G1483">
        <v>0.13</v>
      </c>
      <c r="H1483" t="s">
        <v>13</v>
      </c>
    </row>
    <row r="1484" spans="1:8" x14ac:dyDescent="0.25">
      <c r="A1484" t="s">
        <v>8</v>
      </c>
      <c r="B1484">
        <v>100143</v>
      </c>
      <c r="C1484">
        <v>0</v>
      </c>
      <c r="D1484" t="s">
        <v>28</v>
      </c>
      <c r="E1484">
        <v>0.96</v>
      </c>
      <c r="F1484">
        <v>1.17</v>
      </c>
      <c r="G1484">
        <v>0.8</v>
      </c>
      <c r="H1484" t="s">
        <v>10</v>
      </c>
    </row>
    <row r="1485" spans="1:8" x14ac:dyDescent="0.25">
      <c r="A1485" t="s">
        <v>23</v>
      </c>
      <c r="B1485">
        <v>94863</v>
      </c>
      <c r="C1485">
        <v>8</v>
      </c>
      <c r="D1485" t="s">
        <v>15</v>
      </c>
      <c r="E1485">
        <v>0.68</v>
      </c>
      <c r="F1485">
        <v>0.6</v>
      </c>
      <c r="G1485">
        <v>0.82</v>
      </c>
      <c r="H1485" t="s">
        <v>10</v>
      </c>
    </row>
    <row r="1486" spans="1:8" x14ac:dyDescent="0.25">
      <c r="A1486" t="s">
        <v>22</v>
      </c>
      <c r="B1486">
        <v>48819</v>
      </c>
      <c r="C1486">
        <v>4</v>
      </c>
      <c r="D1486" t="s">
        <v>15</v>
      </c>
      <c r="E1486">
        <v>0.3</v>
      </c>
      <c r="F1486">
        <v>1.19</v>
      </c>
      <c r="G1486">
        <v>0.47</v>
      </c>
      <c r="H1486" t="s">
        <v>17</v>
      </c>
    </row>
    <row r="1487" spans="1:8" x14ac:dyDescent="0.25">
      <c r="A1487" t="s">
        <v>16</v>
      </c>
      <c r="B1487">
        <v>142255</v>
      </c>
      <c r="C1487">
        <v>29</v>
      </c>
      <c r="D1487" t="s">
        <v>9</v>
      </c>
      <c r="E1487">
        <v>7.0000000000000007E-2</v>
      </c>
      <c r="F1487">
        <v>0.67</v>
      </c>
      <c r="G1487">
        <v>0.31</v>
      </c>
      <c r="H1487" t="s">
        <v>17</v>
      </c>
    </row>
    <row r="1488" spans="1:8" x14ac:dyDescent="0.25">
      <c r="A1488" t="s">
        <v>19</v>
      </c>
      <c r="B1488">
        <v>128664</v>
      </c>
      <c r="C1488">
        <v>25</v>
      </c>
      <c r="D1488" t="s">
        <v>15</v>
      </c>
      <c r="E1488">
        <v>0.89</v>
      </c>
      <c r="F1488">
        <v>1.1200000000000001</v>
      </c>
      <c r="G1488">
        <v>0.15</v>
      </c>
      <c r="H1488" t="s">
        <v>13</v>
      </c>
    </row>
    <row r="1489" spans="1:8" x14ac:dyDescent="0.25">
      <c r="A1489" t="s">
        <v>19</v>
      </c>
      <c r="B1489">
        <v>33347</v>
      </c>
      <c r="C1489">
        <v>17</v>
      </c>
      <c r="D1489" t="s">
        <v>28</v>
      </c>
      <c r="E1489">
        <v>0.38</v>
      </c>
      <c r="F1489">
        <v>0.6</v>
      </c>
      <c r="G1489">
        <v>0.17</v>
      </c>
      <c r="H1489" t="s">
        <v>13</v>
      </c>
    </row>
    <row r="1490" spans="1:8" x14ac:dyDescent="0.25">
      <c r="A1490" t="s">
        <v>24</v>
      </c>
      <c r="B1490">
        <v>105618</v>
      </c>
      <c r="C1490">
        <v>1</v>
      </c>
      <c r="D1490" t="s">
        <v>9</v>
      </c>
      <c r="E1490">
        <v>0.83</v>
      </c>
      <c r="F1490">
        <v>1.34</v>
      </c>
      <c r="G1490">
        <v>0.63</v>
      </c>
      <c r="H1490" t="s">
        <v>17</v>
      </c>
    </row>
    <row r="1491" spans="1:8" x14ac:dyDescent="0.25">
      <c r="A1491" t="s">
        <v>16</v>
      </c>
      <c r="B1491">
        <v>135309</v>
      </c>
      <c r="C1491">
        <v>5</v>
      </c>
      <c r="D1491" t="s">
        <v>12</v>
      </c>
      <c r="E1491">
        <v>0.99</v>
      </c>
      <c r="F1491">
        <v>0.99</v>
      </c>
      <c r="G1491">
        <v>0.63</v>
      </c>
      <c r="H1491" t="s">
        <v>17</v>
      </c>
    </row>
    <row r="1492" spans="1:8" x14ac:dyDescent="0.25">
      <c r="A1492" t="s">
        <v>33</v>
      </c>
      <c r="B1492">
        <v>78276</v>
      </c>
      <c r="C1492">
        <v>19</v>
      </c>
      <c r="D1492" t="s">
        <v>28</v>
      </c>
      <c r="E1492">
        <v>0.97</v>
      </c>
      <c r="F1492">
        <v>0.9</v>
      </c>
      <c r="G1492">
        <v>0.28000000000000003</v>
      </c>
      <c r="H1492" t="s">
        <v>13</v>
      </c>
    </row>
    <row r="1493" spans="1:8" x14ac:dyDescent="0.25">
      <c r="A1493" t="s">
        <v>23</v>
      </c>
      <c r="B1493">
        <v>145269</v>
      </c>
      <c r="C1493">
        <v>27</v>
      </c>
      <c r="D1493" t="s">
        <v>12</v>
      </c>
      <c r="E1493">
        <v>0.14000000000000001</v>
      </c>
      <c r="F1493">
        <v>1.22</v>
      </c>
      <c r="G1493">
        <v>0.84</v>
      </c>
      <c r="H1493" t="s">
        <v>10</v>
      </c>
    </row>
    <row r="1494" spans="1:8" x14ac:dyDescent="0.25">
      <c r="A1494" t="s">
        <v>23</v>
      </c>
      <c r="B1494">
        <v>47060</v>
      </c>
      <c r="C1494">
        <v>16</v>
      </c>
      <c r="D1494" t="s">
        <v>28</v>
      </c>
      <c r="E1494">
        <v>0.6</v>
      </c>
      <c r="F1494">
        <v>1.1499999999999999</v>
      </c>
      <c r="G1494">
        <v>0.83</v>
      </c>
      <c r="H1494" t="s">
        <v>10</v>
      </c>
    </row>
    <row r="1495" spans="1:8" x14ac:dyDescent="0.25">
      <c r="A1495" t="s">
        <v>23</v>
      </c>
      <c r="B1495">
        <v>118307</v>
      </c>
      <c r="C1495">
        <v>25</v>
      </c>
      <c r="D1495" t="s">
        <v>28</v>
      </c>
      <c r="E1495">
        <v>0.9</v>
      </c>
      <c r="F1495">
        <v>0.56999999999999995</v>
      </c>
      <c r="G1495">
        <v>0.93</v>
      </c>
      <c r="H1495" t="s">
        <v>10</v>
      </c>
    </row>
    <row r="1496" spans="1:8" x14ac:dyDescent="0.25">
      <c r="A1496" t="s">
        <v>29</v>
      </c>
      <c r="B1496">
        <v>98140</v>
      </c>
      <c r="C1496">
        <v>5</v>
      </c>
      <c r="D1496" t="s">
        <v>9</v>
      </c>
      <c r="E1496">
        <v>0.78</v>
      </c>
      <c r="F1496">
        <v>1.43</v>
      </c>
      <c r="G1496">
        <v>0.88</v>
      </c>
      <c r="H1496" t="s">
        <v>10</v>
      </c>
    </row>
    <row r="1497" spans="1:8" x14ac:dyDescent="0.25">
      <c r="A1497" t="s">
        <v>29</v>
      </c>
      <c r="B1497">
        <v>145092</v>
      </c>
      <c r="C1497">
        <v>25</v>
      </c>
      <c r="D1497" t="s">
        <v>9</v>
      </c>
      <c r="E1497">
        <v>0.98</v>
      </c>
      <c r="F1497">
        <v>1.3</v>
      </c>
      <c r="G1497">
        <v>0.89</v>
      </c>
      <c r="H1497" t="s">
        <v>10</v>
      </c>
    </row>
    <row r="1498" spans="1:8" x14ac:dyDescent="0.25">
      <c r="A1498" t="s">
        <v>23</v>
      </c>
      <c r="B1498">
        <v>122965</v>
      </c>
      <c r="C1498">
        <v>9</v>
      </c>
      <c r="D1498" t="s">
        <v>9</v>
      </c>
      <c r="E1498">
        <v>0.15</v>
      </c>
      <c r="F1498">
        <v>1.36</v>
      </c>
      <c r="G1498">
        <v>0.92</v>
      </c>
      <c r="H1498" t="s">
        <v>10</v>
      </c>
    </row>
    <row r="1499" spans="1:8" x14ac:dyDescent="0.25">
      <c r="A1499" t="s">
        <v>29</v>
      </c>
      <c r="B1499">
        <v>138204</v>
      </c>
      <c r="C1499">
        <v>22</v>
      </c>
      <c r="D1499" t="s">
        <v>28</v>
      </c>
      <c r="E1499">
        <v>0.26</v>
      </c>
      <c r="F1499">
        <v>0.57999999999999996</v>
      </c>
      <c r="G1499">
        <v>0.94</v>
      </c>
      <c r="H1499" t="s">
        <v>10</v>
      </c>
    </row>
    <row r="1500" spans="1:8" x14ac:dyDescent="0.25">
      <c r="A1500" t="s">
        <v>27</v>
      </c>
      <c r="B1500">
        <v>138500</v>
      </c>
      <c r="C1500">
        <v>15</v>
      </c>
      <c r="D1500" t="s">
        <v>28</v>
      </c>
      <c r="E1500">
        <v>0.66</v>
      </c>
      <c r="F1500">
        <v>1.28</v>
      </c>
      <c r="G1500">
        <v>0.55000000000000004</v>
      </c>
      <c r="H1500" t="s">
        <v>17</v>
      </c>
    </row>
    <row r="1501" spans="1:8" x14ac:dyDescent="0.25">
      <c r="A1501" t="s">
        <v>31</v>
      </c>
      <c r="B1501">
        <v>49728</v>
      </c>
      <c r="C1501">
        <v>6</v>
      </c>
      <c r="D1501" t="s">
        <v>28</v>
      </c>
      <c r="E1501">
        <v>0.91</v>
      </c>
      <c r="F1501">
        <v>1.08</v>
      </c>
      <c r="G1501">
        <v>0.72</v>
      </c>
      <c r="H1501" t="s">
        <v>10</v>
      </c>
    </row>
    <row r="1502" spans="1:8" x14ac:dyDescent="0.25">
      <c r="A1502" t="s">
        <v>25</v>
      </c>
      <c r="B1502">
        <v>79108</v>
      </c>
      <c r="C1502">
        <v>13</v>
      </c>
      <c r="D1502" t="s">
        <v>15</v>
      </c>
      <c r="E1502">
        <v>0.42</v>
      </c>
      <c r="F1502">
        <v>1.08</v>
      </c>
      <c r="G1502">
        <v>0.33</v>
      </c>
      <c r="H1502" t="s">
        <v>17</v>
      </c>
    </row>
    <row r="1503" spans="1:8" x14ac:dyDescent="0.25">
      <c r="A1503" t="s">
        <v>34</v>
      </c>
      <c r="B1503">
        <v>114724</v>
      </c>
      <c r="C1503">
        <v>20</v>
      </c>
      <c r="D1503" t="s">
        <v>15</v>
      </c>
      <c r="E1503">
        <v>0.42</v>
      </c>
      <c r="F1503">
        <v>1.3</v>
      </c>
      <c r="G1503">
        <v>0.41</v>
      </c>
      <c r="H1503" t="s">
        <v>17</v>
      </c>
    </row>
    <row r="1504" spans="1:8" x14ac:dyDescent="0.25">
      <c r="A1504" t="s">
        <v>34</v>
      </c>
      <c r="B1504">
        <v>123566</v>
      </c>
      <c r="C1504">
        <v>10</v>
      </c>
      <c r="D1504" t="s">
        <v>15</v>
      </c>
      <c r="E1504">
        <v>0.95</v>
      </c>
      <c r="F1504">
        <v>0.51</v>
      </c>
      <c r="G1504">
        <v>0.48</v>
      </c>
      <c r="H1504" t="s">
        <v>17</v>
      </c>
    </row>
    <row r="1505" spans="1:8" x14ac:dyDescent="0.25">
      <c r="A1505" t="s">
        <v>31</v>
      </c>
      <c r="B1505">
        <v>33984</v>
      </c>
      <c r="C1505">
        <v>0</v>
      </c>
      <c r="D1505" t="s">
        <v>28</v>
      </c>
      <c r="E1505">
        <v>0.6</v>
      </c>
      <c r="F1505">
        <v>1.19</v>
      </c>
      <c r="G1505">
        <v>0.8</v>
      </c>
      <c r="H1505" t="s">
        <v>10</v>
      </c>
    </row>
    <row r="1506" spans="1:8" x14ac:dyDescent="0.25">
      <c r="A1506" t="s">
        <v>32</v>
      </c>
      <c r="B1506">
        <v>140839</v>
      </c>
      <c r="C1506">
        <v>16</v>
      </c>
      <c r="D1506" t="s">
        <v>15</v>
      </c>
      <c r="E1506">
        <v>1</v>
      </c>
      <c r="F1506">
        <v>0.53</v>
      </c>
      <c r="G1506">
        <v>0.33</v>
      </c>
      <c r="H1506" t="s">
        <v>17</v>
      </c>
    </row>
    <row r="1507" spans="1:8" x14ac:dyDescent="0.25">
      <c r="A1507" t="s">
        <v>34</v>
      </c>
      <c r="B1507">
        <v>78481</v>
      </c>
      <c r="C1507">
        <v>1</v>
      </c>
      <c r="D1507" t="s">
        <v>15</v>
      </c>
      <c r="E1507">
        <v>0.12</v>
      </c>
      <c r="F1507">
        <v>0.67</v>
      </c>
      <c r="G1507">
        <v>0.7</v>
      </c>
      <c r="H1507" t="s">
        <v>17</v>
      </c>
    </row>
    <row r="1508" spans="1:8" x14ac:dyDescent="0.25">
      <c r="A1508" t="s">
        <v>18</v>
      </c>
      <c r="B1508">
        <v>101343</v>
      </c>
      <c r="C1508">
        <v>10</v>
      </c>
      <c r="D1508" t="s">
        <v>28</v>
      </c>
      <c r="E1508">
        <v>0.51</v>
      </c>
      <c r="F1508">
        <v>0.51</v>
      </c>
      <c r="G1508">
        <v>0.42</v>
      </c>
      <c r="H1508" t="s">
        <v>17</v>
      </c>
    </row>
    <row r="1509" spans="1:8" x14ac:dyDescent="0.25">
      <c r="A1509" t="s">
        <v>11</v>
      </c>
      <c r="B1509">
        <v>84034</v>
      </c>
      <c r="C1509">
        <v>26</v>
      </c>
      <c r="D1509" t="s">
        <v>9</v>
      </c>
      <c r="E1509">
        <v>0.02</v>
      </c>
      <c r="F1509">
        <v>1.0900000000000001</v>
      </c>
      <c r="G1509">
        <v>0.27</v>
      </c>
      <c r="H1509" t="s">
        <v>13</v>
      </c>
    </row>
    <row r="1510" spans="1:8" x14ac:dyDescent="0.25">
      <c r="A1510" t="s">
        <v>20</v>
      </c>
      <c r="B1510">
        <v>66419</v>
      </c>
      <c r="C1510">
        <v>17</v>
      </c>
      <c r="D1510" t="s">
        <v>9</v>
      </c>
      <c r="E1510">
        <v>0.35</v>
      </c>
      <c r="F1510">
        <v>0.87</v>
      </c>
      <c r="G1510">
        <v>0.38</v>
      </c>
      <c r="H1510" t="s">
        <v>17</v>
      </c>
    </row>
    <row r="1511" spans="1:8" x14ac:dyDescent="0.25">
      <c r="A1511" t="s">
        <v>27</v>
      </c>
      <c r="B1511">
        <v>79357</v>
      </c>
      <c r="C1511">
        <v>4</v>
      </c>
      <c r="D1511" t="s">
        <v>15</v>
      </c>
      <c r="E1511">
        <v>0.66</v>
      </c>
      <c r="F1511">
        <v>0.81</v>
      </c>
      <c r="G1511">
        <v>0.41</v>
      </c>
      <c r="H1511" t="s">
        <v>17</v>
      </c>
    </row>
    <row r="1512" spans="1:8" x14ac:dyDescent="0.25">
      <c r="A1512" t="s">
        <v>33</v>
      </c>
      <c r="B1512">
        <v>99064</v>
      </c>
      <c r="C1512">
        <v>7</v>
      </c>
      <c r="D1512" t="s">
        <v>28</v>
      </c>
      <c r="E1512">
        <v>0.46</v>
      </c>
      <c r="F1512">
        <v>1.36</v>
      </c>
      <c r="G1512">
        <v>0.28000000000000003</v>
      </c>
      <c r="H1512" t="s">
        <v>13</v>
      </c>
    </row>
    <row r="1513" spans="1:8" x14ac:dyDescent="0.25">
      <c r="A1513" t="s">
        <v>22</v>
      </c>
      <c r="B1513">
        <v>44280</v>
      </c>
      <c r="C1513">
        <v>2</v>
      </c>
      <c r="D1513" t="s">
        <v>28</v>
      </c>
      <c r="E1513">
        <v>0.17</v>
      </c>
      <c r="F1513">
        <v>1.25</v>
      </c>
      <c r="G1513">
        <v>0.62</v>
      </c>
      <c r="H1513" t="s">
        <v>17</v>
      </c>
    </row>
    <row r="1514" spans="1:8" x14ac:dyDescent="0.25">
      <c r="A1514" t="s">
        <v>14</v>
      </c>
      <c r="B1514">
        <v>49691</v>
      </c>
      <c r="C1514">
        <v>26</v>
      </c>
      <c r="D1514" t="s">
        <v>9</v>
      </c>
      <c r="E1514">
        <v>0.7</v>
      </c>
      <c r="F1514">
        <v>1.05</v>
      </c>
      <c r="G1514">
        <v>0.72</v>
      </c>
      <c r="H1514" t="s">
        <v>10</v>
      </c>
    </row>
    <row r="1515" spans="1:8" x14ac:dyDescent="0.25">
      <c r="A1515" t="s">
        <v>26</v>
      </c>
      <c r="B1515">
        <v>95234</v>
      </c>
      <c r="C1515">
        <v>4</v>
      </c>
      <c r="D1515" t="s">
        <v>28</v>
      </c>
      <c r="E1515">
        <v>0.78</v>
      </c>
      <c r="F1515">
        <v>1.28</v>
      </c>
      <c r="G1515">
        <v>0.44</v>
      </c>
      <c r="H1515" t="s">
        <v>17</v>
      </c>
    </row>
    <row r="1516" spans="1:8" x14ac:dyDescent="0.25">
      <c r="A1516" t="s">
        <v>27</v>
      </c>
      <c r="B1516">
        <v>63783</v>
      </c>
      <c r="C1516">
        <v>2</v>
      </c>
      <c r="D1516" t="s">
        <v>15</v>
      </c>
      <c r="E1516">
        <v>0.41</v>
      </c>
      <c r="F1516">
        <v>1</v>
      </c>
      <c r="G1516">
        <v>0.63</v>
      </c>
      <c r="H1516" t="s">
        <v>17</v>
      </c>
    </row>
    <row r="1517" spans="1:8" x14ac:dyDescent="0.25">
      <c r="A1517" t="s">
        <v>22</v>
      </c>
      <c r="B1517">
        <v>95609</v>
      </c>
      <c r="C1517">
        <v>26</v>
      </c>
      <c r="D1517" t="s">
        <v>15</v>
      </c>
      <c r="E1517">
        <v>0.61</v>
      </c>
      <c r="F1517">
        <v>1.1100000000000001</v>
      </c>
      <c r="G1517">
        <v>0.6</v>
      </c>
      <c r="H1517" t="s">
        <v>17</v>
      </c>
    </row>
    <row r="1518" spans="1:8" x14ac:dyDescent="0.25">
      <c r="A1518" t="s">
        <v>34</v>
      </c>
      <c r="B1518">
        <v>34590</v>
      </c>
      <c r="C1518">
        <v>20</v>
      </c>
      <c r="D1518" t="s">
        <v>12</v>
      </c>
      <c r="E1518">
        <v>0.9</v>
      </c>
      <c r="F1518">
        <v>1.01</v>
      </c>
      <c r="G1518">
        <v>0.66</v>
      </c>
      <c r="H1518" t="s">
        <v>17</v>
      </c>
    </row>
    <row r="1519" spans="1:8" x14ac:dyDescent="0.25">
      <c r="A1519" t="s">
        <v>18</v>
      </c>
      <c r="B1519">
        <v>141463</v>
      </c>
      <c r="C1519">
        <v>18</v>
      </c>
      <c r="D1519" t="s">
        <v>9</v>
      </c>
      <c r="E1519">
        <v>0.63</v>
      </c>
      <c r="F1519">
        <v>1.05</v>
      </c>
      <c r="G1519">
        <v>0.53</v>
      </c>
      <c r="H1519" t="s">
        <v>17</v>
      </c>
    </row>
    <row r="1520" spans="1:8" x14ac:dyDescent="0.25">
      <c r="A1520" t="s">
        <v>31</v>
      </c>
      <c r="B1520">
        <v>90891</v>
      </c>
      <c r="C1520">
        <v>22</v>
      </c>
      <c r="D1520" t="s">
        <v>28</v>
      </c>
      <c r="E1520">
        <v>0.15</v>
      </c>
      <c r="F1520">
        <v>1.24</v>
      </c>
      <c r="G1520">
        <v>0.8</v>
      </c>
      <c r="H1520" t="s">
        <v>10</v>
      </c>
    </row>
    <row r="1521" spans="1:8" x14ac:dyDescent="0.25">
      <c r="A1521" t="s">
        <v>26</v>
      </c>
      <c r="B1521">
        <v>127976</v>
      </c>
      <c r="C1521">
        <v>9</v>
      </c>
      <c r="D1521" t="s">
        <v>15</v>
      </c>
      <c r="E1521">
        <v>0.28999999999999998</v>
      </c>
      <c r="F1521">
        <v>1.03</v>
      </c>
      <c r="G1521">
        <v>0.64</v>
      </c>
      <c r="H1521" t="s">
        <v>17</v>
      </c>
    </row>
    <row r="1522" spans="1:8" x14ac:dyDescent="0.25">
      <c r="A1522" t="s">
        <v>8</v>
      </c>
      <c r="B1522">
        <v>137046</v>
      </c>
      <c r="C1522">
        <v>19</v>
      </c>
      <c r="D1522" t="s">
        <v>9</v>
      </c>
      <c r="E1522">
        <v>0.56999999999999995</v>
      </c>
      <c r="F1522">
        <v>1.05</v>
      </c>
      <c r="G1522">
        <v>0.8</v>
      </c>
      <c r="H1522" t="s">
        <v>10</v>
      </c>
    </row>
    <row r="1523" spans="1:8" x14ac:dyDescent="0.25">
      <c r="A1523" t="s">
        <v>30</v>
      </c>
      <c r="B1523">
        <v>51058</v>
      </c>
      <c r="C1523">
        <v>25</v>
      </c>
      <c r="D1523" t="s">
        <v>12</v>
      </c>
      <c r="E1523">
        <v>0.01</v>
      </c>
      <c r="F1523">
        <v>1.35</v>
      </c>
      <c r="G1523">
        <v>0.23</v>
      </c>
      <c r="H1523" t="s">
        <v>13</v>
      </c>
    </row>
    <row r="1524" spans="1:8" x14ac:dyDescent="0.25">
      <c r="A1524" t="s">
        <v>23</v>
      </c>
      <c r="B1524">
        <v>34258</v>
      </c>
      <c r="C1524">
        <v>26</v>
      </c>
      <c r="D1524" t="s">
        <v>9</v>
      </c>
      <c r="E1524">
        <v>0.33</v>
      </c>
      <c r="F1524">
        <v>1.23</v>
      </c>
      <c r="G1524">
        <v>0.88</v>
      </c>
      <c r="H1524" t="s">
        <v>10</v>
      </c>
    </row>
    <row r="1525" spans="1:8" x14ac:dyDescent="0.25">
      <c r="A1525" t="s">
        <v>31</v>
      </c>
      <c r="B1525">
        <v>107273</v>
      </c>
      <c r="C1525">
        <v>28</v>
      </c>
      <c r="D1525" t="s">
        <v>12</v>
      </c>
      <c r="E1525">
        <v>0.78</v>
      </c>
      <c r="F1525">
        <v>0.8</v>
      </c>
      <c r="G1525">
        <v>0.75</v>
      </c>
      <c r="H1525" t="s">
        <v>10</v>
      </c>
    </row>
    <row r="1526" spans="1:8" x14ac:dyDescent="0.25">
      <c r="A1526" t="s">
        <v>33</v>
      </c>
      <c r="B1526">
        <v>144365</v>
      </c>
      <c r="C1526">
        <v>15</v>
      </c>
      <c r="D1526" t="s">
        <v>12</v>
      </c>
      <c r="E1526">
        <v>0.19</v>
      </c>
      <c r="F1526">
        <v>0.98</v>
      </c>
      <c r="G1526">
        <v>7.0000000000000007E-2</v>
      </c>
      <c r="H1526" t="s">
        <v>13</v>
      </c>
    </row>
    <row r="1527" spans="1:8" x14ac:dyDescent="0.25">
      <c r="A1527" t="s">
        <v>18</v>
      </c>
      <c r="B1527">
        <v>91146</v>
      </c>
      <c r="C1527">
        <v>21</v>
      </c>
      <c r="D1527" t="s">
        <v>28</v>
      </c>
      <c r="E1527">
        <v>0.83</v>
      </c>
      <c r="F1527">
        <v>1.18</v>
      </c>
      <c r="G1527">
        <v>0.31</v>
      </c>
      <c r="H1527" t="s">
        <v>17</v>
      </c>
    </row>
    <row r="1528" spans="1:8" x14ac:dyDescent="0.25">
      <c r="A1528" t="s">
        <v>27</v>
      </c>
      <c r="B1528">
        <v>139759</v>
      </c>
      <c r="C1528">
        <v>20</v>
      </c>
      <c r="D1528" t="s">
        <v>12</v>
      </c>
      <c r="E1528">
        <v>0.37</v>
      </c>
      <c r="F1528">
        <v>1.23</v>
      </c>
      <c r="G1528">
        <v>0.47</v>
      </c>
      <c r="H1528" t="s">
        <v>17</v>
      </c>
    </row>
    <row r="1529" spans="1:8" x14ac:dyDescent="0.25">
      <c r="A1529" t="s">
        <v>14</v>
      </c>
      <c r="B1529">
        <v>89087</v>
      </c>
      <c r="C1529">
        <v>16</v>
      </c>
      <c r="D1529" t="s">
        <v>9</v>
      </c>
      <c r="E1529">
        <v>0.2</v>
      </c>
      <c r="F1529">
        <v>0.59</v>
      </c>
      <c r="G1529">
        <v>0.88</v>
      </c>
      <c r="H1529" t="s">
        <v>10</v>
      </c>
    </row>
    <row r="1530" spans="1:8" x14ac:dyDescent="0.25">
      <c r="A1530" t="s">
        <v>32</v>
      </c>
      <c r="B1530">
        <v>105692</v>
      </c>
      <c r="C1530">
        <v>0</v>
      </c>
      <c r="D1530" t="s">
        <v>12</v>
      </c>
      <c r="E1530">
        <v>0.69</v>
      </c>
      <c r="F1530">
        <v>0.76</v>
      </c>
      <c r="G1530">
        <v>0.67</v>
      </c>
      <c r="H1530" t="s">
        <v>17</v>
      </c>
    </row>
    <row r="1531" spans="1:8" x14ac:dyDescent="0.25">
      <c r="A1531" t="s">
        <v>22</v>
      </c>
      <c r="B1531">
        <v>94930</v>
      </c>
      <c r="C1531">
        <v>26</v>
      </c>
      <c r="D1531" t="s">
        <v>15</v>
      </c>
      <c r="E1531">
        <v>0.37</v>
      </c>
      <c r="F1531">
        <v>0.56000000000000005</v>
      </c>
      <c r="G1531">
        <v>0.63</v>
      </c>
      <c r="H1531" t="s">
        <v>17</v>
      </c>
    </row>
    <row r="1532" spans="1:8" x14ac:dyDescent="0.25">
      <c r="A1532" t="s">
        <v>30</v>
      </c>
      <c r="B1532">
        <v>80852</v>
      </c>
      <c r="C1532">
        <v>23</v>
      </c>
      <c r="D1532" t="s">
        <v>12</v>
      </c>
      <c r="E1532">
        <v>0.11</v>
      </c>
      <c r="F1532">
        <v>1.08</v>
      </c>
      <c r="G1532">
        <v>7.0000000000000007E-2</v>
      </c>
      <c r="H1532" t="s">
        <v>13</v>
      </c>
    </row>
    <row r="1533" spans="1:8" x14ac:dyDescent="0.25">
      <c r="A1533" t="s">
        <v>18</v>
      </c>
      <c r="B1533">
        <v>135857</v>
      </c>
      <c r="C1533">
        <v>4</v>
      </c>
      <c r="D1533" t="s">
        <v>15</v>
      </c>
      <c r="E1533">
        <v>0.04</v>
      </c>
      <c r="F1533">
        <v>0.96</v>
      </c>
      <c r="G1533">
        <v>0.63</v>
      </c>
      <c r="H1533" t="s">
        <v>17</v>
      </c>
    </row>
    <row r="1534" spans="1:8" x14ac:dyDescent="0.25">
      <c r="A1534" t="s">
        <v>19</v>
      </c>
      <c r="B1534">
        <v>118816</v>
      </c>
      <c r="C1534">
        <v>24</v>
      </c>
      <c r="D1534" t="s">
        <v>9</v>
      </c>
      <c r="E1534">
        <v>0.36</v>
      </c>
      <c r="F1534">
        <v>1.07</v>
      </c>
      <c r="G1534">
        <v>0.11</v>
      </c>
      <c r="H1534" t="s">
        <v>13</v>
      </c>
    </row>
    <row r="1535" spans="1:8" x14ac:dyDescent="0.25">
      <c r="A1535" t="s">
        <v>26</v>
      </c>
      <c r="B1535">
        <v>73906</v>
      </c>
      <c r="C1535">
        <v>21</v>
      </c>
      <c r="D1535" t="s">
        <v>12</v>
      </c>
      <c r="E1535">
        <v>0.62</v>
      </c>
      <c r="F1535">
        <v>1.1100000000000001</v>
      </c>
      <c r="G1535">
        <v>0.39</v>
      </c>
      <c r="H1535" t="s">
        <v>17</v>
      </c>
    </row>
    <row r="1536" spans="1:8" x14ac:dyDescent="0.25">
      <c r="A1536" t="s">
        <v>11</v>
      </c>
      <c r="B1536">
        <v>79723</v>
      </c>
      <c r="C1536">
        <v>23</v>
      </c>
      <c r="D1536" t="s">
        <v>9</v>
      </c>
      <c r="E1536">
        <v>0.09</v>
      </c>
      <c r="F1536">
        <v>1.43</v>
      </c>
      <c r="G1536">
        <v>0.21</v>
      </c>
      <c r="H1536" t="s">
        <v>13</v>
      </c>
    </row>
    <row r="1537" spans="1:8" x14ac:dyDescent="0.25">
      <c r="A1537" t="s">
        <v>33</v>
      </c>
      <c r="B1537">
        <v>98457</v>
      </c>
      <c r="C1537">
        <v>21</v>
      </c>
      <c r="D1537" t="s">
        <v>9</v>
      </c>
      <c r="E1537">
        <v>0.55000000000000004</v>
      </c>
      <c r="F1537">
        <v>1.1599999999999999</v>
      </c>
      <c r="G1537">
        <v>0.27</v>
      </c>
      <c r="H1537" t="s">
        <v>13</v>
      </c>
    </row>
    <row r="1538" spans="1:8" x14ac:dyDescent="0.25">
      <c r="A1538" t="s">
        <v>22</v>
      </c>
      <c r="B1538">
        <v>35659</v>
      </c>
      <c r="C1538">
        <v>1</v>
      </c>
      <c r="D1538" t="s">
        <v>15</v>
      </c>
      <c r="E1538">
        <v>0.81</v>
      </c>
      <c r="F1538">
        <v>0.81</v>
      </c>
      <c r="G1538">
        <v>0.46</v>
      </c>
      <c r="H1538" t="s">
        <v>17</v>
      </c>
    </row>
    <row r="1539" spans="1:8" x14ac:dyDescent="0.25">
      <c r="A1539" t="s">
        <v>30</v>
      </c>
      <c r="B1539">
        <v>114295</v>
      </c>
      <c r="C1539">
        <v>10</v>
      </c>
      <c r="D1539" t="s">
        <v>9</v>
      </c>
      <c r="E1539">
        <v>0.19</v>
      </c>
      <c r="F1539">
        <v>1.35</v>
      </c>
      <c r="G1539">
        <v>0.19</v>
      </c>
      <c r="H1539" t="s">
        <v>13</v>
      </c>
    </row>
    <row r="1540" spans="1:8" x14ac:dyDescent="0.25">
      <c r="A1540" t="s">
        <v>30</v>
      </c>
      <c r="B1540">
        <v>128989</v>
      </c>
      <c r="C1540">
        <v>16</v>
      </c>
      <c r="D1540" t="s">
        <v>15</v>
      </c>
      <c r="E1540">
        <v>7.0000000000000007E-2</v>
      </c>
      <c r="F1540">
        <v>0.51</v>
      </c>
      <c r="G1540">
        <v>0.09</v>
      </c>
      <c r="H1540" t="s">
        <v>13</v>
      </c>
    </row>
    <row r="1541" spans="1:8" x14ac:dyDescent="0.25">
      <c r="A1541" t="s">
        <v>22</v>
      </c>
      <c r="B1541">
        <v>125011</v>
      </c>
      <c r="C1541">
        <v>4</v>
      </c>
      <c r="D1541" t="s">
        <v>15</v>
      </c>
      <c r="E1541">
        <v>0.72</v>
      </c>
      <c r="F1541">
        <v>0.57999999999999996</v>
      </c>
      <c r="G1541">
        <v>0.56999999999999995</v>
      </c>
      <c r="H1541" t="s">
        <v>17</v>
      </c>
    </row>
    <row r="1542" spans="1:8" x14ac:dyDescent="0.25">
      <c r="A1542" t="s">
        <v>11</v>
      </c>
      <c r="B1542">
        <v>70372</v>
      </c>
      <c r="C1542">
        <v>24</v>
      </c>
      <c r="D1542" t="s">
        <v>28</v>
      </c>
      <c r="E1542">
        <v>0.77</v>
      </c>
      <c r="F1542">
        <v>0.56000000000000005</v>
      </c>
      <c r="G1542">
        <v>0.26</v>
      </c>
      <c r="H1542" t="s">
        <v>13</v>
      </c>
    </row>
    <row r="1543" spans="1:8" x14ac:dyDescent="0.25">
      <c r="A1543" t="s">
        <v>25</v>
      </c>
      <c r="B1543">
        <v>37203</v>
      </c>
      <c r="C1543">
        <v>28</v>
      </c>
      <c r="D1543" t="s">
        <v>15</v>
      </c>
      <c r="E1543">
        <v>0.47</v>
      </c>
      <c r="F1543">
        <v>1.28</v>
      </c>
      <c r="G1543">
        <v>0.32</v>
      </c>
      <c r="H1543" t="s">
        <v>17</v>
      </c>
    </row>
    <row r="1544" spans="1:8" x14ac:dyDescent="0.25">
      <c r="A1544" t="s">
        <v>34</v>
      </c>
      <c r="B1544">
        <v>72928</v>
      </c>
      <c r="C1544">
        <v>8</v>
      </c>
      <c r="D1544" t="s">
        <v>15</v>
      </c>
      <c r="E1544">
        <v>0.74</v>
      </c>
      <c r="F1544">
        <v>0.78</v>
      </c>
      <c r="G1544">
        <v>0.45</v>
      </c>
      <c r="H1544" t="s">
        <v>17</v>
      </c>
    </row>
    <row r="1545" spans="1:8" x14ac:dyDescent="0.25">
      <c r="A1545" t="s">
        <v>24</v>
      </c>
      <c r="B1545">
        <v>42568</v>
      </c>
      <c r="C1545">
        <v>3</v>
      </c>
      <c r="D1545" t="s">
        <v>12</v>
      </c>
      <c r="E1545">
        <v>0.75</v>
      </c>
      <c r="F1545">
        <v>1.4</v>
      </c>
      <c r="G1545">
        <v>0.42</v>
      </c>
      <c r="H1545" t="s">
        <v>17</v>
      </c>
    </row>
    <row r="1546" spans="1:8" x14ac:dyDescent="0.25">
      <c r="A1546" t="s">
        <v>26</v>
      </c>
      <c r="B1546">
        <v>147982</v>
      </c>
      <c r="C1546">
        <v>28</v>
      </c>
      <c r="D1546" t="s">
        <v>28</v>
      </c>
      <c r="E1546">
        <v>0.52</v>
      </c>
      <c r="F1546">
        <v>1.04</v>
      </c>
      <c r="G1546">
        <v>0.43</v>
      </c>
      <c r="H1546" t="s">
        <v>17</v>
      </c>
    </row>
    <row r="1547" spans="1:8" x14ac:dyDescent="0.25">
      <c r="A1547" t="s">
        <v>16</v>
      </c>
      <c r="B1547">
        <v>81011</v>
      </c>
      <c r="C1547">
        <v>0</v>
      </c>
      <c r="D1547" t="s">
        <v>12</v>
      </c>
      <c r="E1547">
        <v>0.97</v>
      </c>
      <c r="F1547">
        <v>1.05</v>
      </c>
      <c r="G1547">
        <v>0.48</v>
      </c>
      <c r="H1547" t="s">
        <v>17</v>
      </c>
    </row>
    <row r="1548" spans="1:8" x14ac:dyDescent="0.25">
      <c r="A1548" t="s">
        <v>26</v>
      </c>
      <c r="B1548">
        <v>148691</v>
      </c>
      <c r="C1548">
        <v>1</v>
      </c>
      <c r="D1548" t="s">
        <v>12</v>
      </c>
      <c r="E1548">
        <v>0.44</v>
      </c>
      <c r="F1548">
        <v>0.6</v>
      </c>
      <c r="G1548">
        <v>0.4</v>
      </c>
      <c r="H1548" t="s">
        <v>17</v>
      </c>
    </row>
    <row r="1549" spans="1:8" x14ac:dyDescent="0.25">
      <c r="A1549" t="s">
        <v>24</v>
      </c>
      <c r="B1549">
        <v>139014</v>
      </c>
      <c r="C1549">
        <v>10</v>
      </c>
      <c r="D1549" t="s">
        <v>12</v>
      </c>
      <c r="E1549">
        <v>0.39</v>
      </c>
      <c r="F1549">
        <v>1.03</v>
      </c>
      <c r="G1549">
        <v>0.44</v>
      </c>
      <c r="H1549" t="s">
        <v>17</v>
      </c>
    </row>
    <row r="1550" spans="1:8" x14ac:dyDescent="0.25">
      <c r="A1550" t="s">
        <v>32</v>
      </c>
      <c r="B1550">
        <v>111164</v>
      </c>
      <c r="C1550">
        <v>28</v>
      </c>
      <c r="D1550" t="s">
        <v>9</v>
      </c>
      <c r="E1550">
        <v>0.34</v>
      </c>
      <c r="F1550">
        <v>1.25</v>
      </c>
      <c r="G1550">
        <v>0.62</v>
      </c>
      <c r="H1550" t="s">
        <v>17</v>
      </c>
    </row>
    <row r="1551" spans="1:8" x14ac:dyDescent="0.25">
      <c r="A1551" t="s">
        <v>26</v>
      </c>
      <c r="B1551">
        <v>37529</v>
      </c>
      <c r="C1551">
        <v>21</v>
      </c>
      <c r="D1551" t="s">
        <v>28</v>
      </c>
      <c r="E1551">
        <v>0.81</v>
      </c>
      <c r="F1551">
        <v>0.61</v>
      </c>
      <c r="G1551">
        <v>0.61</v>
      </c>
      <c r="H1551" t="s">
        <v>17</v>
      </c>
    </row>
    <row r="1552" spans="1:8" x14ac:dyDescent="0.25">
      <c r="A1552" t="s">
        <v>30</v>
      </c>
      <c r="B1552">
        <v>125707</v>
      </c>
      <c r="C1552">
        <v>1</v>
      </c>
      <c r="D1552" t="s">
        <v>9</v>
      </c>
      <c r="E1552">
        <v>0.34</v>
      </c>
      <c r="F1552">
        <v>1.1399999999999999</v>
      </c>
      <c r="G1552">
        <v>0.26</v>
      </c>
      <c r="H1552" t="s">
        <v>13</v>
      </c>
    </row>
    <row r="1553" spans="1:8" x14ac:dyDescent="0.25">
      <c r="A1553" t="s">
        <v>32</v>
      </c>
      <c r="B1553">
        <v>139633</v>
      </c>
      <c r="C1553">
        <v>23</v>
      </c>
      <c r="D1553" t="s">
        <v>12</v>
      </c>
      <c r="E1553">
        <v>0.48</v>
      </c>
      <c r="F1553">
        <v>0.51</v>
      </c>
      <c r="G1553">
        <v>0.31</v>
      </c>
      <c r="H1553" t="s">
        <v>17</v>
      </c>
    </row>
    <row r="1554" spans="1:8" x14ac:dyDescent="0.25">
      <c r="A1554" t="s">
        <v>19</v>
      </c>
      <c r="B1554">
        <v>75477</v>
      </c>
      <c r="C1554">
        <v>2</v>
      </c>
      <c r="D1554" t="s">
        <v>12</v>
      </c>
      <c r="E1554">
        <v>0.05</v>
      </c>
      <c r="F1554">
        <v>0.8</v>
      </c>
      <c r="G1554">
        <v>0.19</v>
      </c>
      <c r="H1554" t="s">
        <v>13</v>
      </c>
    </row>
    <row r="1555" spans="1:8" x14ac:dyDescent="0.25">
      <c r="A1555" t="s">
        <v>21</v>
      </c>
      <c r="B1555">
        <v>84756</v>
      </c>
      <c r="C1555">
        <v>28</v>
      </c>
      <c r="D1555" t="s">
        <v>12</v>
      </c>
      <c r="E1555">
        <v>0.1</v>
      </c>
      <c r="F1555">
        <v>0.78</v>
      </c>
      <c r="G1555">
        <v>0.12</v>
      </c>
      <c r="H1555" t="s">
        <v>13</v>
      </c>
    </row>
    <row r="1556" spans="1:8" x14ac:dyDescent="0.25">
      <c r="A1556" t="s">
        <v>21</v>
      </c>
      <c r="B1556">
        <v>67309</v>
      </c>
      <c r="C1556">
        <v>12</v>
      </c>
      <c r="D1556" t="s">
        <v>15</v>
      </c>
      <c r="E1556">
        <v>0.02</v>
      </c>
      <c r="F1556">
        <v>0.72</v>
      </c>
      <c r="G1556">
        <v>0.2</v>
      </c>
      <c r="H1556" t="s">
        <v>13</v>
      </c>
    </row>
    <row r="1557" spans="1:8" x14ac:dyDescent="0.25">
      <c r="A1557" t="s">
        <v>11</v>
      </c>
      <c r="B1557">
        <v>130043</v>
      </c>
      <c r="C1557">
        <v>20</v>
      </c>
      <c r="D1557" t="s">
        <v>9</v>
      </c>
      <c r="E1557">
        <v>0.34</v>
      </c>
      <c r="F1557">
        <v>1.26</v>
      </c>
      <c r="G1557">
        <v>0.21</v>
      </c>
      <c r="H1557" t="s">
        <v>13</v>
      </c>
    </row>
    <row r="1558" spans="1:8" x14ac:dyDescent="0.25">
      <c r="A1558" t="s">
        <v>24</v>
      </c>
      <c r="B1558">
        <v>101880</v>
      </c>
      <c r="C1558">
        <v>10</v>
      </c>
      <c r="D1558" t="s">
        <v>12</v>
      </c>
      <c r="E1558">
        <v>0.43</v>
      </c>
      <c r="F1558">
        <v>0.69</v>
      </c>
      <c r="G1558">
        <v>0.51</v>
      </c>
      <c r="H1558" t="s">
        <v>17</v>
      </c>
    </row>
    <row r="1559" spans="1:8" x14ac:dyDescent="0.25">
      <c r="A1559" t="s">
        <v>24</v>
      </c>
      <c r="B1559">
        <v>37011</v>
      </c>
      <c r="C1559">
        <v>4</v>
      </c>
      <c r="D1559" t="s">
        <v>9</v>
      </c>
      <c r="E1559">
        <v>0.46</v>
      </c>
      <c r="F1559">
        <v>0.74</v>
      </c>
      <c r="G1559">
        <v>0.48</v>
      </c>
      <c r="H1559" t="s">
        <v>17</v>
      </c>
    </row>
    <row r="1560" spans="1:8" x14ac:dyDescent="0.25">
      <c r="A1560" t="s">
        <v>8</v>
      </c>
      <c r="B1560">
        <v>89658</v>
      </c>
      <c r="C1560">
        <v>0</v>
      </c>
      <c r="D1560" t="s">
        <v>9</v>
      </c>
      <c r="E1560">
        <v>0.73</v>
      </c>
      <c r="F1560">
        <v>1.43</v>
      </c>
      <c r="G1560">
        <v>0.89</v>
      </c>
      <c r="H1560" t="s">
        <v>10</v>
      </c>
    </row>
    <row r="1561" spans="1:8" x14ac:dyDescent="0.25">
      <c r="A1561" t="s">
        <v>14</v>
      </c>
      <c r="B1561">
        <v>99720</v>
      </c>
      <c r="C1561">
        <v>27</v>
      </c>
      <c r="D1561" t="s">
        <v>12</v>
      </c>
      <c r="E1561">
        <v>0.72</v>
      </c>
      <c r="F1561">
        <v>1.39</v>
      </c>
      <c r="G1561">
        <v>0.7</v>
      </c>
      <c r="H1561" t="s">
        <v>17</v>
      </c>
    </row>
    <row r="1562" spans="1:8" x14ac:dyDescent="0.25">
      <c r="A1562" t="s">
        <v>32</v>
      </c>
      <c r="B1562">
        <v>115934</v>
      </c>
      <c r="C1562">
        <v>13</v>
      </c>
      <c r="D1562" t="s">
        <v>12</v>
      </c>
      <c r="E1562">
        <v>0.69</v>
      </c>
      <c r="F1562">
        <v>0.5</v>
      </c>
      <c r="G1562">
        <v>0.67</v>
      </c>
      <c r="H1562" t="s">
        <v>17</v>
      </c>
    </row>
    <row r="1563" spans="1:8" x14ac:dyDescent="0.25">
      <c r="A1563" t="s">
        <v>21</v>
      </c>
      <c r="B1563">
        <v>104713</v>
      </c>
      <c r="C1563">
        <v>13</v>
      </c>
      <c r="D1563" t="s">
        <v>15</v>
      </c>
      <c r="E1563">
        <v>0.7</v>
      </c>
      <c r="F1563">
        <v>1.49</v>
      </c>
      <c r="G1563">
        <v>7.0000000000000007E-2</v>
      </c>
      <c r="H1563" t="s">
        <v>13</v>
      </c>
    </row>
    <row r="1564" spans="1:8" x14ac:dyDescent="0.25">
      <c r="A1564" t="s">
        <v>29</v>
      </c>
      <c r="B1564">
        <v>51622</v>
      </c>
      <c r="C1564">
        <v>12</v>
      </c>
      <c r="D1564" t="s">
        <v>15</v>
      </c>
      <c r="E1564">
        <v>0.97</v>
      </c>
      <c r="F1564">
        <v>1.49</v>
      </c>
      <c r="G1564">
        <v>0.86</v>
      </c>
      <c r="H1564" t="s">
        <v>10</v>
      </c>
    </row>
    <row r="1565" spans="1:8" x14ac:dyDescent="0.25">
      <c r="A1565" t="s">
        <v>11</v>
      </c>
      <c r="B1565">
        <v>118635</v>
      </c>
      <c r="C1565">
        <v>10</v>
      </c>
      <c r="D1565" t="s">
        <v>12</v>
      </c>
      <c r="E1565">
        <v>0.92</v>
      </c>
      <c r="F1565">
        <v>0.89</v>
      </c>
      <c r="G1565">
        <v>0.16</v>
      </c>
      <c r="H1565" t="s">
        <v>13</v>
      </c>
    </row>
    <row r="1566" spans="1:8" x14ac:dyDescent="0.25">
      <c r="A1566" t="s">
        <v>8</v>
      </c>
      <c r="B1566">
        <v>58645</v>
      </c>
      <c r="C1566">
        <v>18</v>
      </c>
      <c r="D1566" t="s">
        <v>28</v>
      </c>
      <c r="E1566">
        <v>0.76</v>
      </c>
      <c r="F1566">
        <v>0.51</v>
      </c>
      <c r="G1566">
        <v>0.82</v>
      </c>
      <c r="H1566" t="s">
        <v>10</v>
      </c>
    </row>
    <row r="1567" spans="1:8" x14ac:dyDescent="0.25">
      <c r="A1567" t="s">
        <v>27</v>
      </c>
      <c r="B1567">
        <v>74511</v>
      </c>
      <c r="C1567">
        <v>14</v>
      </c>
      <c r="D1567" t="s">
        <v>12</v>
      </c>
      <c r="E1567">
        <v>0.37</v>
      </c>
      <c r="F1567">
        <v>1.07</v>
      </c>
      <c r="G1567">
        <v>0.62</v>
      </c>
      <c r="H1567" t="s">
        <v>17</v>
      </c>
    </row>
    <row r="1568" spans="1:8" x14ac:dyDescent="0.25">
      <c r="A1568" t="s">
        <v>22</v>
      </c>
      <c r="B1568">
        <v>101013</v>
      </c>
      <c r="C1568">
        <v>19</v>
      </c>
      <c r="D1568" t="s">
        <v>28</v>
      </c>
      <c r="E1568">
        <v>0.8</v>
      </c>
      <c r="F1568">
        <v>1.47</v>
      </c>
      <c r="G1568">
        <v>0.32</v>
      </c>
      <c r="H1568" t="s">
        <v>17</v>
      </c>
    </row>
    <row r="1569" spans="1:8" x14ac:dyDescent="0.25">
      <c r="A1569" t="s">
        <v>34</v>
      </c>
      <c r="B1569">
        <v>131277</v>
      </c>
      <c r="C1569">
        <v>18</v>
      </c>
      <c r="D1569" t="s">
        <v>9</v>
      </c>
      <c r="E1569">
        <v>0.71</v>
      </c>
      <c r="F1569">
        <v>0.93</v>
      </c>
      <c r="G1569">
        <v>0.59</v>
      </c>
      <c r="H1569" t="s">
        <v>17</v>
      </c>
    </row>
    <row r="1570" spans="1:8" x14ac:dyDescent="0.25">
      <c r="A1570" t="s">
        <v>18</v>
      </c>
      <c r="B1570">
        <v>47881</v>
      </c>
      <c r="C1570">
        <v>28</v>
      </c>
      <c r="D1570" t="s">
        <v>28</v>
      </c>
      <c r="E1570">
        <v>0.28000000000000003</v>
      </c>
      <c r="F1570">
        <v>1.42</v>
      </c>
      <c r="G1570">
        <v>0.47</v>
      </c>
      <c r="H1570" t="s">
        <v>17</v>
      </c>
    </row>
    <row r="1571" spans="1:8" x14ac:dyDescent="0.25">
      <c r="A1571" t="s">
        <v>16</v>
      </c>
      <c r="B1571">
        <v>109741</v>
      </c>
      <c r="C1571">
        <v>18</v>
      </c>
      <c r="D1571" t="s">
        <v>28</v>
      </c>
      <c r="E1571">
        <v>0.3</v>
      </c>
      <c r="F1571">
        <v>1.36</v>
      </c>
      <c r="G1571">
        <v>0.38</v>
      </c>
      <c r="H1571" t="s">
        <v>17</v>
      </c>
    </row>
    <row r="1572" spans="1:8" x14ac:dyDescent="0.25">
      <c r="A1572" t="s">
        <v>23</v>
      </c>
      <c r="B1572">
        <v>126509</v>
      </c>
      <c r="C1572">
        <v>11</v>
      </c>
      <c r="D1572" t="s">
        <v>12</v>
      </c>
      <c r="E1572">
        <v>0.24</v>
      </c>
      <c r="F1572">
        <v>1.1200000000000001</v>
      </c>
      <c r="G1572">
        <v>0.81</v>
      </c>
      <c r="H1572" t="s">
        <v>10</v>
      </c>
    </row>
    <row r="1573" spans="1:8" x14ac:dyDescent="0.25">
      <c r="A1573" t="s">
        <v>18</v>
      </c>
      <c r="B1573">
        <v>85308</v>
      </c>
      <c r="C1573">
        <v>18</v>
      </c>
      <c r="D1573" t="s">
        <v>28</v>
      </c>
      <c r="E1573">
        <v>0.72</v>
      </c>
      <c r="F1573">
        <v>0.81</v>
      </c>
      <c r="G1573">
        <v>0.31</v>
      </c>
      <c r="H1573" t="s">
        <v>17</v>
      </c>
    </row>
    <row r="1574" spans="1:8" x14ac:dyDescent="0.25">
      <c r="A1574" t="s">
        <v>31</v>
      </c>
      <c r="B1574">
        <v>41467</v>
      </c>
      <c r="C1574">
        <v>7</v>
      </c>
      <c r="D1574" t="s">
        <v>9</v>
      </c>
      <c r="E1574">
        <v>0.44</v>
      </c>
      <c r="F1574">
        <v>1.3</v>
      </c>
      <c r="G1574">
        <v>0.93</v>
      </c>
      <c r="H1574" t="s">
        <v>10</v>
      </c>
    </row>
    <row r="1575" spans="1:8" x14ac:dyDescent="0.25">
      <c r="A1575" t="s">
        <v>16</v>
      </c>
      <c r="B1575">
        <v>82762</v>
      </c>
      <c r="C1575">
        <v>8</v>
      </c>
      <c r="D1575" t="s">
        <v>15</v>
      </c>
      <c r="E1575">
        <v>0.23</v>
      </c>
      <c r="F1575">
        <v>1.46</v>
      </c>
      <c r="G1575">
        <v>0.5</v>
      </c>
      <c r="H1575" t="s">
        <v>17</v>
      </c>
    </row>
    <row r="1576" spans="1:8" x14ac:dyDescent="0.25">
      <c r="A1576" t="s">
        <v>18</v>
      </c>
      <c r="B1576">
        <v>125711</v>
      </c>
      <c r="C1576">
        <v>14</v>
      </c>
      <c r="D1576" t="s">
        <v>12</v>
      </c>
      <c r="E1576">
        <v>0.51</v>
      </c>
      <c r="F1576">
        <v>0.8</v>
      </c>
      <c r="G1576">
        <v>0.36</v>
      </c>
      <c r="H1576" t="s">
        <v>17</v>
      </c>
    </row>
    <row r="1577" spans="1:8" x14ac:dyDescent="0.25">
      <c r="A1577" t="s">
        <v>32</v>
      </c>
      <c r="B1577">
        <v>131011</v>
      </c>
      <c r="C1577">
        <v>4</v>
      </c>
      <c r="D1577" t="s">
        <v>15</v>
      </c>
      <c r="E1577">
        <v>0.27</v>
      </c>
      <c r="F1577">
        <v>0.79</v>
      </c>
      <c r="G1577">
        <v>0.32</v>
      </c>
      <c r="H1577" t="s">
        <v>17</v>
      </c>
    </row>
    <row r="1578" spans="1:8" x14ac:dyDescent="0.25">
      <c r="A1578" t="s">
        <v>22</v>
      </c>
      <c r="B1578">
        <v>36588</v>
      </c>
      <c r="C1578">
        <v>14</v>
      </c>
      <c r="D1578" t="s">
        <v>28</v>
      </c>
      <c r="E1578">
        <v>0.54</v>
      </c>
      <c r="F1578">
        <v>0.81</v>
      </c>
      <c r="G1578">
        <v>0.5</v>
      </c>
      <c r="H1578" t="s">
        <v>17</v>
      </c>
    </row>
    <row r="1579" spans="1:8" x14ac:dyDescent="0.25">
      <c r="A1579" t="s">
        <v>20</v>
      </c>
      <c r="B1579">
        <v>133768</v>
      </c>
      <c r="C1579">
        <v>0</v>
      </c>
      <c r="D1579" t="s">
        <v>15</v>
      </c>
      <c r="E1579">
        <v>0.74</v>
      </c>
      <c r="F1579">
        <v>1.38</v>
      </c>
      <c r="G1579">
        <v>0.45</v>
      </c>
      <c r="H1579" t="s">
        <v>17</v>
      </c>
    </row>
    <row r="1580" spans="1:8" x14ac:dyDescent="0.25">
      <c r="A1580" t="s">
        <v>25</v>
      </c>
      <c r="B1580">
        <v>149170</v>
      </c>
      <c r="C1580">
        <v>22</v>
      </c>
      <c r="D1580" t="s">
        <v>15</v>
      </c>
      <c r="E1580">
        <v>0.39</v>
      </c>
      <c r="F1580">
        <v>1.1299999999999999</v>
      </c>
      <c r="G1580">
        <v>0.42</v>
      </c>
      <c r="H1580" t="s">
        <v>17</v>
      </c>
    </row>
    <row r="1581" spans="1:8" x14ac:dyDescent="0.25">
      <c r="A1581" t="s">
        <v>14</v>
      </c>
      <c r="B1581">
        <v>91860</v>
      </c>
      <c r="C1581">
        <v>15</v>
      </c>
      <c r="D1581" t="s">
        <v>15</v>
      </c>
      <c r="E1581">
        <v>0.31</v>
      </c>
      <c r="F1581">
        <v>0.64</v>
      </c>
      <c r="G1581">
        <v>0.89</v>
      </c>
      <c r="H1581" t="s">
        <v>10</v>
      </c>
    </row>
    <row r="1582" spans="1:8" x14ac:dyDescent="0.25">
      <c r="A1582" t="s">
        <v>21</v>
      </c>
      <c r="B1582">
        <v>106206</v>
      </c>
      <c r="C1582">
        <v>21</v>
      </c>
      <c r="D1582" t="s">
        <v>9</v>
      </c>
      <c r="E1582">
        <v>0.77</v>
      </c>
      <c r="F1582">
        <v>1.36</v>
      </c>
      <c r="G1582">
        <v>0.14000000000000001</v>
      </c>
      <c r="H1582" t="s">
        <v>13</v>
      </c>
    </row>
    <row r="1583" spans="1:8" x14ac:dyDescent="0.25">
      <c r="A1583" t="s">
        <v>23</v>
      </c>
      <c r="B1583">
        <v>145155</v>
      </c>
      <c r="C1583">
        <v>0</v>
      </c>
      <c r="D1583" t="s">
        <v>9</v>
      </c>
      <c r="E1583">
        <v>0.18</v>
      </c>
      <c r="F1583">
        <v>1.32</v>
      </c>
      <c r="G1583">
        <v>0.77</v>
      </c>
      <c r="H1583" t="s">
        <v>10</v>
      </c>
    </row>
    <row r="1584" spans="1:8" x14ac:dyDescent="0.25">
      <c r="A1584" t="s">
        <v>11</v>
      </c>
      <c r="B1584">
        <v>101812</v>
      </c>
      <c r="C1584">
        <v>24</v>
      </c>
      <c r="D1584" t="s">
        <v>9</v>
      </c>
      <c r="E1584">
        <v>0.57999999999999996</v>
      </c>
      <c r="F1584">
        <v>0.59</v>
      </c>
      <c r="G1584">
        <v>0.18</v>
      </c>
      <c r="H1584" t="s">
        <v>13</v>
      </c>
    </row>
    <row r="1585" spans="1:8" x14ac:dyDescent="0.25">
      <c r="A1585" t="s">
        <v>24</v>
      </c>
      <c r="B1585">
        <v>89199</v>
      </c>
      <c r="C1585">
        <v>15</v>
      </c>
      <c r="D1585" t="s">
        <v>28</v>
      </c>
      <c r="E1585">
        <v>0.88</v>
      </c>
      <c r="F1585">
        <v>1.1599999999999999</v>
      </c>
      <c r="G1585">
        <v>0.43</v>
      </c>
      <c r="H1585" t="s">
        <v>17</v>
      </c>
    </row>
    <row r="1586" spans="1:8" x14ac:dyDescent="0.25">
      <c r="A1586" t="s">
        <v>21</v>
      </c>
      <c r="B1586">
        <v>141176</v>
      </c>
      <c r="C1586">
        <v>2</v>
      </c>
      <c r="D1586" t="s">
        <v>28</v>
      </c>
      <c r="E1586">
        <v>0.45</v>
      </c>
      <c r="F1586">
        <v>0.81</v>
      </c>
      <c r="G1586">
        <v>0.26</v>
      </c>
      <c r="H1586" t="s">
        <v>13</v>
      </c>
    </row>
    <row r="1587" spans="1:8" x14ac:dyDescent="0.25">
      <c r="A1587" t="s">
        <v>16</v>
      </c>
      <c r="B1587">
        <v>53983</v>
      </c>
      <c r="C1587">
        <v>18</v>
      </c>
      <c r="D1587" t="s">
        <v>15</v>
      </c>
      <c r="E1587">
        <v>0.33</v>
      </c>
      <c r="F1587">
        <v>1.2</v>
      </c>
      <c r="G1587">
        <v>0.56000000000000005</v>
      </c>
      <c r="H1587" t="s">
        <v>17</v>
      </c>
    </row>
    <row r="1588" spans="1:8" x14ac:dyDescent="0.25">
      <c r="A1588" t="s">
        <v>23</v>
      </c>
      <c r="B1588">
        <v>35807</v>
      </c>
      <c r="C1588">
        <v>16</v>
      </c>
      <c r="D1588" t="s">
        <v>9</v>
      </c>
      <c r="E1588">
        <v>0.65</v>
      </c>
      <c r="F1588">
        <v>1.26</v>
      </c>
      <c r="G1588">
        <v>0.76</v>
      </c>
      <c r="H1588" t="s">
        <v>10</v>
      </c>
    </row>
    <row r="1589" spans="1:8" x14ac:dyDescent="0.25">
      <c r="A1589" t="s">
        <v>20</v>
      </c>
      <c r="B1589">
        <v>82546</v>
      </c>
      <c r="C1589">
        <v>25</v>
      </c>
      <c r="D1589" t="s">
        <v>15</v>
      </c>
      <c r="E1589">
        <v>0.63</v>
      </c>
      <c r="F1589">
        <v>0.57999999999999996</v>
      </c>
      <c r="G1589">
        <v>0.35</v>
      </c>
      <c r="H1589" t="s">
        <v>17</v>
      </c>
    </row>
    <row r="1590" spans="1:8" x14ac:dyDescent="0.25">
      <c r="A1590" t="s">
        <v>27</v>
      </c>
      <c r="B1590">
        <v>40987</v>
      </c>
      <c r="C1590">
        <v>16</v>
      </c>
      <c r="D1590" t="s">
        <v>12</v>
      </c>
      <c r="E1590">
        <v>0.67</v>
      </c>
      <c r="F1590">
        <v>0.54</v>
      </c>
      <c r="G1590">
        <v>0.46</v>
      </c>
      <c r="H1590" t="s">
        <v>17</v>
      </c>
    </row>
    <row r="1591" spans="1:8" x14ac:dyDescent="0.25">
      <c r="A1591" t="s">
        <v>11</v>
      </c>
      <c r="B1591">
        <v>116856</v>
      </c>
      <c r="C1591">
        <v>12</v>
      </c>
      <c r="D1591" t="s">
        <v>12</v>
      </c>
      <c r="E1591">
        <v>0.09</v>
      </c>
      <c r="F1591">
        <v>1.41</v>
      </c>
      <c r="G1591">
        <v>0.12</v>
      </c>
      <c r="H1591" t="s">
        <v>13</v>
      </c>
    </row>
    <row r="1592" spans="1:8" x14ac:dyDescent="0.25">
      <c r="A1592" t="s">
        <v>16</v>
      </c>
      <c r="B1592">
        <v>71397</v>
      </c>
      <c r="C1592">
        <v>15</v>
      </c>
      <c r="D1592" t="s">
        <v>15</v>
      </c>
      <c r="E1592">
        <v>7.0000000000000007E-2</v>
      </c>
      <c r="F1592">
        <v>0.98</v>
      </c>
      <c r="G1592">
        <v>0.49</v>
      </c>
      <c r="H1592" t="s">
        <v>17</v>
      </c>
    </row>
    <row r="1593" spans="1:8" x14ac:dyDescent="0.25">
      <c r="A1593" t="s">
        <v>8</v>
      </c>
      <c r="B1593">
        <v>45456</v>
      </c>
      <c r="C1593">
        <v>20</v>
      </c>
      <c r="D1593" t="s">
        <v>15</v>
      </c>
      <c r="E1593">
        <v>0.04</v>
      </c>
      <c r="F1593">
        <v>1.47</v>
      </c>
      <c r="G1593">
        <v>0.7</v>
      </c>
      <c r="H1593" t="s">
        <v>17</v>
      </c>
    </row>
    <row r="1594" spans="1:8" x14ac:dyDescent="0.25">
      <c r="A1594" t="s">
        <v>27</v>
      </c>
      <c r="B1594">
        <v>66911</v>
      </c>
      <c r="C1594">
        <v>11</v>
      </c>
      <c r="D1594" t="s">
        <v>15</v>
      </c>
      <c r="E1594">
        <v>0.86</v>
      </c>
      <c r="F1594">
        <v>0.69</v>
      </c>
      <c r="G1594">
        <v>0.4</v>
      </c>
      <c r="H1594" t="s">
        <v>17</v>
      </c>
    </row>
    <row r="1595" spans="1:8" x14ac:dyDescent="0.25">
      <c r="A1595" t="s">
        <v>29</v>
      </c>
      <c r="B1595">
        <v>34852</v>
      </c>
      <c r="C1595">
        <v>19</v>
      </c>
      <c r="D1595" t="s">
        <v>15</v>
      </c>
      <c r="E1595">
        <v>0.08</v>
      </c>
      <c r="F1595">
        <v>1.03</v>
      </c>
      <c r="G1595">
        <v>0.9</v>
      </c>
      <c r="H1595" t="s">
        <v>10</v>
      </c>
    </row>
    <row r="1596" spans="1:8" x14ac:dyDescent="0.25">
      <c r="A1596" t="s">
        <v>26</v>
      </c>
      <c r="B1596">
        <v>42705</v>
      </c>
      <c r="C1596">
        <v>27</v>
      </c>
      <c r="D1596" t="s">
        <v>28</v>
      </c>
      <c r="E1596">
        <v>0.64</v>
      </c>
      <c r="F1596">
        <v>0.59</v>
      </c>
      <c r="G1596">
        <v>0.31</v>
      </c>
      <c r="H1596" t="s">
        <v>17</v>
      </c>
    </row>
    <row r="1597" spans="1:8" x14ac:dyDescent="0.25">
      <c r="A1597" t="s">
        <v>33</v>
      </c>
      <c r="B1597">
        <v>65495</v>
      </c>
      <c r="C1597">
        <v>23</v>
      </c>
      <c r="D1597" t="s">
        <v>12</v>
      </c>
      <c r="E1597">
        <v>0.73</v>
      </c>
      <c r="F1597">
        <v>1.5</v>
      </c>
      <c r="G1597">
        <v>0.13</v>
      </c>
      <c r="H1597" t="s">
        <v>13</v>
      </c>
    </row>
    <row r="1598" spans="1:8" x14ac:dyDescent="0.25">
      <c r="A1598" t="s">
        <v>31</v>
      </c>
      <c r="B1598">
        <v>99282</v>
      </c>
      <c r="C1598">
        <v>2</v>
      </c>
      <c r="D1598" t="s">
        <v>9</v>
      </c>
      <c r="E1598">
        <v>0.28000000000000003</v>
      </c>
      <c r="F1598">
        <v>0.92</v>
      </c>
      <c r="G1598">
        <v>0.8</v>
      </c>
      <c r="H1598" t="s">
        <v>10</v>
      </c>
    </row>
    <row r="1599" spans="1:8" x14ac:dyDescent="0.25">
      <c r="A1599" t="s">
        <v>16</v>
      </c>
      <c r="B1599">
        <v>107275</v>
      </c>
      <c r="C1599">
        <v>19</v>
      </c>
      <c r="D1599" t="s">
        <v>9</v>
      </c>
      <c r="E1599">
        <v>0.96</v>
      </c>
      <c r="F1599">
        <v>0.52</v>
      </c>
      <c r="G1599">
        <v>0.61</v>
      </c>
      <c r="H1599" t="s">
        <v>17</v>
      </c>
    </row>
    <row r="1600" spans="1:8" x14ac:dyDescent="0.25">
      <c r="A1600" t="s">
        <v>18</v>
      </c>
      <c r="B1600">
        <v>45573</v>
      </c>
      <c r="C1600">
        <v>2</v>
      </c>
      <c r="D1600" t="s">
        <v>15</v>
      </c>
      <c r="E1600">
        <v>0.68</v>
      </c>
      <c r="F1600">
        <v>0.69</v>
      </c>
      <c r="G1600">
        <v>0.56999999999999995</v>
      </c>
      <c r="H1600" t="s">
        <v>17</v>
      </c>
    </row>
    <row r="1601" spans="1:8" x14ac:dyDescent="0.25">
      <c r="A1601" t="s">
        <v>27</v>
      </c>
      <c r="B1601">
        <v>128853</v>
      </c>
      <c r="C1601">
        <v>20</v>
      </c>
      <c r="D1601" t="s">
        <v>28</v>
      </c>
      <c r="E1601">
        <v>0.87</v>
      </c>
      <c r="F1601">
        <v>1.25</v>
      </c>
      <c r="G1601">
        <v>0.47</v>
      </c>
      <c r="H1601" t="s">
        <v>17</v>
      </c>
    </row>
    <row r="1602" spans="1:8" x14ac:dyDescent="0.25">
      <c r="A1602" t="s">
        <v>24</v>
      </c>
      <c r="B1602">
        <v>65314</v>
      </c>
      <c r="C1602">
        <v>24</v>
      </c>
      <c r="D1602" t="s">
        <v>9</v>
      </c>
      <c r="E1602">
        <v>0.67</v>
      </c>
      <c r="F1602">
        <v>1.28</v>
      </c>
      <c r="G1602">
        <v>0.37</v>
      </c>
      <c r="H1602" t="s">
        <v>17</v>
      </c>
    </row>
    <row r="1603" spans="1:8" x14ac:dyDescent="0.25">
      <c r="A1603" t="s">
        <v>30</v>
      </c>
      <c r="B1603">
        <v>88826</v>
      </c>
      <c r="C1603">
        <v>6</v>
      </c>
      <c r="D1603" t="s">
        <v>12</v>
      </c>
      <c r="E1603">
        <v>0.46</v>
      </c>
      <c r="F1603">
        <v>0.61</v>
      </c>
      <c r="G1603">
        <v>0.12</v>
      </c>
      <c r="H1603" t="s">
        <v>13</v>
      </c>
    </row>
    <row r="1604" spans="1:8" x14ac:dyDescent="0.25">
      <c r="A1604" t="s">
        <v>31</v>
      </c>
      <c r="B1604">
        <v>53449</v>
      </c>
      <c r="C1604">
        <v>17</v>
      </c>
      <c r="D1604" t="s">
        <v>9</v>
      </c>
      <c r="E1604">
        <v>0.61</v>
      </c>
      <c r="F1604">
        <v>1.24</v>
      </c>
      <c r="G1604">
        <v>0.78</v>
      </c>
      <c r="H1604" t="s">
        <v>10</v>
      </c>
    </row>
    <row r="1605" spans="1:8" x14ac:dyDescent="0.25">
      <c r="A1605" t="s">
        <v>34</v>
      </c>
      <c r="B1605">
        <v>87564</v>
      </c>
      <c r="C1605">
        <v>27</v>
      </c>
      <c r="D1605" t="s">
        <v>12</v>
      </c>
      <c r="E1605">
        <v>0.66</v>
      </c>
      <c r="F1605">
        <v>0.89</v>
      </c>
      <c r="G1605">
        <v>0.44</v>
      </c>
      <c r="H1605" t="s">
        <v>17</v>
      </c>
    </row>
    <row r="1606" spans="1:8" x14ac:dyDescent="0.25">
      <c r="A1606" t="s">
        <v>11</v>
      </c>
      <c r="B1606">
        <v>32405</v>
      </c>
      <c r="C1606">
        <v>3</v>
      </c>
      <c r="D1606" t="s">
        <v>9</v>
      </c>
      <c r="E1606">
        <v>0.89</v>
      </c>
      <c r="F1606">
        <v>1.21</v>
      </c>
      <c r="G1606">
        <v>0.19</v>
      </c>
      <c r="H1606" t="s">
        <v>13</v>
      </c>
    </row>
    <row r="1607" spans="1:8" x14ac:dyDescent="0.25">
      <c r="A1607" t="s">
        <v>34</v>
      </c>
      <c r="B1607">
        <v>114028</v>
      </c>
      <c r="C1607">
        <v>2</v>
      </c>
      <c r="D1607" t="s">
        <v>15</v>
      </c>
      <c r="E1607">
        <v>0.34</v>
      </c>
      <c r="F1607">
        <v>1.2</v>
      </c>
      <c r="G1607">
        <v>0.49</v>
      </c>
      <c r="H1607" t="s">
        <v>17</v>
      </c>
    </row>
    <row r="1608" spans="1:8" x14ac:dyDescent="0.25">
      <c r="A1608" t="s">
        <v>14</v>
      </c>
      <c r="B1608">
        <v>122061</v>
      </c>
      <c r="C1608">
        <v>20</v>
      </c>
      <c r="D1608" t="s">
        <v>12</v>
      </c>
      <c r="E1608">
        <v>0.5</v>
      </c>
      <c r="F1608">
        <v>1.5</v>
      </c>
      <c r="G1608">
        <v>0.82</v>
      </c>
      <c r="H1608" t="s">
        <v>10</v>
      </c>
    </row>
    <row r="1609" spans="1:8" x14ac:dyDescent="0.25">
      <c r="A1609" t="s">
        <v>24</v>
      </c>
      <c r="B1609">
        <v>121396</v>
      </c>
      <c r="C1609">
        <v>16</v>
      </c>
      <c r="D1609" t="s">
        <v>12</v>
      </c>
      <c r="E1609">
        <v>0.31</v>
      </c>
      <c r="F1609">
        <v>0.88</v>
      </c>
      <c r="G1609">
        <v>0.5</v>
      </c>
      <c r="H1609" t="s">
        <v>17</v>
      </c>
    </row>
    <row r="1610" spans="1:8" x14ac:dyDescent="0.25">
      <c r="A1610" t="s">
        <v>30</v>
      </c>
      <c r="B1610">
        <v>87454</v>
      </c>
      <c r="C1610">
        <v>15</v>
      </c>
      <c r="D1610" t="s">
        <v>12</v>
      </c>
      <c r="E1610">
        <v>0.27</v>
      </c>
      <c r="F1610">
        <v>0.86</v>
      </c>
      <c r="G1610">
        <v>0.28999999999999998</v>
      </c>
      <c r="H1610" t="s">
        <v>13</v>
      </c>
    </row>
    <row r="1611" spans="1:8" x14ac:dyDescent="0.25">
      <c r="A1611" t="s">
        <v>21</v>
      </c>
      <c r="B1611">
        <v>127216</v>
      </c>
      <c r="C1611">
        <v>7</v>
      </c>
      <c r="D1611" t="s">
        <v>9</v>
      </c>
      <c r="E1611">
        <v>0.94</v>
      </c>
      <c r="F1611">
        <v>0.86</v>
      </c>
      <c r="G1611">
        <v>0.15</v>
      </c>
      <c r="H1611" t="s">
        <v>13</v>
      </c>
    </row>
    <row r="1612" spans="1:8" x14ac:dyDescent="0.25">
      <c r="A1612" t="s">
        <v>26</v>
      </c>
      <c r="B1612">
        <v>89871</v>
      </c>
      <c r="C1612">
        <v>29</v>
      </c>
      <c r="D1612" t="s">
        <v>9</v>
      </c>
      <c r="E1612">
        <v>0.22</v>
      </c>
      <c r="F1612">
        <v>1.1599999999999999</v>
      </c>
      <c r="G1612">
        <v>0.47</v>
      </c>
      <c r="H1612" t="s">
        <v>17</v>
      </c>
    </row>
    <row r="1613" spans="1:8" x14ac:dyDescent="0.25">
      <c r="A1613" t="s">
        <v>20</v>
      </c>
      <c r="B1613">
        <v>140564</v>
      </c>
      <c r="C1613">
        <v>19</v>
      </c>
      <c r="D1613" t="s">
        <v>28</v>
      </c>
      <c r="E1613">
        <v>0.51</v>
      </c>
      <c r="F1613">
        <v>1.24</v>
      </c>
      <c r="G1613">
        <v>0.56999999999999995</v>
      </c>
      <c r="H1613" t="s">
        <v>17</v>
      </c>
    </row>
    <row r="1614" spans="1:8" x14ac:dyDescent="0.25">
      <c r="A1614" t="s">
        <v>16</v>
      </c>
      <c r="B1614">
        <v>76887</v>
      </c>
      <c r="C1614">
        <v>18</v>
      </c>
      <c r="D1614" t="s">
        <v>12</v>
      </c>
      <c r="E1614">
        <v>0.77</v>
      </c>
      <c r="F1614">
        <v>0.77</v>
      </c>
      <c r="G1614">
        <v>0.56999999999999995</v>
      </c>
      <c r="H1614" t="s">
        <v>17</v>
      </c>
    </row>
    <row r="1615" spans="1:8" x14ac:dyDescent="0.25">
      <c r="A1615" t="s">
        <v>19</v>
      </c>
      <c r="B1615">
        <v>94817</v>
      </c>
      <c r="C1615">
        <v>12</v>
      </c>
      <c r="D1615" t="s">
        <v>15</v>
      </c>
      <c r="E1615">
        <v>0.54</v>
      </c>
      <c r="F1615">
        <v>1.45</v>
      </c>
      <c r="G1615">
        <v>0.24</v>
      </c>
      <c r="H1615" t="s">
        <v>13</v>
      </c>
    </row>
    <row r="1616" spans="1:8" x14ac:dyDescent="0.25">
      <c r="A1616" t="s">
        <v>25</v>
      </c>
      <c r="B1616">
        <v>90388</v>
      </c>
      <c r="C1616">
        <v>5</v>
      </c>
      <c r="D1616" t="s">
        <v>9</v>
      </c>
      <c r="E1616">
        <v>0.57999999999999996</v>
      </c>
      <c r="F1616">
        <v>1.0900000000000001</v>
      </c>
      <c r="G1616">
        <v>0.53</v>
      </c>
      <c r="H1616" t="s">
        <v>17</v>
      </c>
    </row>
    <row r="1617" spans="1:8" x14ac:dyDescent="0.25">
      <c r="A1617" t="s">
        <v>21</v>
      </c>
      <c r="B1617">
        <v>133323</v>
      </c>
      <c r="C1617">
        <v>3</v>
      </c>
      <c r="D1617" t="s">
        <v>9</v>
      </c>
      <c r="E1617">
        <v>0.09</v>
      </c>
      <c r="F1617">
        <v>0.89</v>
      </c>
      <c r="G1617">
        <v>0.2</v>
      </c>
      <c r="H1617" t="s">
        <v>13</v>
      </c>
    </row>
    <row r="1618" spans="1:8" x14ac:dyDescent="0.25">
      <c r="A1618" t="s">
        <v>8</v>
      </c>
      <c r="B1618">
        <v>119526</v>
      </c>
      <c r="C1618">
        <v>10</v>
      </c>
      <c r="D1618" t="s">
        <v>12</v>
      </c>
      <c r="E1618">
        <v>0.46</v>
      </c>
      <c r="F1618">
        <v>0.72</v>
      </c>
      <c r="G1618">
        <v>0.88</v>
      </c>
      <c r="H1618" t="s">
        <v>10</v>
      </c>
    </row>
    <row r="1619" spans="1:8" x14ac:dyDescent="0.25">
      <c r="A1619" t="s">
        <v>26</v>
      </c>
      <c r="B1619">
        <v>62676</v>
      </c>
      <c r="C1619">
        <v>4</v>
      </c>
      <c r="D1619" t="s">
        <v>12</v>
      </c>
      <c r="E1619">
        <v>0.16</v>
      </c>
      <c r="F1619">
        <v>0.75</v>
      </c>
      <c r="G1619">
        <v>0.66</v>
      </c>
      <c r="H1619" t="s">
        <v>17</v>
      </c>
    </row>
    <row r="1620" spans="1:8" x14ac:dyDescent="0.25">
      <c r="A1620" t="s">
        <v>26</v>
      </c>
      <c r="B1620">
        <v>44590</v>
      </c>
      <c r="C1620">
        <v>22</v>
      </c>
      <c r="D1620" t="s">
        <v>15</v>
      </c>
      <c r="E1620">
        <v>0.08</v>
      </c>
      <c r="F1620">
        <v>1.35</v>
      </c>
      <c r="G1620">
        <v>0.47</v>
      </c>
      <c r="H1620" t="s">
        <v>17</v>
      </c>
    </row>
    <row r="1621" spans="1:8" x14ac:dyDescent="0.25">
      <c r="A1621" t="s">
        <v>16</v>
      </c>
      <c r="B1621">
        <v>68463</v>
      </c>
      <c r="C1621">
        <v>5</v>
      </c>
      <c r="D1621" t="s">
        <v>28</v>
      </c>
      <c r="E1621">
        <v>0.78</v>
      </c>
      <c r="F1621">
        <v>0.81</v>
      </c>
      <c r="G1621">
        <v>0.57999999999999996</v>
      </c>
      <c r="H1621" t="s">
        <v>17</v>
      </c>
    </row>
    <row r="1622" spans="1:8" x14ac:dyDescent="0.25">
      <c r="A1622" t="s">
        <v>16</v>
      </c>
      <c r="B1622">
        <v>52053</v>
      </c>
      <c r="C1622">
        <v>16</v>
      </c>
      <c r="D1622" t="s">
        <v>28</v>
      </c>
      <c r="E1622">
        <v>0.74</v>
      </c>
      <c r="F1622">
        <v>0.7</v>
      </c>
      <c r="G1622">
        <v>0.38</v>
      </c>
      <c r="H1622" t="s">
        <v>17</v>
      </c>
    </row>
    <row r="1623" spans="1:8" x14ac:dyDescent="0.25">
      <c r="A1623" t="s">
        <v>16</v>
      </c>
      <c r="B1623">
        <v>104767</v>
      </c>
      <c r="C1623">
        <v>24</v>
      </c>
      <c r="D1623" t="s">
        <v>28</v>
      </c>
      <c r="E1623">
        <v>0.86</v>
      </c>
      <c r="F1623">
        <v>1.07</v>
      </c>
      <c r="G1623">
        <v>0.55000000000000004</v>
      </c>
      <c r="H1623" t="s">
        <v>17</v>
      </c>
    </row>
    <row r="1624" spans="1:8" x14ac:dyDescent="0.25">
      <c r="A1624" t="s">
        <v>16</v>
      </c>
      <c r="B1624">
        <v>65303</v>
      </c>
      <c r="C1624">
        <v>20</v>
      </c>
      <c r="D1624" t="s">
        <v>12</v>
      </c>
      <c r="E1624">
        <v>0.6</v>
      </c>
      <c r="F1624">
        <v>0.53</v>
      </c>
      <c r="G1624">
        <v>0.49</v>
      </c>
      <c r="H1624" t="s">
        <v>17</v>
      </c>
    </row>
    <row r="1625" spans="1:8" x14ac:dyDescent="0.25">
      <c r="A1625" t="s">
        <v>32</v>
      </c>
      <c r="B1625">
        <v>34312</v>
      </c>
      <c r="C1625">
        <v>3</v>
      </c>
      <c r="D1625" t="s">
        <v>28</v>
      </c>
      <c r="E1625">
        <v>0.63</v>
      </c>
      <c r="F1625">
        <v>0.79</v>
      </c>
      <c r="G1625">
        <v>0.34</v>
      </c>
      <c r="H1625" t="s">
        <v>17</v>
      </c>
    </row>
    <row r="1626" spans="1:8" x14ac:dyDescent="0.25">
      <c r="A1626" t="s">
        <v>33</v>
      </c>
      <c r="B1626">
        <v>69794</v>
      </c>
      <c r="C1626">
        <v>21</v>
      </c>
      <c r="D1626" t="s">
        <v>28</v>
      </c>
      <c r="E1626">
        <v>0.54</v>
      </c>
      <c r="F1626">
        <v>0.66</v>
      </c>
      <c r="G1626">
        <v>0.17</v>
      </c>
      <c r="H1626" t="s">
        <v>13</v>
      </c>
    </row>
    <row r="1627" spans="1:8" x14ac:dyDescent="0.25">
      <c r="A1627" t="s">
        <v>31</v>
      </c>
      <c r="B1627">
        <v>80102</v>
      </c>
      <c r="C1627">
        <v>23</v>
      </c>
      <c r="D1627" t="s">
        <v>9</v>
      </c>
      <c r="E1627">
        <v>0.09</v>
      </c>
      <c r="F1627">
        <v>0.78</v>
      </c>
      <c r="G1627">
        <v>0.77</v>
      </c>
      <c r="H1627" t="s">
        <v>10</v>
      </c>
    </row>
    <row r="1628" spans="1:8" x14ac:dyDescent="0.25">
      <c r="A1628" t="s">
        <v>14</v>
      </c>
      <c r="B1628">
        <v>106743</v>
      </c>
      <c r="C1628">
        <v>11</v>
      </c>
      <c r="D1628" t="s">
        <v>9</v>
      </c>
      <c r="E1628">
        <v>0.63</v>
      </c>
      <c r="F1628">
        <v>0.72</v>
      </c>
      <c r="G1628">
        <v>0.8</v>
      </c>
      <c r="H1628" t="s">
        <v>10</v>
      </c>
    </row>
    <row r="1629" spans="1:8" x14ac:dyDescent="0.25">
      <c r="A1629" t="s">
        <v>8</v>
      </c>
      <c r="B1629">
        <v>67333</v>
      </c>
      <c r="C1629">
        <v>10</v>
      </c>
      <c r="D1629" t="s">
        <v>15</v>
      </c>
      <c r="E1629">
        <v>0.12</v>
      </c>
      <c r="F1629">
        <v>0.99</v>
      </c>
      <c r="G1629">
        <v>0.73</v>
      </c>
      <c r="H1629" t="s">
        <v>10</v>
      </c>
    </row>
    <row r="1630" spans="1:8" x14ac:dyDescent="0.25">
      <c r="A1630" t="s">
        <v>19</v>
      </c>
      <c r="B1630">
        <v>80724</v>
      </c>
      <c r="C1630">
        <v>18</v>
      </c>
      <c r="D1630" t="s">
        <v>28</v>
      </c>
      <c r="E1630">
        <v>0.99</v>
      </c>
      <c r="F1630">
        <v>1.07</v>
      </c>
      <c r="G1630">
        <v>0.09</v>
      </c>
      <c r="H1630" t="s">
        <v>13</v>
      </c>
    </row>
    <row r="1631" spans="1:8" x14ac:dyDescent="0.25">
      <c r="A1631" t="s">
        <v>22</v>
      </c>
      <c r="B1631">
        <v>107684</v>
      </c>
      <c r="C1631">
        <v>5</v>
      </c>
      <c r="D1631" t="s">
        <v>15</v>
      </c>
      <c r="E1631">
        <v>0.6</v>
      </c>
      <c r="F1631">
        <v>1.48</v>
      </c>
      <c r="G1631">
        <v>0.68</v>
      </c>
      <c r="H1631" t="s">
        <v>17</v>
      </c>
    </row>
    <row r="1632" spans="1:8" x14ac:dyDescent="0.25">
      <c r="A1632" t="s">
        <v>34</v>
      </c>
      <c r="B1632">
        <v>57161</v>
      </c>
      <c r="C1632">
        <v>28</v>
      </c>
      <c r="D1632" t="s">
        <v>12</v>
      </c>
      <c r="E1632">
        <v>0.5</v>
      </c>
      <c r="F1632">
        <v>1.17</v>
      </c>
      <c r="G1632">
        <v>0.33</v>
      </c>
      <c r="H1632" t="s">
        <v>17</v>
      </c>
    </row>
    <row r="1633" spans="1:8" x14ac:dyDescent="0.25">
      <c r="A1633" t="s">
        <v>24</v>
      </c>
      <c r="B1633">
        <v>33687</v>
      </c>
      <c r="C1633">
        <v>15</v>
      </c>
      <c r="D1633" t="s">
        <v>15</v>
      </c>
      <c r="E1633">
        <v>0.64</v>
      </c>
      <c r="F1633">
        <v>0.87</v>
      </c>
      <c r="G1633">
        <v>0.64</v>
      </c>
      <c r="H1633" t="s">
        <v>17</v>
      </c>
    </row>
    <row r="1634" spans="1:8" x14ac:dyDescent="0.25">
      <c r="A1634" t="s">
        <v>23</v>
      </c>
      <c r="B1634">
        <v>58777</v>
      </c>
      <c r="C1634">
        <v>18</v>
      </c>
      <c r="D1634" t="s">
        <v>9</v>
      </c>
      <c r="E1634">
        <v>0.28000000000000003</v>
      </c>
      <c r="F1634">
        <v>0.56000000000000005</v>
      </c>
      <c r="G1634">
        <v>0.78</v>
      </c>
      <c r="H1634" t="s">
        <v>10</v>
      </c>
    </row>
    <row r="1635" spans="1:8" x14ac:dyDescent="0.25">
      <c r="A1635" t="s">
        <v>27</v>
      </c>
      <c r="B1635">
        <v>58915</v>
      </c>
      <c r="C1635">
        <v>24</v>
      </c>
      <c r="D1635" t="s">
        <v>9</v>
      </c>
      <c r="E1635">
        <v>0.84</v>
      </c>
      <c r="F1635">
        <v>0.56000000000000005</v>
      </c>
      <c r="G1635">
        <v>0.54</v>
      </c>
      <c r="H1635" t="s">
        <v>17</v>
      </c>
    </row>
    <row r="1636" spans="1:8" x14ac:dyDescent="0.25">
      <c r="A1636" t="s">
        <v>25</v>
      </c>
      <c r="B1636">
        <v>148222</v>
      </c>
      <c r="C1636">
        <v>2</v>
      </c>
      <c r="D1636" t="s">
        <v>12</v>
      </c>
      <c r="E1636">
        <v>0.8</v>
      </c>
      <c r="F1636">
        <v>0.75</v>
      </c>
      <c r="G1636">
        <v>0.32</v>
      </c>
      <c r="H1636" t="s">
        <v>17</v>
      </c>
    </row>
    <row r="1637" spans="1:8" x14ac:dyDescent="0.25">
      <c r="A1637" t="s">
        <v>24</v>
      </c>
      <c r="B1637">
        <v>100880</v>
      </c>
      <c r="C1637">
        <v>21</v>
      </c>
      <c r="D1637" t="s">
        <v>28</v>
      </c>
      <c r="E1637">
        <v>0.24</v>
      </c>
      <c r="F1637">
        <v>1.02</v>
      </c>
      <c r="G1637">
        <v>0.37</v>
      </c>
      <c r="H1637" t="s">
        <v>17</v>
      </c>
    </row>
    <row r="1638" spans="1:8" x14ac:dyDescent="0.25">
      <c r="A1638" t="s">
        <v>21</v>
      </c>
      <c r="B1638">
        <v>112056</v>
      </c>
      <c r="C1638">
        <v>19</v>
      </c>
      <c r="D1638" t="s">
        <v>15</v>
      </c>
      <c r="E1638">
        <v>0.79</v>
      </c>
      <c r="F1638">
        <v>0.66</v>
      </c>
      <c r="G1638">
        <v>0.11</v>
      </c>
      <c r="H1638" t="s">
        <v>13</v>
      </c>
    </row>
    <row r="1639" spans="1:8" x14ac:dyDescent="0.25">
      <c r="A1639" t="s">
        <v>16</v>
      </c>
      <c r="B1639">
        <v>133144</v>
      </c>
      <c r="C1639">
        <v>16</v>
      </c>
      <c r="D1639" t="s">
        <v>9</v>
      </c>
      <c r="E1639">
        <v>0.66</v>
      </c>
      <c r="F1639">
        <v>0.51</v>
      </c>
      <c r="G1639">
        <v>0.36</v>
      </c>
      <c r="H1639" t="s">
        <v>17</v>
      </c>
    </row>
    <row r="1640" spans="1:8" x14ac:dyDescent="0.25">
      <c r="A1640" t="s">
        <v>16</v>
      </c>
      <c r="B1640">
        <v>127364</v>
      </c>
      <c r="C1640">
        <v>0</v>
      </c>
      <c r="D1640" t="s">
        <v>9</v>
      </c>
      <c r="E1640">
        <v>0.7</v>
      </c>
      <c r="F1640">
        <v>1.34</v>
      </c>
      <c r="G1640">
        <v>0.52</v>
      </c>
      <c r="H1640" t="s">
        <v>17</v>
      </c>
    </row>
    <row r="1641" spans="1:8" x14ac:dyDescent="0.25">
      <c r="A1641" t="s">
        <v>8</v>
      </c>
      <c r="B1641">
        <v>147257</v>
      </c>
      <c r="C1641">
        <v>23</v>
      </c>
      <c r="D1641" t="s">
        <v>15</v>
      </c>
      <c r="E1641">
        <v>0.91</v>
      </c>
      <c r="F1641">
        <v>1.07</v>
      </c>
      <c r="G1641">
        <v>0.75</v>
      </c>
      <c r="H1641" t="s">
        <v>10</v>
      </c>
    </row>
    <row r="1642" spans="1:8" x14ac:dyDescent="0.25">
      <c r="A1642" t="s">
        <v>24</v>
      </c>
      <c r="B1642">
        <v>141706</v>
      </c>
      <c r="C1642">
        <v>18</v>
      </c>
      <c r="D1642" t="s">
        <v>28</v>
      </c>
      <c r="E1642">
        <v>0.67</v>
      </c>
      <c r="F1642">
        <v>0.89</v>
      </c>
      <c r="G1642">
        <v>0.46</v>
      </c>
      <c r="H1642" t="s">
        <v>17</v>
      </c>
    </row>
    <row r="1643" spans="1:8" x14ac:dyDescent="0.25">
      <c r="A1643" t="s">
        <v>14</v>
      </c>
      <c r="B1643">
        <v>60795</v>
      </c>
      <c r="C1643">
        <v>2</v>
      </c>
      <c r="D1643" t="s">
        <v>28</v>
      </c>
      <c r="E1643">
        <v>0.57999999999999996</v>
      </c>
      <c r="F1643">
        <v>0.59</v>
      </c>
      <c r="G1643">
        <v>0.79</v>
      </c>
      <c r="H1643" t="s">
        <v>10</v>
      </c>
    </row>
    <row r="1644" spans="1:8" x14ac:dyDescent="0.25">
      <c r="A1644" t="s">
        <v>8</v>
      </c>
      <c r="B1644">
        <v>137729</v>
      </c>
      <c r="C1644">
        <v>26</v>
      </c>
      <c r="D1644" t="s">
        <v>28</v>
      </c>
      <c r="E1644">
        <v>0.45</v>
      </c>
      <c r="F1644">
        <v>0.96</v>
      </c>
      <c r="G1644">
        <v>0.87</v>
      </c>
      <c r="H1644" t="s">
        <v>10</v>
      </c>
    </row>
    <row r="1645" spans="1:8" x14ac:dyDescent="0.25">
      <c r="A1645" t="s">
        <v>33</v>
      </c>
      <c r="B1645">
        <v>59340</v>
      </c>
      <c r="C1645">
        <v>5</v>
      </c>
      <c r="D1645" t="s">
        <v>15</v>
      </c>
      <c r="E1645">
        <v>0.86</v>
      </c>
      <c r="F1645">
        <v>1.36</v>
      </c>
      <c r="G1645">
        <v>0.28999999999999998</v>
      </c>
      <c r="H1645" t="s">
        <v>13</v>
      </c>
    </row>
    <row r="1646" spans="1:8" x14ac:dyDescent="0.25">
      <c r="A1646" t="s">
        <v>22</v>
      </c>
      <c r="B1646">
        <v>75487</v>
      </c>
      <c r="C1646">
        <v>2</v>
      </c>
      <c r="D1646" t="s">
        <v>15</v>
      </c>
      <c r="E1646">
        <v>0.09</v>
      </c>
      <c r="F1646">
        <v>0.82</v>
      </c>
      <c r="G1646">
        <v>0.55000000000000004</v>
      </c>
      <c r="H1646" t="s">
        <v>17</v>
      </c>
    </row>
    <row r="1647" spans="1:8" x14ac:dyDescent="0.25">
      <c r="A1647" t="s">
        <v>31</v>
      </c>
      <c r="B1647">
        <v>123258</v>
      </c>
      <c r="C1647">
        <v>17</v>
      </c>
      <c r="D1647" t="s">
        <v>9</v>
      </c>
      <c r="E1647">
        <v>0.26</v>
      </c>
      <c r="F1647">
        <v>0.89</v>
      </c>
      <c r="G1647">
        <v>0.83</v>
      </c>
      <c r="H1647" t="s">
        <v>10</v>
      </c>
    </row>
    <row r="1648" spans="1:8" x14ac:dyDescent="0.25">
      <c r="A1648" t="s">
        <v>21</v>
      </c>
      <c r="B1648">
        <v>37160</v>
      </c>
      <c r="C1648">
        <v>9</v>
      </c>
      <c r="D1648" t="s">
        <v>28</v>
      </c>
      <c r="E1648">
        <v>0.85</v>
      </c>
      <c r="F1648">
        <v>1.01</v>
      </c>
      <c r="G1648">
        <v>0.17</v>
      </c>
      <c r="H1648" t="s">
        <v>13</v>
      </c>
    </row>
    <row r="1649" spans="1:8" x14ac:dyDescent="0.25">
      <c r="A1649" t="s">
        <v>24</v>
      </c>
      <c r="B1649">
        <v>43869</v>
      </c>
      <c r="C1649">
        <v>7</v>
      </c>
      <c r="D1649" t="s">
        <v>15</v>
      </c>
      <c r="E1649">
        <v>0.63</v>
      </c>
      <c r="F1649">
        <v>1.27</v>
      </c>
      <c r="G1649">
        <v>0.41</v>
      </c>
      <c r="H1649" t="s">
        <v>17</v>
      </c>
    </row>
    <row r="1650" spans="1:8" x14ac:dyDescent="0.25">
      <c r="A1650" t="s">
        <v>14</v>
      </c>
      <c r="B1650">
        <v>142266</v>
      </c>
      <c r="C1650">
        <v>20</v>
      </c>
      <c r="D1650" t="s">
        <v>9</v>
      </c>
      <c r="E1650">
        <v>0.18</v>
      </c>
      <c r="F1650">
        <v>0.57999999999999996</v>
      </c>
      <c r="G1650">
        <v>0.85</v>
      </c>
      <c r="H1650" t="s">
        <v>10</v>
      </c>
    </row>
    <row r="1651" spans="1:8" x14ac:dyDescent="0.25">
      <c r="A1651" t="s">
        <v>22</v>
      </c>
      <c r="B1651">
        <v>112833</v>
      </c>
      <c r="C1651">
        <v>24</v>
      </c>
      <c r="D1651" t="s">
        <v>15</v>
      </c>
      <c r="E1651">
        <v>0.34</v>
      </c>
      <c r="F1651">
        <v>0.61</v>
      </c>
      <c r="G1651">
        <v>0.32</v>
      </c>
      <c r="H1651" t="s">
        <v>17</v>
      </c>
    </row>
    <row r="1652" spans="1:8" x14ac:dyDescent="0.25">
      <c r="A1652" t="s">
        <v>29</v>
      </c>
      <c r="B1652">
        <v>124538</v>
      </c>
      <c r="C1652">
        <v>10</v>
      </c>
      <c r="D1652" t="s">
        <v>28</v>
      </c>
      <c r="E1652">
        <v>0.01</v>
      </c>
      <c r="F1652">
        <v>1.23</v>
      </c>
      <c r="G1652">
        <v>0.73</v>
      </c>
      <c r="H1652" t="s">
        <v>10</v>
      </c>
    </row>
    <row r="1653" spans="1:8" x14ac:dyDescent="0.25">
      <c r="A1653" t="s">
        <v>16</v>
      </c>
      <c r="B1653">
        <v>54608</v>
      </c>
      <c r="C1653">
        <v>4</v>
      </c>
      <c r="D1653" t="s">
        <v>15</v>
      </c>
      <c r="E1653">
        <v>0.43</v>
      </c>
      <c r="F1653">
        <v>0.54</v>
      </c>
      <c r="G1653">
        <v>0.36</v>
      </c>
      <c r="H1653" t="s">
        <v>17</v>
      </c>
    </row>
    <row r="1654" spans="1:8" x14ac:dyDescent="0.25">
      <c r="A1654" t="s">
        <v>34</v>
      </c>
      <c r="B1654">
        <v>41367</v>
      </c>
      <c r="C1654">
        <v>11</v>
      </c>
      <c r="D1654" t="s">
        <v>28</v>
      </c>
      <c r="E1654">
        <v>0.66</v>
      </c>
      <c r="F1654">
        <v>0.91</v>
      </c>
      <c r="G1654">
        <v>0.5</v>
      </c>
      <c r="H1654" t="s">
        <v>17</v>
      </c>
    </row>
    <row r="1655" spans="1:8" x14ac:dyDescent="0.25">
      <c r="A1655" t="s">
        <v>33</v>
      </c>
      <c r="B1655">
        <v>123159</v>
      </c>
      <c r="C1655">
        <v>22</v>
      </c>
      <c r="D1655" t="s">
        <v>12</v>
      </c>
      <c r="E1655">
        <v>7.0000000000000007E-2</v>
      </c>
      <c r="F1655">
        <v>1.38</v>
      </c>
      <c r="G1655">
        <v>0.11</v>
      </c>
      <c r="H1655" t="s">
        <v>13</v>
      </c>
    </row>
    <row r="1656" spans="1:8" x14ac:dyDescent="0.25">
      <c r="A1656" t="s">
        <v>14</v>
      </c>
      <c r="B1656">
        <v>138864</v>
      </c>
      <c r="C1656">
        <v>11</v>
      </c>
      <c r="D1656" t="s">
        <v>28</v>
      </c>
      <c r="E1656">
        <v>0.55000000000000004</v>
      </c>
      <c r="F1656">
        <v>1.37</v>
      </c>
      <c r="G1656">
        <v>0.83</v>
      </c>
      <c r="H1656" t="s">
        <v>10</v>
      </c>
    </row>
    <row r="1657" spans="1:8" x14ac:dyDescent="0.25">
      <c r="A1657" t="s">
        <v>8</v>
      </c>
      <c r="B1657">
        <v>125504</v>
      </c>
      <c r="C1657">
        <v>14</v>
      </c>
      <c r="D1657" t="s">
        <v>15</v>
      </c>
      <c r="E1657">
        <v>0.97</v>
      </c>
      <c r="F1657">
        <v>0.74</v>
      </c>
      <c r="G1657">
        <v>0.93</v>
      </c>
      <c r="H1657" t="s">
        <v>10</v>
      </c>
    </row>
    <row r="1658" spans="1:8" x14ac:dyDescent="0.25">
      <c r="A1658" t="s">
        <v>26</v>
      </c>
      <c r="B1658">
        <v>90302</v>
      </c>
      <c r="C1658">
        <v>18</v>
      </c>
      <c r="D1658" t="s">
        <v>12</v>
      </c>
      <c r="E1658">
        <v>0.64</v>
      </c>
      <c r="F1658">
        <v>0.5</v>
      </c>
      <c r="G1658">
        <v>0.4</v>
      </c>
      <c r="H1658" t="s">
        <v>17</v>
      </c>
    </row>
    <row r="1659" spans="1:8" x14ac:dyDescent="0.25">
      <c r="A1659" t="s">
        <v>11</v>
      </c>
      <c r="B1659">
        <v>72722</v>
      </c>
      <c r="C1659">
        <v>0</v>
      </c>
      <c r="D1659" t="s">
        <v>28</v>
      </c>
      <c r="E1659">
        <v>0.48</v>
      </c>
      <c r="F1659">
        <v>1.21</v>
      </c>
      <c r="G1659">
        <v>0.1</v>
      </c>
      <c r="H1659" t="s">
        <v>13</v>
      </c>
    </row>
    <row r="1660" spans="1:8" x14ac:dyDescent="0.25">
      <c r="A1660" t="s">
        <v>29</v>
      </c>
      <c r="B1660">
        <v>116379</v>
      </c>
      <c r="C1660">
        <v>20</v>
      </c>
      <c r="D1660" t="s">
        <v>15</v>
      </c>
      <c r="E1660">
        <v>0.17</v>
      </c>
      <c r="F1660">
        <v>1.25</v>
      </c>
      <c r="G1660">
        <v>0.91</v>
      </c>
      <c r="H1660" t="s">
        <v>10</v>
      </c>
    </row>
    <row r="1661" spans="1:8" x14ac:dyDescent="0.25">
      <c r="A1661" t="s">
        <v>26</v>
      </c>
      <c r="B1661">
        <v>72412</v>
      </c>
      <c r="C1661">
        <v>21</v>
      </c>
      <c r="D1661" t="s">
        <v>28</v>
      </c>
      <c r="E1661">
        <v>0.39</v>
      </c>
      <c r="F1661">
        <v>1.02</v>
      </c>
      <c r="G1661">
        <v>0.48</v>
      </c>
      <c r="H1661" t="s">
        <v>17</v>
      </c>
    </row>
    <row r="1662" spans="1:8" x14ac:dyDescent="0.25">
      <c r="A1662" t="s">
        <v>23</v>
      </c>
      <c r="B1662">
        <v>74956</v>
      </c>
      <c r="C1662">
        <v>1</v>
      </c>
      <c r="D1662" t="s">
        <v>15</v>
      </c>
      <c r="E1662">
        <v>0.27</v>
      </c>
      <c r="F1662">
        <v>0.56000000000000005</v>
      </c>
      <c r="G1662">
        <v>0.75</v>
      </c>
      <c r="H1662" t="s">
        <v>10</v>
      </c>
    </row>
    <row r="1663" spans="1:8" x14ac:dyDescent="0.25">
      <c r="A1663" t="s">
        <v>21</v>
      </c>
      <c r="B1663">
        <v>108872</v>
      </c>
      <c r="C1663">
        <v>16</v>
      </c>
      <c r="D1663" t="s">
        <v>15</v>
      </c>
      <c r="E1663">
        <v>0.27</v>
      </c>
      <c r="F1663">
        <v>0.89</v>
      </c>
      <c r="G1663">
        <v>0.17</v>
      </c>
      <c r="H1663" t="s">
        <v>13</v>
      </c>
    </row>
    <row r="1664" spans="1:8" x14ac:dyDescent="0.25">
      <c r="A1664" t="s">
        <v>22</v>
      </c>
      <c r="B1664">
        <v>90542</v>
      </c>
      <c r="C1664">
        <v>19</v>
      </c>
      <c r="D1664" t="s">
        <v>15</v>
      </c>
      <c r="E1664">
        <v>0.33</v>
      </c>
      <c r="F1664">
        <v>1.1499999999999999</v>
      </c>
      <c r="G1664">
        <v>0.7</v>
      </c>
      <c r="H1664" t="s">
        <v>17</v>
      </c>
    </row>
    <row r="1665" spans="1:8" x14ac:dyDescent="0.25">
      <c r="A1665" t="s">
        <v>23</v>
      </c>
      <c r="B1665">
        <v>48481</v>
      </c>
      <c r="C1665">
        <v>9</v>
      </c>
      <c r="D1665" t="s">
        <v>28</v>
      </c>
      <c r="E1665">
        <v>0.65</v>
      </c>
      <c r="F1665">
        <v>0.68</v>
      </c>
      <c r="G1665">
        <v>0.83</v>
      </c>
      <c r="H1665" t="s">
        <v>10</v>
      </c>
    </row>
    <row r="1666" spans="1:8" x14ac:dyDescent="0.25">
      <c r="A1666" t="s">
        <v>34</v>
      </c>
      <c r="B1666">
        <v>37075</v>
      </c>
      <c r="C1666">
        <v>10</v>
      </c>
      <c r="D1666" t="s">
        <v>9</v>
      </c>
      <c r="E1666">
        <v>0.46</v>
      </c>
      <c r="F1666">
        <v>1.1599999999999999</v>
      </c>
      <c r="G1666">
        <v>0.69</v>
      </c>
      <c r="H1666" t="s">
        <v>17</v>
      </c>
    </row>
    <row r="1667" spans="1:8" x14ac:dyDescent="0.25">
      <c r="A1667" t="s">
        <v>25</v>
      </c>
      <c r="B1667">
        <v>100043</v>
      </c>
      <c r="C1667">
        <v>26</v>
      </c>
      <c r="D1667" t="s">
        <v>9</v>
      </c>
      <c r="E1667">
        <v>0.46</v>
      </c>
      <c r="F1667">
        <v>0.69</v>
      </c>
      <c r="G1667">
        <v>0.64</v>
      </c>
      <c r="H1667" t="s">
        <v>17</v>
      </c>
    </row>
    <row r="1668" spans="1:8" x14ac:dyDescent="0.25">
      <c r="A1668" t="s">
        <v>16</v>
      </c>
      <c r="B1668">
        <v>105069</v>
      </c>
      <c r="C1668">
        <v>12</v>
      </c>
      <c r="D1668" t="s">
        <v>9</v>
      </c>
      <c r="E1668">
        <v>0.82</v>
      </c>
      <c r="F1668">
        <v>0.98</v>
      </c>
      <c r="G1668">
        <v>0.6</v>
      </c>
      <c r="H1668" t="s">
        <v>17</v>
      </c>
    </row>
    <row r="1669" spans="1:8" x14ac:dyDescent="0.25">
      <c r="A1669" t="s">
        <v>21</v>
      </c>
      <c r="B1669">
        <v>82692</v>
      </c>
      <c r="C1669">
        <v>9</v>
      </c>
      <c r="D1669" t="s">
        <v>15</v>
      </c>
      <c r="E1669">
        <v>0.46</v>
      </c>
      <c r="F1669">
        <v>0.77</v>
      </c>
      <c r="G1669">
        <v>0.16</v>
      </c>
      <c r="H1669" t="s">
        <v>13</v>
      </c>
    </row>
    <row r="1670" spans="1:8" x14ac:dyDescent="0.25">
      <c r="A1670" t="s">
        <v>26</v>
      </c>
      <c r="B1670">
        <v>71918</v>
      </c>
      <c r="C1670">
        <v>15</v>
      </c>
      <c r="D1670" t="s">
        <v>12</v>
      </c>
      <c r="E1670">
        <v>0.13</v>
      </c>
      <c r="F1670">
        <v>1.03</v>
      </c>
      <c r="G1670">
        <v>0.56999999999999995</v>
      </c>
      <c r="H1670" t="s">
        <v>17</v>
      </c>
    </row>
    <row r="1671" spans="1:8" x14ac:dyDescent="0.25">
      <c r="A1671" t="s">
        <v>23</v>
      </c>
      <c r="B1671">
        <v>33264</v>
      </c>
      <c r="C1671">
        <v>11</v>
      </c>
      <c r="D1671" t="s">
        <v>28</v>
      </c>
      <c r="E1671">
        <v>0.53</v>
      </c>
      <c r="F1671">
        <v>1.37</v>
      </c>
      <c r="G1671">
        <v>0.78</v>
      </c>
      <c r="H1671" t="s">
        <v>10</v>
      </c>
    </row>
    <row r="1672" spans="1:8" x14ac:dyDescent="0.25">
      <c r="A1672" t="s">
        <v>14</v>
      </c>
      <c r="B1672">
        <v>144047</v>
      </c>
      <c r="C1672">
        <v>16</v>
      </c>
      <c r="D1672" t="s">
        <v>15</v>
      </c>
      <c r="E1672">
        <v>0.43</v>
      </c>
      <c r="F1672">
        <v>1.48</v>
      </c>
      <c r="G1672">
        <v>0.75</v>
      </c>
      <c r="H1672" t="s">
        <v>10</v>
      </c>
    </row>
    <row r="1673" spans="1:8" x14ac:dyDescent="0.25">
      <c r="A1673" t="s">
        <v>11</v>
      </c>
      <c r="B1673">
        <v>83433</v>
      </c>
      <c r="C1673">
        <v>4</v>
      </c>
      <c r="D1673" t="s">
        <v>9</v>
      </c>
      <c r="E1673">
        <v>0.73</v>
      </c>
      <c r="F1673">
        <v>0.99</v>
      </c>
      <c r="G1673">
        <v>7.0000000000000007E-2</v>
      </c>
      <c r="H1673" t="s">
        <v>13</v>
      </c>
    </row>
    <row r="1674" spans="1:8" x14ac:dyDescent="0.25">
      <c r="A1674" t="s">
        <v>32</v>
      </c>
      <c r="B1674">
        <v>99201</v>
      </c>
      <c r="C1674">
        <v>3</v>
      </c>
      <c r="D1674" t="s">
        <v>12</v>
      </c>
      <c r="E1674">
        <v>0.56999999999999995</v>
      </c>
      <c r="F1674">
        <v>1.02</v>
      </c>
      <c r="G1674">
        <v>0.56000000000000005</v>
      </c>
      <c r="H1674" t="s">
        <v>17</v>
      </c>
    </row>
    <row r="1675" spans="1:8" x14ac:dyDescent="0.25">
      <c r="A1675" t="s">
        <v>16</v>
      </c>
      <c r="B1675">
        <v>145131</v>
      </c>
      <c r="C1675">
        <v>19</v>
      </c>
      <c r="D1675" t="s">
        <v>15</v>
      </c>
      <c r="E1675">
        <v>0.64</v>
      </c>
      <c r="F1675">
        <v>1.03</v>
      </c>
      <c r="G1675">
        <v>0.52</v>
      </c>
      <c r="H1675" t="s">
        <v>17</v>
      </c>
    </row>
    <row r="1676" spans="1:8" x14ac:dyDescent="0.25">
      <c r="A1676" t="s">
        <v>33</v>
      </c>
      <c r="B1676">
        <v>134290</v>
      </c>
      <c r="C1676">
        <v>8</v>
      </c>
      <c r="D1676" t="s">
        <v>12</v>
      </c>
      <c r="E1676">
        <v>7.0000000000000007E-2</v>
      </c>
      <c r="F1676">
        <v>1.1000000000000001</v>
      </c>
      <c r="G1676">
        <v>0.28999999999999998</v>
      </c>
      <c r="H1676" t="s">
        <v>13</v>
      </c>
    </row>
    <row r="1677" spans="1:8" x14ac:dyDescent="0.25">
      <c r="A1677" t="s">
        <v>21</v>
      </c>
      <c r="B1677">
        <v>100779</v>
      </c>
      <c r="C1677">
        <v>21</v>
      </c>
      <c r="D1677" t="s">
        <v>12</v>
      </c>
      <c r="E1677">
        <v>0.8</v>
      </c>
      <c r="F1677">
        <v>1.3</v>
      </c>
      <c r="G1677">
        <v>0.19</v>
      </c>
      <c r="H1677" t="s">
        <v>13</v>
      </c>
    </row>
    <row r="1678" spans="1:8" x14ac:dyDescent="0.25">
      <c r="A1678" t="s">
        <v>11</v>
      </c>
      <c r="B1678">
        <v>100935</v>
      </c>
      <c r="C1678">
        <v>5</v>
      </c>
      <c r="D1678" t="s">
        <v>12</v>
      </c>
      <c r="E1678">
        <v>0.89</v>
      </c>
      <c r="F1678">
        <v>0.57999999999999996</v>
      </c>
      <c r="G1678">
        <v>0.2</v>
      </c>
      <c r="H1678" t="s">
        <v>13</v>
      </c>
    </row>
    <row r="1679" spans="1:8" x14ac:dyDescent="0.25">
      <c r="A1679" t="s">
        <v>30</v>
      </c>
      <c r="B1679">
        <v>59483</v>
      </c>
      <c r="C1679">
        <v>25</v>
      </c>
      <c r="D1679" t="s">
        <v>15</v>
      </c>
      <c r="E1679">
        <v>0.34</v>
      </c>
      <c r="F1679">
        <v>0.56000000000000005</v>
      </c>
      <c r="G1679">
        <v>0.18</v>
      </c>
      <c r="H1679" t="s">
        <v>13</v>
      </c>
    </row>
    <row r="1680" spans="1:8" x14ac:dyDescent="0.25">
      <c r="A1680" t="s">
        <v>34</v>
      </c>
      <c r="B1680">
        <v>61155</v>
      </c>
      <c r="C1680">
        <v>26</v>
      </c>
      <c r="D1680" t="s">
        <v>15</v>
      </c>
      <c r="E1680">
        <v>0.95</v>
      </c>
      <c r="F1680">
        <v>1.1299999999999999</v>
      </c>
      <c r="G1680">
        <v>0.59</v>
      </c>
      <c r="H1680" t="s">
        <v>17</v>
      </c>
    </row>
    <row r="1681" spans="1:8" x14ac:dyDescent="0.25">
      <c r="A1681" t="s">
        <v>34</v>
      </c>
      <c r="B1681">
        <v>34176</v>
      </c>
      <c r="C1681">
        <v>6</v>
      </c>
      <c r="D1681" t="s">
        <v>9</v>
      </c>
      <c r="E1681">
        <v>0.82</v>
      </c>
      <c r="F1681">
        <v>1.26</v>
      </c>
      <c r="G1681">
        <v>0.45</v>
      </c>
      <c r="H1681" t="s">
        <v>17</v>
      </c>
    </row>
    <row r="1682" spans="1:8" x14ac:dyDescent="0.25">
      <c r="A1682" t="s">
        <v>23</v>
      </c>
      <c r="B1682">
        <v>50746</v>
      </c>
      <c r="C1682">
        <v>12</v>
      </c>
      <c r="D1682" t="s">
        <v>9</v>
      </c>
      <c r="E1682">
        <v>0.95</v>
      </c>
      <c r="F1682">
        <v>0.87</v>
      </c>
      <c r="G1682">
        <v>0.95</v>
      </c>
      <c r="H1682" t="s">
        <v>10</v>
      </c>
    </row>
    <row r="1683" spans="1:8" x14ac:dyDescent="0.25">
      <c r="A1683" t="s">
        <v>30</v>
      </c>
      <c r="B1683">
        <v>104557</v>
      </c>
      <c r="C1683">
        <v>18</v>
      </c>
      <c r="D1683" t="s">
        <v>9</v>
      </c>
      <c r="E1683">
        <v>0.47</v>
      </c>
      <c r="F1683">
        <v>0.79</v>
      </c>
      <c r="G1683">
        <v>0.27</v>
      </c>
      <c r="H1683" t="s">
        <v>13</v>
      </c>
    </row>
    <row r="1684" spans="1:8" x14ac:dyDescent="0.25">
      <c r="A1684" t="s">
        <v>30</v>
      </c>
      <c r="B1684">
        <v>131242</v>
      </c>
      <c r="C1684">
        <v>14</v>
      </c>
      <c r="D1684" t="s">
        <v>28</v>
      </c>
      <c r="E1684">
        <v>0.75</v>
      </c>
      <c r="F1684">
        <v>1.47</v>
      </c>
      <c r="G1684">
        <v>0.21</v>
      </c>
      <c r="H1684" t="s">
        <v>13</v>
      </c>
    </row>
    <row r="1685" spans="1:8" x14ac:dyDescent="0.25">
      <c r="A1685" t="s">
        <v>16</v>
      </c>
      <c r="B1685">
        <v>116949</v>
      </c>
      <c r="C1685">
        <v>11</v>
      </c>
      <c r="D1685" t="s">
        <v>15</v>
      </c>
      <c r="E1685">
        <v>0.28999999999999998</v>
      </c>
      <c r="F1685">
        <v>0.98</v>
      </c>
      <c r="G1685">
        <v>0.65</v>
      </c>
      <c r="H1685" t="s">
        <v>17</v>
      </c>
    </row>
    <row r="1686" spans="1:8" x14ac:dyDescent="0.25">
      <c r="A1686" t="s">
        <v>26</v>
      </c>
      <c r="B1686">
        <v>88204</v>
      </c>
      <c r="C1686">
        <v>14</v>
      </c>
      <c r="D1686" t="s">
        <v>12</v>
      </c>
      <c r="E1686">
        <v>0.5</v>
      </c>
      <c r="F1686">
        <v>0.84</v>
      </c>
      <c r="G1686">
        <v>0.55000000000000004</v>
      </c>
      <c r="H1686" t="s">
        <v>17</v>
      </c>
    </row>
    <row r="1687" spans="1:8" x14ac:dyDescent="0.25">
      <c r="A1687" t="s">
        <v>30</v>
      </c>
      <c r="B1687">
        <v>45089</v>
      </c>
      <c r="C1687">
        <v>4</v>
      </c>
      <c r="D1687" t="s">
        <v>12</v>
      </c>
      <c r="E1687">
        <v>0.96</v>
      </c>
      <c r="F1687">
        <v>0.65</v>
      </c>
      <c r="G1687">
        <v>0.28999999999999998</v>
      </c>
      <c r="H1687" t="s">
        <v>13</v>
      </c>
    </row>
    <row r="1688" spans="1:8" x14ac:dyDescent="0.25">
      <c r="A1688" t="s">
        <v>21</v>
      </c>
      <c r="B1688">
        <v>83341</v>
      </c>
      <c r="C1688">
        <v>5</v>
      </c>
      <c r="D1688" t="s">
        <v>9</v>
      </c>
      <c r="E1688">
        <v>0.1</v>
      </c>
      <c r="F1688">
        <v>1.1399999999999999</v>
      </c>
      <c r="G1688">
        <v>0.1</v>
      </c>
      <c r="H1688" t="s">
        <v>13</v>
      </c>
    </row>
    <row r="1689" spans="1:8" x14ac:dyDescent="0.25">
      <c r="A1689" t="s">
        <v>14</v>
      </c>
      <c r="B1689">
        <v>126621</v>
      </c>
      <c r="C1689">
        <v>13</v>
      </c>
      <c r="D1689" t="s">
        <v>15</v>
      </c>
      <c r="E1689">
        <v>0.55000000000000004</v>
      </c>
      <c r="F1689">
        <v>0.88</v>
      </c>
      <c r="G1689">
        <v>0.73</v>
      </c>
      <c r="H1689" t="s">
        <v>10</v>
      </c>
    </row>
    <row r="1690" spans="1:8" x14ac:dyDescent="0.25">
      <c r="A1690" t="s">
        <v>29</v>
      </c>
      <c r="B1690">
        <v>128283</v>
      </c>
      <c r="C1690">
        <v>4</v>
      </c>
      <c r="D1690" t="s">
        <v>28</v>
      </c>
      <c r="E1690">
        <v>0.53</v>
      </c>
      <c r="F1690">
        <v>1.46</v>
      </c>
      <c r="G1690">
        <v>0.93</v>
      </c>
      <c r="H1690" t="s">
        <v>10</v>
      </c>
    </row>
    <row r="1691" spans="1:8" x14ac:dyDescent="0.25">
      <c r="A1691" t="s">
        <v>25</v>
      </c>
      <c r="B1691">
        <v>100446</v>
      </c>
      <c r="C1691">
        <v>9</v>
      </c>
      <c r="D1691" t="s">
        <v>15</v>
      </c>
      <c r="E1691">
        <v>0.03</v>
      </c>
      <c r="F1691">
        <v>1.3</v>
      </c>
      <c r="G1691">
        <v>0.46</v>
      </c>
      <c r="H1691" t="s">
        <v>17</v>
      </c>
    </row>
    <row r="1692" spans="1:8" x14ac:dyDescent="0.25">
      <c r="A1692" t="s">
        <v>32</v>
      </c>
      <c r="B1692">
        <v>107413</v>
      </c>
      <c r="C1692">
        <v>21</v>
      </c>
      <c r="D1692" t="s">
        <v>28</v>
      </c>
      <c r="E1692">
        <v>0.7</v>
      </c>
      <c r="F1692">
        <v>0.85</v>
      </c>
      <c r="G1692">
        <v>0.48</v>
      </c>
      <c r="H1692" t="s">
        <v>17</v>
      </c>
    </row>
    <row r="1693" spans="1:8" x14ac:dyDescent="0.25">
      <c r="A1693" t="s">
        <v>11</v>
      </c>
      <c r="B1693">
        <v>106789</v>
      </c>
      <c r="C1693">
        <v>20</v>
      </c>
      <c r="D1693" t="s">
        <v>12</v>
      </c>
      <c r="E1693">
        <v>0.16</v>
      </c>
      <c r="F1693">
        <v>0.93</v>
      </c>
      <c r="G1693">
        <v>0.15</v>
      </c>
      <c r="H1693" t="s">
        <v>13</v>
      </c>
    </row>
    <row r="1694" spans="1:8" x14ac:dyDescent="0.25">
      <c r="A1694" t="s">
        <v>32</v>
      </c>
      <c r="B1694">
        <v>86193</v>
      </c>
      <c r="C1694">
        <v>3</v>
      </c>
      <c r="D1694" t="s">
        <v>15</v>
      </c>
      <c r="E1694">
        <v>0.33</v>
      </c>
      <c r="F1694">
        <v>1.23</v>
      </c>
      <c r="G1694">
        <v>0.53</v>
      </c>
      <c r="H1694" t="s">
        <v>17</v>
      </c>
    </row>
    <row r="1695" spans="1:8" x14ac:dyDescent="0.25">
      <c r="A1695" t="s">
        <v>32</v>
      </c>
      <c r="B1695">
        <v>102652</v>
      </c>
      <c r="C1695">
        <v>16</v>
      </c>
      <c r="D1695" t="s">
        <v>15</v>
      </c>
      <c r="E1695">
        <v>0.69</v>
      </c>
      <c r="F1695">
        <v>1.31</v>
      </c>
      <c r="G1695">
        <v>0.45</v>
      </c>
      <c r="H1695" t="s">
        <v>17</v>
      </c>
    </row>
    <row r="1696" spans="1:8" x14ac:dyDescent="0.25">
      <c r="A1696" t="s">
        <v>20</v>
      </c>
      <c r="B1696">
        <v>131038</v>
      </c>
      <c r="C1696">
        <v>25</v>
      </c>
      <c r="D1696" t="s">
        <v>12</v>
      </c>
      <c r="E1696">
        <v>0.57999999999999996</v>
      </c>
      <c r="F1696">
        <v>1.23</v>
      </c>
      <c r="G1696">
        <v>0.39</v>
      </c>
      <c r="H1696" t="s">
        <v>17</v>
      </c>
    </row>
    <row r="1697" spans="1:8" x14ac:dyDescent="0.25">
      <c r="A1697" t="s">
        <v>29</v>
      </c>
      <c r="B1697">
        <v>55143</v>
      </c>
      <c r="C1697">
        <v>2</v>
      </c>
      <c r="D1697" t="s">
        <v>9</v>
      </c>
      <c r="E1697">
        <v>0.19</v>
      </c>
      <c r="F1697">
        <v>1.08</v>
      </c>
      <c r="G1697">
        <v>0.85</v>
      </c>
      <c r="H1697" t="s">
        <v>10</v>
      </c>
    </row>
    <row r="1698" spans="1:8" x14ac:dyDescent="0.25">
      <c r="A1698" t="s">
        <v>18</v>
      </c>
      <c r="B1698">
        <v>112702</v>
      </c>
      <c r="C1698">
        <v>22</v>
      </c>
      <c r="D1698" t="s">
        <v>28</v>
      </c>
      <c r="E1698">
        <v>0.81</v>
      </c>
      <c r="F1698">
        <v>1.31</v>
      </c>
      <c r="G1698">
        <v>0.45</v>
      </c>
      <c r="H1698" t="s">
        <v>17</v>
      </c>
    </row>
    <row r="1699" spans="1:8" x14ac:dyDescent="0.25">
      <c r="A1699" t="s">
        <v>23</v>
      </c>
      <c r="B1699">
        <v>141459</v>
      </c>
      <c r="C1699">
        <v>26</v>
      </c>
      <c r="D1699" t="s">
        <v>12</v>
      </c>
      <c r="E1699">
        <v>0.02</v>
      </c>
      <c r="F1699">
        <v>0.7</v>
      </c>
      <c r="G1699">
        <v>0.8</v>
      </c>
      <c r="H1699" t="s">
        <v>10</v>
      </c>
    </row>
    <row r="1700" spans="1:8" x14ac:dyDescent="0.25">
      <c r="A1700" t="s">
        <v>27</v>
      </c>
      <c r="B1700">
        <v>56107</v>
      </c>
      <c r="C1700">
        <v>24</v>
      </c>
      <c r="D1700" t="s">
        <v>15</v>
      </c>
      <c r="E1700">
        <v>0.73</v>
      </c>
      <c r="F1700">
        <v>0.98</v>
      </c>
      <c r="G1700">
        <v>0.52</v>
      </c>
      <c r="H1700" t="s">
        <v>17</v>
      </c>
    </row>
    <row r="1701" spans="1:8" x14ac:dyDescent="0.25">
      <c r="A1701" t="s">
        <v>25</v>
      </c>
      <c r="B1701">
        <v>98402</v>
      </c>
      <c r="C1701">
        <v>8</v>
      </c>
      <c r="D1701" t="s">
        <v>28</v>
      </c>
      <c r="E1701">
        <v>0.47</v>
      </c>
      <c r="F1701">
        <v>0.7</v>
      </c>
      <c r="G1701">
        <v>0.43</v>
      </c>
      <c r="H1701" t="s">
        <v>17</v>
      </c>
    </row>
    <row r="1702" spans="1:8" x14ac:dyDescent="0.25">
      <c r="A1702" t="s">
        <v>8</v>
      </c>
      <c r="B1702">
        <v>36005</v>
      </c>
      <c r="C1702">
        <v>14</v>
      </c>
      <c r="D1702" t="s">
        <v>15</v>
      </c>
      <c r="E1702">
        <v>0.33</v>
      </c>
      <c r="F1702">
        <v>0.52</v>
      </c>
      <c r="G1702">
        <v>0.82</v>
      </c>
      <c r="H1702" t="s">
        <v>10</v>
      </c>
    </row>
    <row r="1703" spans="1:8" x14ac:dyDescent="0.25">
      <c r="A1703" t="s">
        <v>30</v>
      </c>
      <c r="B1703">
        <v>81038</v>
      </c>
      <c r="C1703">
        <v>25</v>
      </c>
      <c r="D1703" t="s">
        <v>28</v>
      </c>
      <c r="E1703">
        <v>7.0000000000000007E-2</v>
      </c>
      <c r="F1703">
        <v>0.88</v>
      </c>
      <c r="G1703">
        <v>0.26</v>
      </c>
      <c r="H1703" t="s">
        <v>13</v>
      </c>
    </row>
    <row r="1704" spans="1:8" x14ac:dyDescent="0.25">
      <c r="A1704" t="s">
        <v>24</v>
      </c>
      <c r="B1704">
        <v>96783</v>
      </c>
      <c r="C1704">
        <v>20</v>
      </c>
      <c r="D1704" t="s">
        <v>28</v>
      </c>
      <c r="E1704">
        <v>0.63</v>
      </c>
      <c r="F1704">
        <v>1.1599999999999999</v>
      </c>
      <c r="G1704">
        <v>0.49</v>
      </c>
      <c r="H1704" t="s">
        <v>17</v>
      </c>
    </row>
    <row r="1705" spans="1:8" x14ac:dyDescent="0.25">
      <c r="A1705" t="s">
        <v>33</v>
      </c>
      <c r="B1705">
        <v>101020</v>
      </c>
      <c r="C1705">
        <v>21</v>
      </c>
      <c r="D1705" t="s">
        <v>12</v>
      </c>
      <c r="E1705">
        <v>0.78</v>
      </c>
      <c r="F1705">
        <v>1.1499999999999999</v>
      </c>
      <c r="G1705">
        <v>0.16</v>
      </c>
      <c r="H1705" t="s">
        <v>13</v>
      </c>
    </row>
    <row r="1706" spans="1:8" x14ac:dyDescent="0.25">
      <c r="A1706" t="s">
        <v>25</v>
      </c>
      <c r="B1706">
        <v>95217</v>
      </c>
      <c r="C1706">
        <v>16</v>
      </c>
      <c r="D1706" t="s">
        <v>28</v>
      </c>
      <c r="E1706">
        <v>0.66</v>
      </c>
      <c r="F1706">
        <v>0.78</v>
      </c>
      <c r="G1706">
        <v>0.63</v>
      </c>
      <c r="H1706" t="s">
        <v>17</v>
      </c>
    </row>
    <row r="1707" spans="1:8" x14ac:dyDescent="0.25">
      <c r="A1707" t="s">
        <v>24</v>
      </c>
      <c r="B1707">
        <v>97323</v>
      </c>
      <c r="C1707">
        <v>19</v>
      </c>
      <c r="D1707" t="s">
        <v>28</v>
      </c>
      <c r="E1707">
        <v>0.61</v>
      </c>
      <c r="F1707">
        <v>0.84</v>
      </c>
      <c r="G1707">
        <v>0.42</v>
      </c>
      <c r="H1707" t="s">
        <v>17</v>
      </c>
    </row>
    <row r="1708" spans="1:8" x14ac:dyDescent="0.25">
      <c r="A1708" t="s">
        <v>21</v>
      </c>
      <c r="B1708">
        <v>80049</v>
      </c>
      <c r="C1708">
        <v>19</v>
      </c>
      <c r="D1708" t="s">
        <v>28</v>
      </c>
      <c r="E1708">
        <v>0.47</v>
      </c>
      <c r="F1708">
        <v>0.56000000000000005</v>
      </c>
      <c r="G1708">
        <v>0.28000000000000003</v>
      </c>
      <c r="H1708" t="s">
        <v>13</v>
      </c>
    </row>
    <row r="1709" spans="1:8" x14ac:dyDescent="0.25">
      <c r="A1709" t="s">
        <v>33</v>
      </c>
      <c r="B1709">
        <v>48428</v>
      </c>
      <c r="C1709">
        <v>2</v>
      </c>
      <c r="D1709" t="s">
        <v>9</v>
      </c>
      <c r="E1709">
        <v>0.22</v>
      </c>
      <c r="F1709">
        <v>0.68</v>
      </c>
      <c r="G1709">
        <v>0.24</v>
      </c>
      <c r="H1709" t="s">
        <v>13</v>
      </c>
    </row>
    <row r="1710" spans="1:8" x14ac:dyDescent="0.25">
      <c r="A1710" t="s">
        <v>21</v>
      </c>
      <c r="B1710">
        <v>85331</v>
      </c>
      <c r="C1710">
        <v>27</v>
      </c>
      <c r="D1710" t="s">
        <v>15</v>
      </c>
      <c r="E1710">
        <v>0.96</v>
      </c>
      <c r="F1710">
        <v>1.46</v>
      </c>
      <c r="G1710">
        <v>0.09</v>
      </c>
      <c r="H1710" t="s">
        <v>13</v>
      </c>
    </row>
    <row r="1711" spans="1:8" x14ac:dyDescent="0.25">
      <c r="A1711" t="s">
        <v>34</v>
      </c>
      <c r="B1711">
        <v>35973</v>
      </c>
      <c r="C1711">
        <v>2</v>
      </c>
      <c r="D1711" t="s">
        <v>15</v>
      </c>
      <c r="E1711">
        <v>0.53</v>
      </c>
      <c r="F1711">
        <v>0.88</v>
      </c>
      <c r="G1711">
        <v>0.45</v>
      </c>
      <c r="H1711" t="s">
        <v>17</v>
      </c>
    </row>
    <row r="1712" spans="1:8" x14ac:dyDescent="0.25">
      <c r="A1712" t="s">
        <v>16</v>
      </c>
      <c r="B1712">
        <v>67236</v>
      </c>
      <c r="C1712">
        <v>10</v>
      </c>
      <c r="D1712" t="s">
        <v>9</v>
      </c>
      <c r="E1712">
        <v>0.06</v>
      </c>
      <c r="F1712">
        <v>1.19</v>
      </c>
      <c r="G1712">
        <v>0.32</v>
      </c>
      <c r="H1712" t="s">
        <v>17</v>
      </c>
    </row>
    <row r="1713" spans="1:8" x14ac:dyDescent="0.25">
      <c r="A1713" t="s">
        <v>18</v>
      </c>
      <c r="B1713">
        <v>112473</v>
      </c>
      <c r="C1713">
        <v>25</v>
      </c>
      <c r="D1713" t="s">
        <v>12</v>
      </c>
      <c r="E1713">
        <v>0.4</v>
      </c>
      <c r="F1713">
        <v>1.28</v>
      </c>
      <c r="G1713">
        <v>0.56000000000000005</v>
      </c>
      <c r="H1713" t="s">
        <v>17</v>
      </c>
    </row>
    <row r="1714" spans="1:8" x14ac:dyDescent="0.25">
      <c r="A1714" t="s">
        <v>32</v>
      </c>
      <c r="B1714">
        <v>138480</v>
      </c>
      <c r="C1714">
        <v>27</v>
      </c>
      <c r="D1714" t="s">
        <v>28</v>
      </c>
      <c r="E1714">
        <v>0.12</v>
      </c>
      <c r="F1714">
        <v>0.95</v>
      </c>
      <c r="G1714">
        <v>0.47</v>
      </c>
      <c r="H1714" t="s">
        <v>17</v>
      </c>
    </row>
    <row r="1715" spans="1:8" x14ac:dyDescent="0.25">
      <c r="A1715" t="s">
        <v>26</v>
      </c>
      <c r="B1715">
        <v>73464</v>
      </c>
      <c r="C1715">
        <v>27</v>
      </c>
      <c r="D1715" t="s">
        <v>9</v>
      </c>
      <c r="E1715">
        <v>0.56000000000000005</v>
      </c>
      <c r="F1715">
        <v>1.1000000000000001</v>
      </c>
      <c r="G1715">
        <v>0.44</v>
      </c>
      <c r="H1715" t="s">
        <v>17</v>
      </c>
    </row>
    <row r="1716" spans="1:8" x14ac:dyDescent="0.25">
      <c r="A1716" t="s">
        <v>30</v>
      </c>
      <c r="B1716">
        <v>118060</v>
      </c>
      <c r="C1716">
        <v>19</v>
      </c>
      <c r="D1716" t="s">
        <v>28</v>
      </c>
      <c r="E1716">
        <v>0.26</v>
      </c>
      <c r="F1716">
        <v>0.76</v>
      </c>
      <c r="G1716">
        <v>0.14000000000000001</v>
      </c>
      <c r="H1716" t="s">
        <v>13</v>
      </c>
    </row>
    <row r="1717" spans="1:8" x14ac:dyDescent="0.25">
      <c r="A1717" t="s">
        <v>16</v>
      </c>
      <c r="B1717">
        <v>76905</v>
      </c>
      <c r="C1717">
        <v>12</v>
      </c>
      <c r="D1717" t="s">
        <v>15</v>
      </c>
      <c r="E1717">
        <v>0.87</v>
      </c>
      <c r="F1717">
        <v>0.62</v>
      </c>
      <c r="G1717">
        <v>0.67</v>
      </c>
      <c r="H1717" t="s">
        <v>17</v>
      </c>
    </row>
    <row r="1718" spans="1:8" x14ac:dyDescent="0.25">
      <c r="A1718" t="s">
        <v>26</v>
      </c>
      <c r="B1718">
        <v>101341</v>
      </c>
      <c r="C1718">
        <v>15</v>
      </c>
      <c r="D1718" t="s">
        <v>15</v>
      </c>
      <c r="E1718">
        <v>0.85</v>
      </c>
      <c r="F1718">
        <v>0.51</v>
      </c>
      <c r="G1718">
        <v>0.42</v>
      </c>
      <c r="H1718" t="s">
        <v>17</v>
      </c>
    </row>
    <row r="1719" spans="1:8" x14ac:dyDescent="0.25">
      <c r="A1719" t="s">
        <v>8</v>
      </c>
      <c r="B1719">
        <v>119314</v>
      </c>
      <c r="C1719">
        <v>26</v>
      </c>
      <c r="D1719" t="s">
        <v>9</v>
      </c>
      <c r="E1719">
        <v>0.49</v>
      </c>
      <c r="F1719">
        <v>1.3</v>
      </c>
      <c r="G1719">
        <v>0.79</v>
      </c>
      <c r="H1719" t="s">
        <v>10</v>
      </c>
    </row>
    <row r="1720" spans="1:8" x14ac:dyDescent="0.25">
      <c r="A1720" t="s">
        <v>23</v>
      </c>
      <c r="B1720">
        <v>109455</v>
      </c>
      <c r="C1720">
        <v>26</v>
      </c>
      <c r="D1720" t="s">
        <v>12</v>
      </c>
      <c r="E1720">
        <v>0.44</v>
      </c>
      <c r="F1720">
        <v>1.34</v>
      </c>
      <c r="G1720">
        <v>0.9</v>
      </c>
      <c r="H1720" t="s">
        <v>10</v>
      </c>
    </row>
    <row r="1721" spans="1:8" x14ac:dyDescent="0.25">
      <c r="A1721" t="s">
        <v>16</v>
      </c>
      <c r="B1721">
        <v>96951</v>
      </c>
      <c r="C1721">
        <v>6</v>
      </c>
      <c r="D1721" t="s">
        <v>9</v>
      </c>
      <c r="E1721">
        <v>0.08</v>
      </c>
      <c r="F1721">
        <v>1.34</v>
      </c>
      <c r="G1721">
        <v>0.69</v>
      </c>
      <c r="H1721" t="s">
        <v>17</v>
      </c>
    </row>
    <row r="1722" spans="1:8" x14ac:dyDescent="0.25">
      <c r="A1722" t="s">
        <v>16</v>
      </c>
      <c r="B1722">
        <v>44057</v>
      </c>
      <c r="C1722">
        <v>5</v>
      </c>
      <c r="D1722" t="s">
        <v>15</v>
      </c>
      <c r="E1722">
        <v>0.5</v>
      </c>
      <c r="F1722">
        <v>0.64</v>
      </c>
      <c r="G1722">
        <v>0.64</v>
      </c>
      <c r="H1722" t="s">
        <v>17</v>
      </c>
    </row>
    <row r="1723" spans="1:8" x14ac:dyDescent="0.25">
      <c r="A1723" t="s">
        <v>29</v>
      </c>
      <c r="B1723">
        <v>60185</v>
      </c>
      <c r="C1723">
        <v>28</v>
      </c>
      <c r="D1723" t="s">
        <v>15</v>
      </c>
      <c r="E1723">
        <v>0.36</v>
      </c>
      <c r="F1723">
        <v>0.6</v>
      </c>
      <c r="G1723">
        <v>0.78</v>
      </c>
      <c r="H1723" t="s">
        <v>10</v>
      </c>
    </row>
    <row r="1724" spans="1:8" x14ac:dyDescent="0.25">
      <c r="A1724" t="s">
        <v>26</v>
      </c>
      <c r="B1724">
        <v>63797</v>
      </c>
      <c r="C1724">
        <v>24</v>
      </c>
      <c r="D1724" t="s">
        <v>28</v>
      </c>
      <c r="E1724">
        <v>0.68</v>
      </c>
      <c r="F1724">
        <v>0.79</v>
      </c>
      <c r="G1724">
        <v>0.31</v>
      </c>
      <c r="H1724" t="s">
        <v>17</v>
      </c>
    </row>
    <row r="1725" spans="1:8" x14ac:dyDescent="0.25">
      <c r="A1725" t="s">
        <v>22</v>
      </c>
      <c r="B1725">
        <v>52792</v>
      </c>
      <c r="C1725">
        <v>6</v>
      </c>
      <c r="D1725" t="s">
        <v>15</v>
      </c>
      <c r="E1725">
        <v>0.47</v>
      </c>
      <c r="F1725">
        <v>0.91</v>
      </c>
      <c r="G1725">
        <v>0.39</v>
      </c>
      <c r="H1725" t="s">
        <v>17</v>
      </c>
    </row>
    <row r="1726" spans="1:8" x14ac:dyDescent="0.25">
      <c r="A1726" t="s">
        <v>19</v>
      </c>
      <c r="B1726">
        <v>136827</v>
      </c>
      <c r="C1726">
        <v>15</v>
      </c>
      <c r="D1726" t="s">
        <v>15</v>
      </c>
      <c r="E1726">
        <v>0.64</v>
      </c>
      <c r="F1726">
        <v>1.1499999999999999</v>
      </c>
      <c r="G1726">
        <v>7.0000000000000007E-2</v>
      </c>
      <c r="H1726" t="s">
        <v>13</v>
      </c>
    </row>
    <row r="1727" spans="1:8" x14ac:dyDescent="0.25">
      <c r="A1727" t="s">
        <v>33</v>
      </c>
      <c r="B1727">
        <v>34134</v>
      </c>
      <c r="C1727">
        <v>12</v>
      </c>
      <c r="D1727" t="s">
        <v>12</v>
      </c>
      <c r="E1727">
        <v>0.19</v>
      </c>
      <c r="F1727">
        <v>1.22</v>
      </c>
      <c r="G1727">
        <v>0.06</v>
      </c>
      <c r="H1727" t="s">
        <v>13</v>
      </c>
    </row>
    <row r="1728" spans="1:8" x14ac:dyDescent="0.25">
      <c r="A1728" t="s">
        <v>8</v>
      </c>
      <c r="B1728">
        <v>117463</v>
      </c>
      <c r="C1728">
        <v>19</v>
      </c>
      <c r="D1728" t="s">
        <v>15</v>
      </c>
      <c r="E1728">
        <v>0.06</v>
      </c>
      <c r="F1728">
        <v>0.9</v>
      </c>
      <c r="G1728">
        <v>0.8</v>
      </c>
      <c r="H1728" t="s">
        <v>10</v>
      </c>
    </row>
    <row r="1729" spans="1:8" x14ac:dyDescent="0.25">
      <c r="A1729" t="s">
        <v>19</v>
      </c>
      <c r="B1729">
        <v>74597</v>
      </c>
      <c r="C1729">
        <v>12</v>
      </c>
      <c r="D1729" t="s">
        <v>15</v>
      </c>
      <c r="E1729">
        <v>0.48</v>
      </c>
      <c r="F1729">
        <v>1.17</v>
      </c>
      <c r="G1729">
        <v>0.25</v>
      </c>
      <c r="H1729" t="s">
        <v>13</v>
      </c>
    </row>
    <row r="1730" spans="1:8" x14ac:dyDescent="0.25">
      <c r="A1730" t="s">
        <v>22</v>
      </c>
      <c r="B1730">
        <v>40603</v>
      </c>
      <c r="C1730">
        <v>24</v>
      </c>
      <c r="D1730" t="s">
        <v>15</v>
      </c>
      <c r="E1730">
        <v>0.49</v>
      </c>
      <c r="F1730">
        <v>0.94</v>
      </c>
      <c r="G1730">
        <v>0.42</v>
      </c>
      <c r="H1730" t="s">
        <v>17</v>
      </c>
    </row>
    <row r="1731" spans="1:8" x14ac:dyDescent="0.25">
      <c r="A1731" t="s">
        <v>21</v>
      </c>
      <c r="B1731">
        <v>106968</v>
      </c>
      <c r="C1731">
        <v>22</v>
      </c>
      <c r="D1731" t="s">
        <v>9</v>
      </c>
      <c r="E1731">
        <v>0.7</v>
      </c>
      <c r="F1731">
        <v>0.56000000000000005</v>
      </c>
      <c r="G1731">
        <v>0.22</v>
      </c>
      <c r="H1731" t="s">
        <v>13</v>
      </c>
    </row>
    <row r="1732" spans="1:8" x14ac:dyDescent="0.25">
      <c r="A1732" t="s">
        <v>27</v>
      </c>
      <c r="B1732">
        <v>149700</v>
      </c>
      <c r="C1732">
        <v>26</v>
      </c>
      <c r="D1732" t="s">
        <v>12</v>
      </c>
      <c r="E1732">
        <v>0.79</v>
      </c>
      <c r="F1732">
        <v>0.79</v>
      </c>
      <c r="G1732">
        <v>0.61</v>
      </c>
      <c r="H1732" t="s">
        <v>17</v>
      </c>
    </row>
    <row r="1733" spans="1:8" x14ac:dyDescent="0.25">
      <c r="A1733" t="s">
        <v>30</v>
      </c>
      <c r="B1733">
        <v>77890</v>
      </c>
      <c r="C1733">
        <v>26</v>
      </c>
      <c r="D1733" t="s">
        <v>15</v>
      </c>
      <c r="E1733">
        <v>0.19</v>
      </c>
      <c r="F1733">
        <v>1.48</v>
      </c>
      <c r="G1733">
        <v>0.23</v>
      </c>
      <c r="H1733" t="s">
        <v>13</v>
      </c>
    </row>
    <row r="1734" spans="1:8" x14ac:dyDescent="0.25">
      <c r="A1734" t="s">
        <v>11</v>
      </c>
      <c r="B1734">
        <v>141930</v>
      </c>
      <c r="C1734">
        <v>5</v>
      </c>
      <c r="D1734" t="s">
        <v>28</v>
      </c>
      <c r="E1734">
        <v>0.02</v>
      </c>
      <c r="F1734">
        <v>1.08</v>
      </c>
      <c r="G1734">
        <v>0.26</v>
      </c>
      <c r="H1734" t="s">
        <v>13</v>
      </c>
    </row>
    <row r="1735" spans="1:8" x14ac:dyDescent="0.25">
      <c r="A1735" t="s">
        <v>18</v>
      </c>
      <c r="B1735">
        <v>65976</v>
      </c>
      <c r="C1735">
        <v>2</v>
      </c>
      <c r="D1735" t="s">
        <v>28</v>
      </c>
      <c r="E1735">
        <v>0.47</v>
      </c>
      <c r="F1735">
        <v>1.03</v>
      </c>
      <c r="G1735">
        <v>0.6</v>
      </c>
      <c r="H1735" t="s">
        <v>17</v>
      </c>
    </row>
    <row r="1736" spans="1:8" x14ac:dyDescent="0.25">
      <c r="A1736" t="s">
        <v>34</v>
      </c>
      <c r="B1736">
        <v>81356</v>
      </c>
      <c r="C1736">
        <v>7</v>
      </c>
      <c r="D1736" t="s">
        <v>15</v>
      </c>
      <c r="E1736">
        <v>0.14000000000000001</v>
      </c>
      <c r="F1736">
        <v>0.94</v>
      </c>
      <c r="G1736">
        <v>0.36</v>
      </c>
      <c r="H1736" t="s">
        <v>17</v>
      </c>
    </row>
    <row r="1737" spans="1:8" x14ac:dyDescent="0.25">
      <c r="A1737" t="s">
        <v>33</v>
      </c>
      <c r="B1737">
        <v>129928</v>
      </c>
      <c r="C1737">
        <v>0</v>
      </c>
      <c r="D1737" t="s">
        <v>28</v>
      </c>
      <c r="E1737">
        <v>0.76</v>
      </c>
      <c r="F1737">
        <v>0.8</v>
      </c>
      <c r="G1737">
        <v>0.25</v>
      </c>
      <c r="H1737" t="s">
        <v>13</v>
      </c>
    </row>
    <row r="1738" spans="1:8" x14ac:dyDescent="0.25">
      <c r="A1738" t="s">
        <v>31</v>
      </c>
      <c r="B1738">
        <v>51625</v>
      </c>
      <c r="C1738">
        <v>1</v>
      </c>
      <c r="D1738" t="s">
        <v>28</v>
      </c>
      <c r="E1738">
        <v>0.61</v>
      </c>
      <c r="F1738">
        <v>0.74</v>
      </c>
      <c r="G1738">
        <v>0.75</v>
      </c>
      <c r="H1738" t="s">
        <v>10</v>
      </c>
    </row>
    <row r="1739" spans="1:8" x14ac:dyDescent="0.25">
      <c r="A1739" t="s">
        <v>32</v>
      </c>
      <c r="B1739">
        <v>118760</v>
      </c>
      <c r="C1739">
        <v>20</v>
      </c>
      <c r="D1739" t="s">
        <v>15</v>
      </c>
      <c r="E1739">
        <v>0.05</v>
      </c>
      <c r="F1739">
        <v>0.9</v>
      </c>
      <c r="G1739">
        <v>0.4</v>
      </c>
      <c r="H1739" t="s">
        <v>17</v>
      </c>
    </row>
    <row r="1740" spans="1:8" x14ac:dyDescent="0.25">
      <c r="A1740" t="s">
        <v>16</v>
      </c>
      <c r="B1740">
        <v>111299</v>
      </c>
      <c r="C1740">
        <v>27</v>
      </c>
      <c r="D1740" t="s">
        <v>15</v>
      </c>
      <c r="E1740">
        <v>0.16</v>
      </c>
      <c r="F1740">
        <v>0.9</v>
      </c>
      <c r="G1740">
        <v>0.52</v>
      </c>
      <c r="H1740" t="s">
        <v>17</v>
      </c>
    </row>
    <row r="1741" spans="1:8" x14ac:dyDescent="0.25">
      <c r="A1741" t="s">
        <v>24</v>
      </c>
      <c r="B1741">
        <v>94535</v>
      </c>
      <c r="C1741">
        <v>1</v>
      </c>
      <c r="D1741" t="s">
        <v>15</v>
      </c>
      <c r="E1741">
        <v>0.7</v>
      </c>
      <c r="F1741">
        <v>0.71</v>
      </c>
      <c r="G1741">
        <v>0.41</v>
      </c>
      <c r="H1741" t="s">
        <v>17</v>
      </c>
    </row>
    <row r="1742" spans="1:8" x14ac:dyDescent="0.25">
      <c r="A1742" t="s">
        <v>31</v>
      </c>
      <c r="B1742">
        <v>116030</v>
      </c>
      <c r="C1742">
        <v>1</v>
      </c>
      <c r="D1742" t="s">
        <v>9</v>
      </c>
      <c r="E1742">
        <v>0.79</v>
      </c>
      <c r="F1742">
        <v>0.88</v>
      </c>
      <c r="G1742">
        <v>0.95</v>
      </c>
      <c r="H1742" t="s">
        <v>10</v>
      </c>
    </row>
    <row r="1743" spans="1:8" x14ac:dyDescent="0.25">
      <c r="A1743" t="s">
        <v>8</v>
      </c>
      <c r="B1743">
        <v>90127</v>
      </c>
      <c r="C1743">
        <v>24</v>
      </c>
      <c r="D1743" t="s">
        <v>12</v>
      </c>
      <c r="E1743">
        <v>0.08</v>
      </c>
      <c r="F1743">
        <v>1.1399999999999999</v>
      </c>
      <c r="G1743">
        <v>0.9</v>
      </c>
      <c r="H1743" t="s">
        <v>10</v>
      </c>
    </row>
    <row r="1744" spans="1:8" x14ac:dyDescent="0.25">
      <c r="A1744" t="s">
        <v>16</v>
      </c>
      <c r="B1744">
        <v>55577</v>
      </c>
      <c r="C1744">
        <v>7</v>
      </c>
      <c r="D1744" t="s">
        <v>15</v>
      </c>
      <c r="E1744">
        <v>0.81</v>
      </c>
      <c r="F1744">
        <v>1.1000000000000001</v>
      </c>
      <c r="G1744">
        <v>0.69</v>
      </c>
      <c r="H1744" t="s">
        <v>17</v>
      </c>
    </row>
    <row r="1745" spans="1:8" x14ac:dyDescent="0.25">
      <c r="A1745" t="s">
        <v>14</v>
      </c>
      <c r="B1745">
        <v>82573</v>
      </c>
      <c r="C1745">
        <v>24</v>
      </c>
      <c r="D1745" t="s">
        <v>15</v>
      </c>
      <c r="E1745">
        <v>0.95</v>
      </c>
      <c r="F1745">
        <v>0.74</v>
      </c>
      <c r="G1745">
        <v>0.89</v>
      </c>
      <c r="H1745" t="s">
        <v>10</v>
      </c>
    </row>
    <row r="1746" spans="1:8" x14ac:dyDescent="0.25">
      <c r="A1746" t="s">
        <v>30</v>
      </c>
      <c r="B1746">
        <v>44703</v>
      </c>
      <c r="C1746">
        <v>3</v>
      </c>
      <c r="D1746" t="s">
        <v>12</v>
      </c>
      <c r="E1746">
        <v>0.56000000000000005</v>
      </c>
      <c r="F1746">
        <v>0.86</v>
      </c>
      <c r="G1746">
        <v>0.09</v>
      </c>
      <c r="H1746" t="s">
        <v>13</v>
      </c>
    </row>
    <row r="1747" spans="1:8" x14ac:dyDescent="0.25">
      <c r="A1747" t="s">
        <v>18</v>
      </c>
      <c r="B1747">
        <v>66003</v>
      </c>
      <c r="C1747">
        <v>2</v>
      </c>
      <c r="D1747" t="s">
        <v>15</v>
      </c>
      <c r="E1747">
        <v>0.77</v>
      </c>
      <c r="F1747">
        <v>1.1499999999999999</v>
      </c>
      <c r="G1747">
        <v>0.42</v>
      </c>
      <c r="H1747" t="s">
        <v>17</v>
      </c>
    </row>
    <row r="1748" spans="1:8" x14ac:dyDescent="0.25">
      <c r="A1748" t="s">
        <v>11</v>
      </c>
      <c r="B1748">
        <v>44756</v>
      </c>
      <c r="C1748">
        <v>11</v>
      </c>
      <c r="D1748" t="s">
        <v>15</v>
      </c>
      <c r="E1748">
        <v>0.2</v>
      </c>
      <c r="F1748">
        <v>0.86</v>
      </c>
      <c r="G1748">
        <v>0.28999999999999998</v>
      </c>
      <c r="H1748" t="s">
        <v>13</v>
      </c>
    </row>
    <row r="1749" spans="1:8" x14ac:dyDescent="0.25">
      <c r="A1749" t="s">
        <v>27</v>
      </c>
      <c r="B1749">
        <v>45380</v>
      </c>
      <c r="C1749">
        <v>20</v>
      </c>
      <c r="D1749" t="s">
        <v>28</v>
      </c>
      <c r="E1749">
        <v>0.04</v>
      </c>
      <c r="F1749">
        <v>1</v>
      </c>
      <c r="G1749">
        <v>0.32</v>
      </c>
      <c r="H1749" t="s">
        <v>17</v>
      </c>
    </row>
    <row r="1750" spans="1:8" x14ac:dyDescent="0.25">
      <c r="A1750" t="s">
        <v>31</v>
      </c>
      <c r="B1750">
        <v>139044</v>
      </c>
      <c r="C1750">
        <v>6</v>
      </c>
      <c r="D1750" t="s">
        <v>15</v>
      </c>
      <c r="E1750">
        <v>0.19</v>
      </c>
      <c r="F1750">
        <v>1.23</v>
      </c>
      <c r="G1750">
        <v>0.83</v>
      </c>
      <c r="H1750" t="s">
        <v>10</v>
      </c>
    </row>
    <row r="1751" spans="1:8" x14ac:dyDescent="0.25">
      <c r="A1751" t="s">
        <v>26</v>
      </c>
      <c r="B1751">
        <v>114705</v>
      </c>
      <c r="C1751">
        <v>29</v>
      </c>
      <c r="D1751" t="s">
        <v>9</v>
      </c>
      <c r="E1751">
        <v>0.52</v>
      </c>
      <c r="F1751">
        <v>1.45</v>
      </c>
      <c r="G1751">
        <v>0.56000000000000005</v>
      </c>
      <c r="H1751" t="s">
        <v>17</v>
      </c>
    </row>
    <row r="1752" spans="1:8" x14ac:dyDescent="0.25">
      <c r="A1752" t="s">
        <v>33</v>
      </c>
      <c r="B1752">
        <v>141375</v>
      </c>
      <c r="C1752">
        <v>16</v>
      </c>
      <c r="D1752" t="s">
        <v>12</v>
      </c>
      <c r="E1752">
        <v>0.34</v>
      </c>
      <c r="F1752">
        <v>1.41</v>
      </c>
      <c r="G1752">
        <v>0.09</v>
      </c>
      <c r="H1752" t="s">
        <v>13</v>
      </c>
    </row>
    <row r="1753" spans="1:8" x14ac:dyDescent="0.25">
      <c r="A1753" t="s">
        <v>14</v>
      </c>
      <c r="B1753">
        <v>135454</v>
      </c>
      <c r="C1753">
        <v>16</v>
      </c>
      <c r="D1753" t="s">
        <v>12</v>
      </c>
      <c r="E1753">
        <v>0.19</v>
      </c>
      <c r="F1753">
        <v>0.97</v>
      </c>
      <c r="G1753">
        <v>0.91</v>
      </c>
      <c r="H1753" t="s">
        <v>10</v>
      </c>
    </row>
    <row r="1754" spans="1:8" x14ac:dyDescent="0.25">
      <c r="A1754" t="s">
        <v>11</v>
      </c>
      <c r="B1754">
        <v>55903</v>
      </c>
      <c r="C1754">
        <v>23</v>
      </c>
      <c r="D1754" t="s">
        <v>9</v>
      </c>
      <c r="E1754">
        <v>0.26</v>
      </c>
      <c r="F1754">
        <v>0.68</v>
      </c>
      <c r="G1754">
        <v>0.09</v>
      </c>
      <c r="H1754" t="s">
        <v>13</v>
      </c>
    </row>
    <row r="1755" spans="1:8" x14ac:dyDescent="0.25">
      <c r="A1755" t="s">
        <v>29</v>
      </c>
      <c r="B1755">
        <v>55036</v>
      </c>
      <c r="C1755">
        <v>21</v>
      </c>
      <c r="D1755" t="s">
        <v>15</v>
      </c>
      <c r="E1755">
        <v>0.44</v>
      </c>
      <c r="F1755">
        <v>0.94</v>
      </c>
      <c r="G1755">
        <v>0.83</v>
      </c>
      <c r="H1755" t="s">
        <v>10</v>
      </c>
    </row>
    <row r="1756" spans="1:8" x14ac:dyDescent="0.25">
      <c r="A1756" t="s">
        <v>18</v>
      </c>
      <c r="B1756">
        <v>117309</v>
      </c>
      <c r="C1756">
        <v>8</v>
      </c>
      <c r="D1756" t="s">
        <v>12</v>
      </c>
      <c r="E1756">
        <v>0.77</v>
      </c>
      <c r="F1756">
        <v>1.24</v>
      </c>
      <c r="G1756">
        <v>0.44</v>
      </c>
      <c r="H1756" t="s">
        <v>17</v>
      </c>
    </row>
    <row r="1757" spans="1:8" x14ac:dyDescent="0.25">
      <c r="A1757" t="s">
        <v>16</v>
      </c>
      <c r="B1757">
        <v>100412</v>
      </c>
      <c r="C1757">
        <v>21</v>
      </c>
      <c r="D1757" t="s">
        <v>28</v>
      </c>
      <c r="E1757">
        <v>0.28000000000000003</v>
      </c>
      <c r="F1757">
        <v>0.61</v>
      </c>
      <c r="G1757">
        <v>0.56999999999999995</v>
      </c>
      <c r="H1757" t="s">
        <v>17</v>
      </c>
    </row>
    <row r="1758" spans="1:8" x14ac:dyDescent="0.25">
      <c r="A1758" t="s">
        <v>18</v>
      </c>
      <c r="B1758">
        <v>32414</v>
      </c>
      <c r="C1758">
        <v>16</v>
      </c>
      <c r="D1758" t="s">
        <v>28</v>
      </c>
      <c r="E1758">
        <v>0.84</v>
      </c>
      <c r="F1758">
        <v>1.04</v>
      </c>
      <c r="G1758">
        <v>0.6</v>
      </c>
      <c r="H1758" t="s">
        <v>17</v>
      </c>
    </row>
    <row r="1759" spans="1:8" x14ac:dyDescent="0.25">
      <c r="A1759" t="s">
        <v>20</v>
      </c>
      <c r="B1759">
        <v>140419</v>
      </c>
      <c r="C1759">
        <v>14</v>
      </c>
      <c r="D1759" t="s">
        <v>12</v>
      </c>
      <c r="E1759">
        <v>0.28999999999999998</v>
      </c>
      <c r="F1759">
        <v>0.98</v>
      </c>
      <c r="G1759">
        <v>0.46</v>
      </c>
      <c r="H1759" t="s">
        <v>17</v>
      </c>
    </row>
    <row r="1760" spans="1:8" x14ac:dyDescent="0.25">
      <c r="A1760" t="s">
        <v>11</v>
      </c>
      <c r="B1760">
        <v>55976</v>
      </c>
      <c r="C1760">
        <v>17</v>
      </c>
      <c r="D1760" t="s">
        <v>9</v>
      </c>
      <c r="E1760">
        <v>0.11</v>
      </c>
      <c r="F1760">
        <v>1.01</v>
      </c>
      <c r="G1760">
        <v>0.18</v>
      </c>
      <c r="H1760" t="s">
        <v>13</v>
      </c>
    </row>
    <row r="1761" spans="1:8" x14ac:dyDescent="0.25">
      <c r="A1761" t="s">
        <v>30</v>
      </c>
      <c r="B1761">
        <v>78787</v>
      </c>
      <c r="C1761">
        <v>25</v>
      </c>
      <c r="D1761" t="s">
        <v>9</v>
      </c>
      <c r="E1761">
        <v>0.96</v>
      </c>
      <c r="F1761">
        <v>1.0900000000000001</v>
      </c>
      <c r="G1761">
        <v>0.13</v>
      </c>
      <c r="H1761" t="s">
        <v>13</v>
      </c>
    </row>
    <row r="1762" spans="1:8" x14ac:dyDescent="0.25">
      <c r="A1762" t="s">
        <v>8</v>
      </c>
      <c r="B1762">
        <v>104918</v>
      </c>
      <c r="C1762">
        <v>4</v>
      </c>
      <c r="D1762" t="s">
        <v>15</v>
      </c>
      <c r="E1762">
        <v>0.41</v>
      </c>
      <c r="F1762">
        <v>1.21</v>
      </c>
      <c r="G1762">
        <v>0.92</v>
      </c>
      <c r="H1762" t="s">
        <v>10</v>
      </c>
    </row>
    <row r="1763" spans="1:8" x14ac:dyDescent="0.25">
      <c r="A1763" t="s">
        <v>29</v>
      </c>
      <c r="B1763">
        <v>118121</v>
      </c>
      <c r="C1763">
        <v>25</v>
      </c>
      <c r="D1763" t="s">
        <v>9</v>
      </c>
      <c r="E1763">
        <v>0.46</v>
      </c>
      <c r="F1763">
        <v>1.18</v>
      </c>
      <c r="G1763">
        <v>0.83</v>
      </c>
      <c r="H1763" t="s">
        <v>10</v>
      </c>
    </row>
    <row r="1764" spans="1:8" x14ac:dyDescent="0.25">
      <c r="A1764" t="s">
        <v>31</v>
      </c>
      <c r="B1764">
        <v>34847</v>
      </c>
      <c r="C1764">
        <v>10</v>
      </c>
      <c r="D1764" t="s">
        <v>12</v>
      </c>
      <c r="E1764">
        <v>0.21</v>
      </c>
      <c r="F1764">
        <v>1.23</v>
      </c>
      <c r="G1764">
        <v>0.82</v>
      </c>
      <c r="H1764" t="s">
        <v>10</v>
      </c>
    </row>
    <row r="1765" spans="1:8" x14ac:dyDescent="0.25">
      <c r="A1765" t="s">
        <v>29</v>
      </c>
      <c r="B1765">
        <v>100182</v>
      </c>
      <c r="C1765">
        <v>12</v>
      </c>
      <c r="D1765" t="s">
        <v>12</v>
      </c>
      <c r="E1765">
        <v>0.78</v>
      </c>
      <c r="F1765">
        <v>1.04</v>
      </c>
      <c r="G1765">
        <v>0.76</v>
      </c>
      <c r="H1765" t="s">
        <v>10</v>
      </c>
    </row>
    <row r="1766" spans="1:8" x14ac:dyDescent="0.25">
      <c r="A1766" t="s">
        <v>16</v>
      </c>
      <c r="B1766">
        <v>128757</v>
      </c>
      <c r="C1766">
        <v>14</v>
      </c>
      <c r="D1766" t="s">
        <v>12</v>
      </c>
      <c r="E1766">
        <v>0.41</v>
      </c>
      <c r="F1766">
        <v>0.85</v>
      </c>
      <c r="G1766">
        <v>0.34</v>
      </c>
      <c r="H1766" t="s">
        <v>17</v>
      </c>
    </row>
    <row r="1767" spans="1:8" x14ac:dyDescent="0.25">
      <c r="A1767" t="s">
        <v>24</v>
      </c>
      <c r="B1767">
        <v>129584</v>
      </c>
      <c r="C1767">
        <v>7</v>
      </c>
      <c r="D1767" t="s">
        <v>28</v>
      </c>
      <c r="E1767">
        <v>0.77</v>
      </c>
      <c r="F1767">
        <v>1.2</v>
      </c>
      <c r="G1767">
        <v>0.36</v>
      </c>
      <c r="H1767" t="s">
        <v>17</v>
      </c>
    </row>
    <row r="1768" spans="1:8" x14ac:dyDescent="0.25">
      <c r="A1768" t="s">
        <v>14</v>
      </c>
      <c r="B1768">
        <v>59476</v>
      </c>
      <c r="C1768">
        <v>5</v>
      </c>
      <c r="D1768" t="s">
        <v>9</v>
      </c>
      <c r="E1768">
        <v>0.03</v>
      </c>
      <c r="F1768">
        <v>0.5</v>
      </c>
      <c r="G1768">
        <v>0.77</v>
      </c>
      <c r="H1768" t="s">
        <v>10</v>
      </c>
    </row>
    <row r="1769" spans="1:8" x14ac:dyDescent="0.25">
      <c r="A1769" t="s">
        <v>11</v>
      </c>
      <c r="B1769">
        <v>81880</v>
      </c>
      <c r="C1769">
        <v>3</v>
      </c>
      <c r="D1769" t="s">
        <v>9</v>
      </c>
      <c r="E1769">
        <v>0.52</v>
      </c>
      <c r="F1769">
        <v>1.08</v>
      </c>
      <c r="G1769">
        <v>0.24</v>
      </c>
      <c r="H1769" t="s">
        <v>13</v>
      </c>
    </row>
    <row r="1770" spans="1:8" x14ac:dyDescent="0.25">
      <c r="A1770" t="s">
        <v>19</v>
      </c>
      <c r="B1770">
        <v>148283</v>
      </c>
      <c r="C1770">
        <v>25</v>
      </c>
      <c r="D1770" t="s">
        <v>28</v>
      </c>
      <c r="E1770">
        <v>0.37</v>
      </c>
      <c r="F1770">
        <v>1.48</v>
      </c>
      <c r="G1770">
        <v>0.08</v>
      </c>
      <c r="H1770" t="s">
        <v>13</v>
      </c>
    </row>
    <row r="1771" spans="1:8" x14ac:dyDescent="0.25">
      <c r="A1771" t="s">
        <v>25</v>
      </c>
      <c r="B1771">
        <v>32393</v>
      </c>
      <c r="C1771">
        <v>24</v>
      </c>
      <c r="D1771" t="s">
        <v>12</v>
      </c>
      <c r="E1771">
        <v>0.59</v>
      </c>
      <c r="F1771">
        <v>1.22</v>
      </c>
      <c r="G1771">
        <v>0.56000000000000005</v>
      </c>
      <c r="H1771" t="s">
        <v>17</v>
      </c>
    </row>
    <row r="1772" spans="1:8" x14ac:dyDescent="0.25">
      <c r="A1772" t="s">
        <v>29</v>
      </c>
      <c r="B1772">
        <v>35481</v>
      </c>
      <c r="C1772">
        <v>1</v>
      </c>
      <c r="D1772" t="s">
        <v>15</v>
      </c>
      <c r="E1772">
        <v>0.13</v>
      </c>
      <c r="F1772">
        <v>1.39</v>
      </c>
      <c r="G1772">
        <v>0.89</v>
      </c>
      <c r="H1772" t="s">
        <v>10</v>
      </c>
    </row>
    <row r="1773" spans="1:8" x14ac:dyDescent="0.25">
      <c r="A1773" t="s">
        <v>26</v>
      </c>
      <c r="B1773">
        <v>137033</v>
      </c>
      <c r="C1773">
        <v>28</v>
      </c>
      <c r="D1773" t="s">
        <v>28</v>
      </c>
      <c r="E1773">
        <v>0.88</v>
      </c>
      <c r="F1773">
        <v>1.24</v>
      </c>
      <c r="G1773">
        <v>0.48</v>
      </c>
      <c r="H1773" t="s">
        <v>17</v>
      </c>
    </row>
    <row r="1774" spans="1:8" x14ac:dyDescent="0.25">
      <c r="A1774" t="s">
        <v>19</v>
      </c>
      <c r="B1774">
        <v>49361</v>
      </c>
      <c r="C1774">
        <v>20</v>
      </c>
      <c r="D1774" t="s">
        <v>9</v>
      </c>
      <c r="E1774">
        <v>0.68</v>
      </c>
      <c r="F1774">
        <v>1.34</v>
      </c>
      <c r="G1774">
        <v>0.17</v>
      </c>
      <c r="H1774" t="s">
        <v>13</v>
      </c>
    </row>
    <row r="1775" spans="1:8" x14ac:dyDescent="0.25">
      <c r="A1775" t="s">
        <v>21</v>
      </c>
      <c r="B1775">
        <v>59146</v>
      </c>
      <c r="C1775">
        <v>9</v>
      </c>
      <c r="D1775" t="s">
        <v>28</v>
      </c>
      <c r="E1775">
        <v>0.04</v>
      </c>
      <c r="F1775">
        <v>1.43</v>
      </c>
      <c r="G1775">
        <v>0.1</v>
      </c>
      <c r="H1775" t="s">
        <v>13</v>
      </c>
    </row>
    <row r="1776" spans="1:8" x14ac:dyDescent="0.25">
      <c r="A1776" t="s">
        <v>18</v>
      </c>
      <c r="B1776">
        <v>113102</v>
      </c>
      <c r="C1776">
        <v>26</v>
      </c>
      <c r="D1776" t="s">
        <v>12</v>
      </c>
      <c r="E1776">
        <v>0.75</v>
      </c>
      <c r="F1776">
        <v>1.34</v>
      </c>
      <c r="G1776">
        <v>0.67</v>
      </c>
      <c r="H1776" t="s">
        <v>17</v>
      </c>
    </row>
    <row r="1777" spans="1:8" x14ac:dyDescent="0.25">
      <c r="A1777" t="s">
        <v>24</v>
      </c>
      <c r="B1777">
        <v>37769</v>
      </c>
      <c r="C1777">
        <v>22</v>
      </c>
      <c r="D1777" t="s">
        <v>12</v>
      </c>
      <c r="E1777">
        <v>0.41</v>
      </c>
      <c r="F1777">
        <v>0.96</v>
      </c>
      <c r="G1777">
        <v>0.33</v>
      </c>
      <c r="H1777" t="s">
        <v>17</v>
      </c>
    </row>
    <row r="1778" spans="1:8" x14ac:dyDescent="0.25">
      <c r="A1778" t="s">
        <v>23</v>
      </c>
      <c r="B1778">
        <v>126939</v>
      </c>
      <c r="C1778">
        <v>9</v>
      </c>
      <c r="D1778" t="s">
        <v>15</v>
      </c>
      <c r="E1778">
        <v>0.5</v>
      </c>
      <c r="F1778">
        <v>1.1100000000000001</v>
      </c>
      <c r="G1778">
        <v>0.82</v>
      </c>
      <c r="H1778" t="s">
        <v>10</v>
      </c>
    </row>
    <row r="1779" spans="1:8" x14ac:dyDescent="0.25">
      <c r="A1779" t="s">
        <v>29</v>
      </c>
      <c r="B1779">
        <v>68226</v>
      </c>
      <c r="C1779">
        <v>11</v>
      </c>
      <c r="D1779" t="s">
        <v>12</v>
      </c>
      <c r="E1779">
        <v>0.79</v>
      </c>
      <c r="F1779">
        <v>1.41</v>
      </c>
      <c r="G1779">
        <v>0.85</v>
      </c>
      <c r="H1779" t="s">
        <v>10</v>
      </c>
    </row>
    <row r="1780" spans="1:8" x14ac:dyDescent="0.25">
      <c r="A1780" t="s">
        <v>23</v>
      </c>
      <c r="B1780">
        <v>99516</v>
      </c>
      <c r="C1780">
        <v>21</v>
      </c>
      <c r="D1780" t="s">
        <v>12</v>
      </c>
      <c r="E1780">
        <v>0.46</v>
      </c>
      <c r="F1780">
        <v>1.44</v>
      </c>
      <c r="G1780">
        <v>0.72</v>
      </c>
      <c r="H1780" t="s">
        <v>10</v>
      </c>
    </row>
    <row r="1781" spans="1:8" x14ac:dyDescent="0.25">
      <c r="A1781" t="s">
        <v>8</v>
      </c>
      <c r="B1781">
        <v>143645</v>
      </c>
      <c r="C1781">
        <v>26</v>
      </c>
      <c r="D1781" t="s">
        <v>28</v>
      </c>
      <c r="E1781">
        <v>0.78</v>
      </c>
      <c r="F1781">
        <v>0.62</v>
      </c>
      <c r="G1781">
        <v>0.91</v>
      </c>
      <c r="H1781" t="s">
        <v>10</v>
      </c>
    </row>
    <row r="1782" spans="1:8" x14ac:dyDescent="0.25">
      <c r="A1782" t="s">
        <v>27</v>
      </c>
      <c r="B1782">
        <v>134230</v>
      </c>
      <c r="C1782">
        <v>21</v>
      </c>
      <c r="D1782" t="s">
        <v>9</v>
      </c>
      <c r="E1782">
        <v>0.11</v>
      </c>
      <c r="F1782">
        <v>1.05</v>
      </c>
      <c r="G1782">
        <v>0.36</v>
      </c>
      <c r="H1782" t="s">
        <v>17</v>
      </c>
    </row>
    <row r="1783" spans="1:8" x14ac:dyDescent="0.25">
      <c r="A1783" t="s">
        <v>25</v>
      </c>
      <c r="B1783">
        <v>53167</v>
      </c>
      <c r="C1783">
        <v>22</v>
      </c>
      <c r="D1783" t="s">
        <v>15</v>
      </c>
      <c r="E1783">
        <v>0.28000000000000003</v>
      </c>
      <c r="F1783">
        <v>1.34</v>
      </c>
      <c r="G1783">
        <v>0.38</v>
      </c>
      <c r="H1783" t="s">
        <v>17</v>
      </c>
    </row>
    <row r="1784" spans="1:8" x14ac:dyDescent="0.25">
      <c r="A1784" t="s">
        <v>24</v>
      </c>
      <c r="B1784">
        <v>52772</v>
      </c>
      <c r="C1784">
        <v>29</v>
      </c>
      <c r="D1784" t="s">
        <v>12</v>
      </c>
      <c r="E1784">
        <v>0.01</v>
      </c>
      <c r="F1784">
        <v>1.03</v>
      </c>
      <c r="G1784">
        <v>0.39</v>
      </c>
      <c r="H1784" t="s">
        <v>17</v>
      </c>
    </row>
    <row r="1785" spans="1:8" x14ac:dyDescent="0.25">
      <c r="A1785" t="s">
        <v>21</v>
      </c>
      <c r="B1785">
        <v>55354</v>
      </c>
      <c r="C1785">
        <v>29</v>
      </c>
      <c r="D1785" t="s">
        <v>28</v>
      </c>
      <c r="E1785">
        <v>0.19</v>
      </c>
      <c r="F1785">
        <v>1.0900000000000001</v>
      </c>
      <c r="G1785">
        <v>0.06</v>
      </c>
      <c r="H1785" t="s">
        <v>13</v>
      </c>
    </row>
    <row r="1786" spans="1:8" x14ac:dyDescent="0.25">
      <c r="A1786" t="s">
        <v>25</v>
      </c>
      <c r="B1786">
        <v>51942</v>
      </c>
      <c r="C1786">
        <v>7</v>
      </c>
      <c r="D1786" t="s">
        <v>28</v>
      </c>
      <c r="E1786">
        <v>0.81</v>
      </c>
      <c r="F1786">
        <v>1.45</v>
      </c>
      <c r="G1786">
        <v>0.56999999999999995</v>
      </c>
      <c r="H1786" t="s">
        <v>17</v>
      </c>
    </row>
    <row r="1787" spans="1:8" x14ac:dyDescent="0.25">
      <c r="A1787" t="s">
        <v>22</v>
      </c>
      <c r="B1787">
        <v>38152</v>
      </c>
      <c r="C1787">
        <v>6</v>
      </c>
      <c r="D1787" t="s">
        <v>15</v>
      </c>
      <c r="E1787">
        <v>0.11</v>
      </c>
      <c r="F1787">
        <v>0.71</v>
      </c>
      <c r="G1787">
        <v>0.37</v>
      </c>
      <c r="H1787" t="s">
        <v>17</v>
      </c>
    </row>
    <row r="1788" spans="1:8" x14ac:dyDescent="0.25">
      <c r="A1788" t="s">
        <v>27</v>
      </c>
      <c r="B1788">
        <v>134753</v>
      </c>
      <c r="C1788">
        <v>3</v>
      </c>
      <c r="D1788" t="s">
        <v>9</v>
      </c>
      <c r="E1788">
        <v>0.67</v>
      </c>
      <c r="F1788">
        <v>0.65</v>
      </c>
      <c r="G1788">
        <v>0.56999999999999995</v>
      </c>
      <c r="H1788" t="s">
        <v>17</v>
      </c>
    </row>
    <row r="1789" spans="1:8" x14ac:dyDescent="0.25">
      <c r="A1789" t="s">
        <v>22</v>
      </c>
      <c r="B1789">
        <v>42061</v>
      </c>
      <c r="C1789">
        <v>5</v>
      </c>
      <c r="D1789" t="s">
        <v>15</v>
      </c>
      <c r="E1789">
        <v>0.32</v>
      </c>
      <c r="F1789">
        <v>1.03</v>
      </c>
      <c r="G1789">
        <v>0.64</v>
      </c>
      <c r="H1789" t="s">
        <v>17</v>
      </c>
    </row>
    <row r="1790" spans="1:8" x14ac:dyDescent="0.25">
      <c r="A1790" t="s">
        <v>22</v>
      </c>
      <c r="B1790">
        <v>76350</v>
      </c>
      <c r="C1790">
        <v>12</v>
      </c>
      <c r="D1790" t="s">
        <v>15</v>
      </c>
      <c r="E1790">
        <v>0.08</v>
      </c>
      <c r="F1790">
        <v>0.95</v>
      </c>
      <c r="G1790">
        <v>0.56999999999999995</v>
      </c>
      <c r="H1790" t="s">
        <v>17</v>
      </c>
    </row>
    <row r="1791" spans="1:8" x14ac:dyDescent="0.25">
      <c r="A1791" t="s">
        <v>18</v>
      </c>
      <c r="B1791">
        <v>99828</v>
      </c>
      <c r="C1791">
        <v>27</v>
      </c>
      <c r="D1791" t="s">
        <v>28</v>
      </c>
      <c r="E1791">
        <v>0.63</v>
      </c>
      <c r="F1791">
        <v>1.43</v>
      </c>
      <c r="G1791">
        <v>0.53</v>
      </c>
      <c r="H1791" t="s">
        <v>17</v>
      </c>
    </row>
    <row r="1792" spans="1:8" x14ac:dyDescent="0.25">
      <c r="A1792" t="s">
        <v>27</v>
      </c>
      <c r="B1792">
        <v>37084</v>
      </c>
      <c r="C1792">
        <v>11</v>
      </c>
      <c r="D1792" t="s">
        <v>28</v>
      </c>
      <c r="E1792">
        <v>0.97</v>
      </c>
      <c r="F1792">
        <v>0.84</v>
      </c>
      <c r="G1792">
        <v>0.35</v>
      </c>
      <c r="H1792" t="s">
        <v>17</v>
      </c>
    </row>
    <row r="1793" spans="1:8" x14ac:dyDescent="0.25">
      <c r="A1793" t="s">
        <v>32</v>
      </c>
      <c r="B1793">
        <v>112617</v>
      </c>
      <c r="C1793">
        <v>26</v>
      </c>
      <c r="D1793" t="s">
        <v>15</v>
      </c>
      <c r="E1793">
        <v>0.84</v>
      </c>
      <c r="F1793">
        <v>1.25</v>
      </c>
      <c r="G1793">
        <v>0.59</v>
      </c>
      <c r="H1793" t="s">
        <v>17</v>
      </c>
    </row>
    <row r="1794" spans="1:8" x14ac:dyDescent="0.25">
      <c r="A1794" t="s">
        <v>8</v>
      </c>
      <c r="B1794">
        <v>36486</v>
      </c>
      <c r="C1794">
        <v>5</v>
      </c>
      <c r="D1794" t="s">
        <v>28</v>
      </c>
      <c r="E1794">
        <v>7.0000000000000007E-2</v>
      </c>
      <c r="F1794">
        <v>0.61</v>
      </c>
      <c r="G1794">
        <v>0.86</v>
      </c>
      <c r="H1794" t="s">
        <v>10</v>
      </c>
    </row>
    <row r="1795" spans="1:8" x14ac:dyDescent="0.25">
      <c r="A1795" t="s">
        <v>16</v>
      </c>
      <c r="B1795">
        <v>107925</v>
      </c>
      <c r="C1795">
        <v>19</v>
      </c>
      <c r="D1795" t="s">
        <v>12</v>
      </c>
      <c r="E1795">
        <v>0.77</v>
      </c>
      <c r="F1795">
        <v>1</v>
      </c>
      <c r="G1795">
        <v>0.62</v>
      </c>
      <c r="H1795" t="s">
        <v>17</v>
      </c>
    </row>
    <row r="1796" spans="1:8" x14ac:dyDescent="0.25">
      <c r="A1796" t="s">
        <v>20</v>
      </c>
      <c r="B1796">
        <v>52474</v>
      </c>
      <c r="C1796">
        <v>27</v>
      </c>
      <c r="D1796" t="s">
        <v>9</v>
      </c>
      <c r="E1796">
        <v>0.17</v>
      </c>
      <c r="F1796">
        <v>0.91</v>
      </c>
      <c r="G1796">
        <v>0.34</v>
      </c>
      <c r="H1796" t="s">
        <v>17</v>
      </c>
    </row>
    <row r="1797" spans="1:8" x14ac:dyDescent="0.25">
      <c r="A1797" t="s">
        <v>31</v>
      </c>
      <c r="B1797">
        <v>48274</v>
      </c>
      <c r="C1797">
        <v>11</v>
      </c>
      <c r="D1797" t="s">
        <v>28</v>
      </c>
      <c r="E1797">
        <v>0.67</v>
      </c>
      <c r="F1797">
        <v>1.3</v>
      </c>
      <c r="G1797">
        <v>0.71</v>
      </c>
      <c r="H1797" t="s">
        <v>10</v>
      </c>
    </row>
    <row r="1798" spans="1:8" x14ac:dyDescent="0.25">
      <c r="A1798" t="s">
        <v>34</v>
      </c>
      <c r="B1798">
        <v>79696</v>
      </c>
      <c r="C1798">
        <v>28</v>
      </c>
      <c r="D1798" t="s">
        <v>12</v>
      </c>
      <c r="E1798">
        <v>0.31</v>
      </c>
      <c r="F1798">
        <v>0.94</v>
      </c>
      <c r="G1798">
        <v>0.44</v>
      </c>
      <c r="H1798" t="s">
        <v>17</v>
      </c>
    </row>
    <row r="1799" spans="1:8" x14ac:dyDescent="0.25">
      <c r="A1799" t="s">
        <v>24</v>
      </c>
      <c r="B1799">
        <v>82736</v>
      </c>
      <c r="C1799">
        <v>21</v>
      </c>
      <c r="D1799" t="s">
        <v>12</v>
      </c>
      <c r="E1799">
        <v>0.01</v>
      </c>
      <c r="F1799">
        <v>0.72</v>
      </c>
      <c r="G1799">
        <v>0.57999999999999996</v>
      </c>
      <c r="H1799" t="s">
        <v>17</v>
      </c>
    </row>
    <row r="1800" spans="1:8" x14ac:dyDescent="0.25">
      <c r="A1800" t="s">
        <v>30</v>
      </c>
      <c r="B1800">
        <v>65539</v>
      </c>
      <c r="C1800">
        <v>9</v>
      </c>
      <c r="D1800" t="s">
        <v>28</v>
      </c>
      <c r="E1800">
        <v>0.33</v>
      </c>
      <c r="F1800">
        <v>1.1599999999999999</v>
      </c>
      <c r="G1800">
        <v>0.19</v>
      </c>
      <c r="H1800" t="s">
        <v>13</v>
      </c>
    </row>
    <row r="1801" spans="1:8" x14ac:dyDescent="0.25">
      <c r="A1801" t="s">
        <v>34</v>
      </c>
      <c r="B1801">
        <v>71135</v>
      </c>
      <c r="C1801">
        <v>9</v>
      </c>
      <c r="D1801" t="s">
        <v>28</v>
      </c>
      <c r="E1801">
        <v>0.71</v>
      </c>
      <c r="F1801">
        <v>1.42</v>
      </c>
      <c r="G1801">
        <v>0.53</v>
      </c>
      <c r="H1801" t="s">
        <v>17</v>
      </c>
    </row>
    <row r="1802" spans="1:8" x14ac:dyDescent="0.25">
      <c r="A1802" t="s">
        <v>25</v>
      </c>
      <c r="B1802">
        <v>107487</v>
      </c>
      <c r="C1802">
        <v>3</v>
      </c>
      <c r="D1802" t="s">
        <v>28</v>
      </c>
      <c r="E1802">
        <v>0.05</v>
      </c>
      <c r="F1802">
        <v>0.57999999999999996</v>
      </c>
      <c r="G1802">
        <v>0.32</v>
      </c>
      <c r="H1802" t="s">
        <v>17</v>
      </c>
    </row>
    <row r="1803" spans="1:8" x14ac:dyDescent="0.25">
      <c r="A1803" t="s">
        <v>24</v>
      </c>
      <c r="B1803">
        <v>146298</v>
      </c>
      <c r="C1803">
        <v>6</v>
      </c>
      <c r="D1803" t="s">
        <v>28</v>
      </c>
      <c r="E1803">
        <v>0.64</v>
      </c>
      <c r="F1803">
        <v>1.04</v>
      </c>
      <c r="G1803">
        <v>0.54</v>
      </c>
      <c r="H1803" t="s">
        <v>17</v>
      </c>
    </row>
    <row r="1804" spans="1:8" x14ac:dyDescent="0.25">
      <c r="A1804" t="s">
        <v>32</v>
      </c>
      <c r="B1804">
        <v>144571</v>
      </c>
      <c r="C1804">
        <v>22</v>
      </c>
      <c r="D1804" t="s">
        <v>9</v>
      </c>
      <c r="E1804">
        <v>0.38</v>
      </c>
      <c r="F1804">
        <v>0.68</v>
      </c>
      <c r="G1804">
        <v>0.56000000000000005</v>
      </c>
      <c r="H1804" t="s">
        <v>17</v>
      </c>
    </row>
    <row r="1805" spans="1:8" x14ac:dyDescent="0.25">
      <c r="A1805" t="s">
        <v>16</v>
      </c>
      <c r="B1805">
        <v>112753</v>
      </c>
      <c r="C1805">
        <v>1</v>
      </c>
      <c r="D1805" t="s">
        <v>9</v>
      </c>
      <c r="E1805">
        <v>0.38</v>
      </c>
      <c r="F1805">
        <v>0.67</v>
      </c>
      <c r="G1805">
        <v>0.64</v>
      </c>
      <c r="H1805" t="s">
        <v>17</v>
      </c>
    </row>
    <row r="1806" spans="1:8" x14ac:dyDescent="0.25">
      <c r="A1806" t="s">
        <v>16</v>
      </c>
      <c r="B1806">
        <v>81716</v>
      </c>
      <c r="C1806">
        <v>26</v>
      </c>
      <c r="D1806" t="s">
        <v>9</v>
      </c>
      <c r="E1806">
        <v>0.88</v>
      </c>
      <c r="F1806">
        <v>0.66</v>
      </c>
      <c r="G1806">
        <v>0.47</v>
      </c>
      <c r="H1806" t="s">
        <v>17</v>
      </c>
    </row>
    <row r="1807" spans="1:8" x14ac:dyDescent="0.25">
      <c r="A1807" t="s">
        <v>19</v>
      </c>
      <c r="B1807">
        <v>46250</v>
      </c>
      <c r="C1807">
        <v>19</v>
      </c>
      <c r="D1807" t="s">
        <v>12</v>
      </c>
      <c r="E1807">
        <v>0.34</v>
      </c>
      <c r="F1807">
        <v>1.1399999999999999</v>
      </c>
      <c r="G1807">
        <v>0.28999999999999998</v>
      </c>
      <c r="H1807" t="s">
        <v>13</v>
      </c>
    </row>
    <row r="1808" spans="1:8" x14ac:dyDescent="0.25">
      <c r="A1808" t="s">
        <v>30</v>
      </c>
      <c r="B1808">
        <v>102006</v>
      </c>
      <c r="C1808">
        <v>17</v>
      </c>
      <c r="D1808" t="s">
        <v>28</v>
      </c>
      <c r="E1808">
        <v>0.14000000000000001</v>
      </c>
      <c r="F1808">
        <v>0.84</v>
      </c>
      <c r="G1808">
        <v>0.25</v>
      </c>
      <c r="H1808" t="s">
        <v>13</v>
      </c>
    </row>
    <row r="1809" spans="1:8" x14ac:dyDescent="0.25">
      <c r="A1809" t="s">
        <v>30</v>
      </c>
      <c r="B1809">
        <v>60837</v>
      </c>
      <c r="C1809">
        <v>5</v>
      </c>
      <c r="D1809" t="s">
        <v>9</v>
      </c>
      <c r="E1809">
        <v>0.67</v>
      </c>
      <c r="F1809">
        <v>1.1100000000000001</v>
      </c>
      <c r="G1809">
        <v>0.23</v>
      </c>
      <c r="H1809" t="s">
        <v>13</v>
      </c>
    </row>
    <row r="1810" spans="1:8" x14ac:dyDescent="0.25">
      <c r="A1810" t="s">
        <v>26</v>
      </c>
      <c r="B1810">
        <v>66742</v>
      </c>
      <c r="C1810">
        <v>3</v>
      </c>
      <c r="D1810" t="s">
        <v>15</v>
      </c>
      <c r="E1810">
        <v>0.6</v>
      </c>
      <c r="F1810">
        <v>0.97</v>
      </c>
      <c r="G1810">
        <v>0.43</v>
      </c>
      <c r="H1810" t="s">
        <v>17</v>
      </c>
    </row>
    <row r="1811" spans="1:8" x14ac:dyDescent="0.25">
      <c r="A1811" t="s">
        <v>27</v>
      </c>
      <c r="B1811">
        <v>119131</v>
      </c>
      <c r="C1811">
        <v>10</v>
      </c>
      <c r="D1811" t="s">
        <v>12</v>
      </c>
      <c r="E1811">
        <v>0.56000000000000005</v>
      </c>
      <c r="F1811">
        <v>0.75</v>
      </c>
      <c r="G1811">
        <v>0.31</v>
      </c>
      <c r="H1811" t="s">
        <v>17</v>
      </c>
    </row>
    <row r="1812" spans="1:8" x14ac:dyDescent="0.25">
      <c r="A1812" t="s">
        <v>20</v>
      </c>
      <c r="B1812">
        <v>107497</v>
      </c>
      <c r="C1812">
        <v>29</v>
      </c>
      <c r="D1812" t="s">
        <v>12</v>
      </c>
      <c r="E1812">
        <v>0.56000000000000005</v>
      </c>
      <c r="F1812">
        <v>1.26</v>
      </c>
      <c r="G1812">
        <v>0.61</v>
      </c>
      <c r="H1812" t="s">
        <v>17</v>
      </c>
    </row>
    <row r="1813" spans="1:8" x14ac:dyDescent="0.25">
      <c r="A1813" t="s">
        <v>22</v>
      </c>
      <c r="B1813">
        <v>57788</v>
      </c>
      <c r="C1813">
        <v>14</v>
      </c>
      <c r="D1813" t="s">
        <v>12</v>
      </c>
      <c r="E1813">
        <v>0.68</v>
      </c>
      <c r="F1813">
        <v>0.82</v>
      </c>
      <c r="G1813">
        <v>0.35</v>
      </c>
      <c r="H1813" t="s">
        <v>17</v>
      </c>
    </row>
    <row r="1814" spans="1:8" x14ac:dyDescent="0.25">
      <c r="A1814" t="s">
        <v>20</v>
      </c>
      <c r="B1814">
        <v>64712</v>
      </c>
      <c r="C1814">
        <v>19</v>
      </c>
      <c r="D1814" t="s">
        <v>12</v>
      </c>
      <c r="E1814">
        <v>0.65</v>
      </c>
      <c r="F1814">
        <v>0.78</v>
      </c>
      <c r="G1814">
        <v>0.62</v>
      </c>
      <c r="H1814" t="s">
        <v>17</v>
      </c>
    </row>
    <row r="1815" spans="1:8" x14ac:dyDescent="0.25">
      <c r="A1815" t="s">
        <v>18</v>
      </c>
      <c r="B1815">
        <v>68319</v>
      </c>
      <c r="C1815">
        <v>6</v>
      </c>
      <c r="D1815" t="s">
        <v>9</v>
      </c>
      <c r="E1815">
        <v>0.43</v>
      </c>
      <c r="F1815">
        <v>0.84</v>
      </c>
      <c r="G1815">
        <v>0.54</v>
      </c>
      <c r="H1815" t="s">
        <v>17</v>
      </c>
    </row>
    <row r="1816" spans="1:8" x14ac:dyDescent="0.25">
      <c r="A1816" t="s">
        <v>29</v>
      </c>
      <c r="B1816">
        <v>67289</v>
      </c>
      <c r="C1816">
        <v>22</v>
      </c>
      <c r="D1816" t="s">
        <v>12</v>
      </c>
      <c r="E1816">
        <v>0.86</v>
      </c>
      <c r="F1816">
        <v>0.56000000000000005</v>
      </c>
      <c r="G1816">
        <v>0.75</v>
      </c>
      <c r="H1816" t="s">
        <v>10</v>
      </c>
    </row>
    <row r="1817" spans="1:8" x14ac:dyDescent="0.25">
      <c r="A1817" t="s">
        <v>24</v>
      </c>
      <c r="B1817">
        <v>75040</v>
      </c>
      <c r="C1817">
        <v>4</v>
      </c>
      <c r="D1817" t="s">
        <v>9</v>
      </c>
      <c r="E1817">
        <v>0.5</v>
      </c>
      <c r="F1817">
        <v>1.02</v>
      </c>
      <c r="G1817">
        <v>0.55000000000000004</v>
      </c>
      <c r="H1817" t="s">
        <v>17</v>
      </c>
    </row>
    <row r="1818" spans="1:8" x14ac:dyDescent="0.25">
      <c r="A1818" t="s">
        <v>31</v>
      </c>
      <c r="B1818">
        <v>120886</v>
      </c>
      <c r="C1818">
        <v>1</v>
      </c>
      <c r="D1818" t="s">
        <v>28</v>
      </c>
      <c r="E1818">
        <v>0.9</v>
      </c>
      <c r="F1818">
        <v>1.39</v>
      </c>
      <c r="G1818">
        <v>0.73</v>
      </c>
      <c r="H1818" t="s">
        <v>10</v>
      </c>
    </row>
    <row r="1819" spans="1:8" x14ac:dyDescent="0.25">
      <c r="A1819" t="s">
        <v>18</v>
      </c>
      <c r="B1819">
        <v>64118</v>
      </c>
      <c r="C1819">
        <v>5</v>
      </c>
      <c r="D1819" t="s">
        <v>12</v>
      </c>
      <c r="E1819">
        <v>0.28000000000000003</v>
      </c>
      <c r="F1819">
        <v>0.94</v>
      </c>
      <c r="G1819">
        <v>0.45</v>
      </c>
      <c r="H1819" t="s">
        <v>17</v>
      </c>
    </row>
    <row r="1820" spans="1:8" x14ac:dyDescent="0.25">
      <c r="A1820" t="s">
        <v>27</v>
      </c>
      <c r="B1820">
        <v>125381</v>
      </c>
      <c r="C1820">
        <v>13</v>
      </c>
      <c r="D1820" t="s">
        <v>15</v>
      </c>
      <c r="E1820">
        <v>0.1</v>
      </c>
      <c r="F1820">
        <v>1.32</v>
      </c>
      <c r="G1820">
        <v>0.35</v>
      </c>
      <c r="H1820" t="s">
        <v>17</v>
      </c>
    </row>
    <row r="1821" spans="1:8" x14ac:dyDescent="0.25">
      <c r="A1821" t="s">
        <v>23</v>
      </c>
      <c r="B1821">
        <v>62146</v>
      </c>
      <c r="C1821">
        <v>26</v>
      </c>
      <c r="D1821" t="s">
        <v>9</v>
      </c>
      <c r="E1821">
        <v>0.88</v>
      </c>
      <c r="F1821">
        <v>0.95</v>
      </c>
      <c r="G1821">
        <v>0.74</v>
      </c>
      <c r="H1821" t="s">
        <v>10</v>
      </c>
    </row>
    <row r="1822" spans="1:8" x14ac:dyDescent="0.25">
      <c r="A1822" t="s">
        <v>18</v>
      </c>
      <c r="B1822">
        <v>60410</v>
      </c>
      <c r="C1822">
        <v>8</v>
      </c>
      <c r="D1822" t="s">
        <v>12</v>
      </c>
      <c r="E1822">
        <v>0.78</v>
      </c>
      <c r="F1822">
        <v>1.25</v>
      </c>
      <c r="G1822">
        <v>0.4</v>
      </c>
      <c r="H1822" t="s">
        <v>17</v>
      </c>
    </row>
    <row r="1823" spans="1:8" x14ac:dyDescent="0.25">
      <c r="A1823" t="s">
        <v>31</v>
      </c>
      <c r="B1823">
        <v>110449</v>
      </c>
      <c r="C1823">
        <v>21</v>
      </c>
      <c r="D1823" t="s">
        <v>15</v>
      </c>
      <c r="E1823">
        <v>0.47</v>
      </c>
      <c r="F1823">
        <v>0.88</v>
      </c>
      <c r="G1823">
        <v>0.75</v>
      </c>
      <c r="H1823" t="s">
        <v>10</v>
      </c>
    </row>
    <row r="1824" spans="1:8" x14ac:dyDescent="0.25">
      <c r="A1824" t="s">
        <v>18</v>
      </c>
      <c r="B1824">
        <v>142691</v>
      </c>
      <c r="C1824">
        <v>18</v>
      </c>
      <c r="D1824" t="s">
        <v>9</v>
      </c>
      <c r="E1824">
        <v>0.31</v>
      </c>
      <c r="F1824">
        <v>0.84</v>
      </c>
      <c r="G1824">
        <v>0.51</v>
      </c>
      <c r="H1824" t="s">
        <v>17</v>
      </c>
    </row>
    <row r="1825" spans="1:8" x14ac:dyDescent="0.25">
      <c r="A1825" t="s">
        <v>8</v>
      </c>
      <c r="B1825">
        <v>33659</v>
      </c>
      <c r="C1825">
        <v>17</v>
      </c>
      <c r="D1825" t="s">
        <v>12</v>
      </c>
      <c r="E1825">
        <v>0.68</v>
      </c>
      <c r="F1825">
        <v>1.47</v>
      </c>
      <c r="G1825">
        <v>0.83</v>
      </c>
      <c r="H1825" t="s">
        <v>10</v>
      </c>
    </row>
    <row r="1826" spans="1:8" x14ac:dyDescent="0.25">
      <c r="A1826" t="s">
        <v>30</v>
      </c>
      <c r="B1826">
        <v>109911</v>
      </c>
      <c r="C1826">
        <v>9</v>
      </c>
      <c r="D1826" t="s">
        <v>12</v>
      </c>
      <c r="E1826">
        <v>0.94</v>
      </c>
      <c r="F1826">
        <v>1.21</v>
      </c>
      <c r="G1826">
        <v>0.12</v>
      </c>
      <c r="H1826" t="s">
        <v>13</v>
      </c>
    </row>
    <row r="1827" spans="1:8" x14ac:dyDescent="0.25">
      <c r="A1827" t="s">
        <v>20</v>
      </c>
      <c r="B1827">
        <v>117298</v>
      </c>
      <c r="C1827">
        <v>28</v>
      </c>
      <c r="D1827" t="s">
        <v>12</v>
      </c>
      <c r="E1827">
        <v>0.42</v>
      </c>
      <c r="F1827">
        <v>1.49</v>
      </c>
      <c r="G1827">
        <v>0.36</v>
      </c>
      <c r="H1827" t="s">
        <v>17</v>
      </c>
    </row>
    <row r="1828" spans="1:8" x14ac:dyDescent="0.25">
      <c r="A1828" t="s">
        <v>33</v>
      </c>
      <c r="B1828">
        <v>100114</v>
      </c>
      <c r="C1828">
        <v>14</v>
      </c>
      <c r="D1828" t="s">
        <v>12</v>
      </c>
      <c r="E1828">
        <v>0.98</v>
      </c>
      <c r="F1828">
        <v>1.17</v>
      </c>
      <c r="G1828">
        <v>0.14000000000000001</v>
      </c>
      <c r="H1828" t="s">
        <v>13</v>
      </c>
    </row>
    <row r="1829" spans="1:8" x14ac:dyDescent="0.25">
      <c r="A1829" t="s">
        <v>33</v>
      </c>
      <c r="B1829">
        <v>149401</v>
      </c>
      <c r="C1829">
        <v>18</v>
      </c>
      <c r="D1829" t="s">
        <v>15</v>
      </c>
      <c r="E1829">
        <v>0.92</v>
      </c>
      <c r="F1829">
        <v>0.73</v>
      </c>
      <c r="G1829">
        <v>0.3</v>
      </c>
      <c r="H1829" t="s">
        <v>13</v>
      </c>
    </row>
    <row r="1830" spans="1:8" x14ac:dyDescent="0.25">
      <c r="A1830" t="s">
        <v>25</v>
      </c>
      <c r="B1830">
        <v>101160</v>
      </c>
      <c r="C1830">
        <v>3</v>
      </c>
      <c r="D1830" t="s">
        <v>15</v>
      </c>
      <c r="E1830">
        <v>0</v>
      </c>
      <c r="F1830">
        <v>0.74</v>
      </c>
      <c r="G1830">
        <v>0.32</v>
      </c>
      <c r="H1830" t="s">
        <v>17</v>
      </c>
    </row>
    <row r="1831" spans="1:8" x14ac:dyDescent="0.25">
      <c r="A1831" t="s">
        <v>32</v>
      </c>
      <c r="B1831">
        <v>66594</v>
      </c>
      <c r="C1831">
        <v>23</v>
      </c>
      <c r="D1831" t="s">
        <v>15</v>
      </c>
      <c r="E1831">
        <v>0.65</v>
      </c>
      <c r="F1831">
        <v>0.65</v>
      </c>
      <c r="G1831">
        <v>0.55000000000000004</v>
      </c>
      <c r="H1831" t="s">
        <v>17</v>
      </c>
    </row>
    <row r="1832" spans="1:8" x14ac:dyDescent="0.25">
      <c r="A1832" t="s">
        <v>32</v>
      </c>
      <c r="B1832">
        <v>94043</v>
      </c>
      <c r="C1832">
        <v>5</v>
      </c>
      <c r="D1832" t="s">
        <v>12</v>
      </c>
      <c r="E1832">
        <v>0.9</v>
      </c>
      <c r="F1832">
        <v>1.06</v>
      </c>
      <c r="G1832">
        <v>0.67</v>
      </c>
      <c r="H1832" t="s">
        <v>17</v>
      </c>
    </row>
    <row r="1833" spans="1:8" x14ac:dyDescent="0.25">
      <c r="A1833" t="s">
        <v>33</v>
      </c>
      <c r="B1833">
        <v>110270</v>
      </c>
      <c r="C1833">
        <v>21</v>
      </c>
      <c r="D1833" t="s">
        <v>15</v>
      </c>
      <c r="E1833">
        <v>0.83</v>
      </c>
      <c r="F1833">
        <v>0.84</v>
      </c>
      <c r="G1833">
        <v>7.0000000000000007E-2</v>
      </c>
      <c r="H1833" t="s">
        <v>13</v>
      </c>
    </row>
    <row r="1834" spans="1:8" x14ac:dyDescent="0.25">
      <c r="A1834" t="s">
        <v>33</v>
      </c>
      <c r="B1834">
        <v>98393</v>
      </c>
      <c r="C1834">
        <v>29</v>
      </c>
      <c r="D1834" t="s">
        <v>15</v>
      </c>
      <c r="E1834">
        <v>0.66</v>
      </c>
      <c r="F1834">
        <v>0.87</v>
      </c>
      <c r="G1834">
        <v>0.22</v>
      </c>
      <c r="H1834" t="s">
        <v>13</v>
      </c>
    </row>
    <row r="1835" spans="1:8" x14ac:dyDescent="0.25">
      <c r="A1835" t="s">
        <v>33</v>
      </c>
      <c r="B1835">
        <v>104038</v>
      </c>
      <c r="C1835">
        <v>26</v>
      </c>
      <c r="D1835" t="s">
        <v>9</v>
      </c>
      <c r="E1835">
        <v>0.37</v>
      </c>
      <c r="F1835">
        <v>1.1599999999999999</v>
      </c>
      <c r="G1835">
        <v>0.14000000000000001</v>
      </c>
      <c r="H1835" t="s">
        <v>13</v>
      </c>
    </row>
    <row r="1836" spans="1:8" x14ac:dyDescent="0.25">
      <c r="A1836" t="s">
        <v>25</v>
      </c>
      <c r="B1836">
        <v>104088</v>
      </c>
      <c r="C1836">
        <v>11</v>
      </c>
      <c r="D1836" t="s">
        <v>12</v>
      </c>
      <c r="E1836">
        <v>0.99</v>
      </c>
      <c r="F1836">
        <v>0.65</v>
      </c>
      <c r="G1836">
        <v>0.54</v>
      </c>
      <c r="H1836" t="s">
        <v>17</v>
      </c>
    </row>
    <row r="1837" spans="1:8" x14ac:dyDescent="0.25">
      <c r="A1837" t="s">
        <v>34</v>
      </c>
      <c r="B1837">
        <v>38290</v>
      </c>
      <c r="C1837">
        <v>27</v>
      </c>
      <c r="D1837" t="s">
        <v>12</v>
      </c>
      <c r="E1837">
        <v>0.27</v>
      </c>
      <c r="F1837">
        <v>0.99</v>
      </c>
      <c r="G1837">
        <v>0.57999999999999996</v>
      </c>
      <c r="H1837" t="s">
        <v>17</v>
      </c>
    </row>
    <row r="1838" spans="1:8" x14ac:dyDescent="0.25">
      <c r="A1838" t="s">
        <v>11</v>
      </c>
      <c r="B1838">
        <v>86373</v>
      </c>
      <c r="C1838">
        <v>16</v>
      </c>
      <c r="D1838" t="s">
        <v>12</v>
      </c>
      <c r="E1838">
        <v>0.39</v>
      </c>
      <c r="F1838">
        <v>1.41</v>
      </c>
      <c r="G1838">
        <v>0.27</v>
      </c>
      <c r="H1838" t="s">
        <v>13</v>
      </c>
    </row>
    <row r="1839" spans="1:8" x14ac:dyDescent="0.25">
      <c r="A1839" t="s">
        <v>32</v>
      </c>
      <c r="B1839">
        <v>73532</v>
      </c>
      <c r="C1839">
        <v>24</v>
      </c>
      <c r="D1839" t="s">
        <v>9</v>
      </c>
      <c r="E1839">
        <v>0.25</v>
      </c>
      <c r="F1839">
        <v>0.73</v>
      </c>
      <c r="G1839">
        <v>0.65</v>
      </c>
      <c r="H1839" t="s">
        <v>17</v>
      </c>
    </row>
    <row r="1840" spans="1:8" x14ac:dyDescent="0.25">
      <c r="A1840" t="s">
        <v>33</v>
      </c>
      <c r="B1840">
        <v>132708</v>
      </c>
      <c r="C1840">
        <v>28</v>
      </c>
      <c r="D1840" t="s">
        <v>15</v>
      </c>
      <c r="E1840">
        <v>7.0000000000000007E-2</v>
      </c>
      <c r="F1840">
        <v>0.89</v>
      </c>
      <c r="G1840">
        <v>0.26</v>
      </c>
      <c r="H1840" t="s">
        <v>13</v>
      </c>
    </row>
    <row r="1841" spans="1:8" x14ac:dyDescent="0.25">
      <c r="A1841" t="s">
        <v>33</v>
      </c>
      <c r="B1841">
        <v>144846</v>
      </c>
      <c r="C1841">
        <v>21</v>
      </c>
      <c r="D1841" t="s">
        <v>12</v>
      </c>
      <c r="E1841">
        <v>0.35</v>
      </c>
      <c r="F1841">
        <v>1.03</v>
      </c>
      <c r="G1841">
        <v>0.2</v>
      </c>
      <c r="H1841" t="s">
        <v>13</v>
      </c>
    </row>
    <row r="1842" spans="1:8" x14ac:dyDescent="0.25">
      <c r="A1842" t="s">
        <v>33</v>
      </c>
      <c r="B1842">
        <v>90254</v>
      </c>
      <c r="C1842">
        <v>8</v>
      </c>
      <c r="D1842" t="s">
        <v>28</v>
      </c>
      <c r="E1842">
        <v>0.28999999999999998</v>
      </c>
      <c r="F1842">
        <v>1.03</v>
      </c>
      <c r="G1842">
        <v>0.24</v>
      </c>
      <c r="H1842" t="s">
        <v>13</v>
      </c>
    </row>
    <row r="1843" spans="1:8" x14ac:dyDescent="0.25">
      <c r="A1843" t="s">
        <v>33</v>
      </c>
      <c r="B1843">
        <v>51219</v>
      </c>
      <c r="C1843">
        <v>14</v>
      </c>
      <c r="D1843" t="s">
        <v>28</v>
      </c>
      <c r="E1843">
        <v>0.84</v>
      </c>
      <c r="F1843">
        <v>0.79</v>
      </c>
      <c r="G1843">
        <v>0.26</v>
      </c>
      <c r="H1843" t="s">
        <v>13</v>
      </c>
    </row>
    <row r="1844" spans="1:8" x14ac:dyDescent="0.25">
      <c r="A1844" t="s">
        <v>27</v>
      </c>
      <c r="B1844">
        <v>114899</v>
      </c>
      <c r="C1844">
        <v>19</v>
      </c>
      <c r="D1844" t="s">
        <v>9</v>
      </c>
      <c r="E1844">
        <v>0.47</v>
      </c>
      <c r="F1844">
        <v>0.56999999999999995</v>
      </c>
      <c r="G1844">
        <v>0.5</v>
      </c>
      <c r="H1844" t="s">
        <v>17</v>
      </c>
    </row>
    <row r="1845" spans="1:8" x14ac:dyDescent="0.25">
      <c r="A1845" t="s">
        <v>29</v>
      </c>
      <c r="B1845">
        <v>63275</v>
      </c>
      <c r="C1845">
        <v>20</v>
      </c>
      <c r="D1845" t="s">
        <v>12</v>
      </c>
      <c r="E1845">
        <v>0.97</v>
      </c>
      <c r="F1845">
        <v>0.76</v>
      </c>
      <c r="G1845">
        <v>0.93</v>
      </c>
      <c r="H1845" t="s">
        <v>10</v>
      </c>
    </row>
    <row r="1846" spans="1:8" x14ac:dyDescent="0.25">
      <c r="A1846" t="s">
        <v>27</v>
      </c>
      <c r="B1846">
        <v>79662</v>
      </c>
      <c r="C1846">
        <v>18</v>
      </c>
      <c r="D1846" t="s">
        <v>15</v>
      </c>
      <c r="E1846">
        <v>0.47</v>
      </c>
      <c r="F1846">
        <v>0.63</v>
      </c>
      <c r="G1846">
        <v>0.47</v>
      </c>
      <c r="H1846" t="s">
        <v>17</v>
      </c>
    </row>
    <row r="1847" spans="1:8" x14ac:dyDescent="0.25">
      <c r="A1847" t="s">
        <v>30</v>
      </c>
      <c r="B1847">
        <v>62158</v>
      </c>
      <c r="C1847">
        <v>20</v>
      </c>
      <c r="D1847" t="s">
        <v>15</v>
      </c>
      <c r="E1847">
        <v>0.05</v>
      </c>
      <c r="F1847">
        <v>1.22</v>
      </c>
      <c r="G1847">
        <v>0.22</v>
      </c>
      <c r="H1847" t="s">
        <v>13</v>
      </c>
    </row>
    <row r="1848" spans="1:8" x14ac:dyDescent="0.25">
      <c r="A1848" t="s">
        <v>11</v>
      </c>
      <c r="B1848">
        <v>103484</v>
      </c>
      <c r="C1848">
        <v>0</v>
      </c>
      <c r="D1848" t="s">
        <v>9</v>
      </c>
      <c r="E1848">
        <v>0.68</v>
      </c>
      <c r="F1848">
        <v>0.52</v>
      </c>
      <c r="G1848">
        <v>0.27</v>
      </c>
      <c r="H1848" t="s">
        <v>13</v>
      </c>
    </row>
    <row r="1849" spans="1:8" x14ac:dyDescent="0.25">
      <c r="A1849" t="s">
        <v>30</v>
      </c>
      <c r="B1849">
        <v>116810</v>
      </c>
      <c r="C1849">
        <v>4</v>
      </c>
      <c r="D1849" t="s">
        <v>9</v>
      </c>
      <c r="E1849">
        <v>0.46</v>
      </c>
      <c r="F1849">
        <v>1.21</v>
      </c>
      <c r="G1849">
        <v>0.11</v>
      </c>
      <c r="H1849" t="s">
        <v>13</v>
      </c>
    </row>
    <row r="1850" spans="1:8" x14ac:dyDescent="0.25">
      <c r="A1850" t="s">
        <v>8</v>
      </c>
      <c r="B1850">
        <v>104035</v>
      </c>
      <c r="C1850">
        <v>19</v>
      </c>
      <c r="D1850" t="s">
        <v>28</v>
      </c>
      <c r="E1850">
        <v>0.77</v>
      </c>
      <c r="F1850">
        <v>0.89</v>
      </c>
      <c r="G1850">
        <v>0.88</v>
      </c>
      <c r="H1850" t="s">
        <v>10</v>
      </c>
    </row>
    <row r="1851" spans="1:8" x14ac:dyDescent="0.25">
      <c r="A1851" t="s">
        <v>18</v>
      </c>
      <c r="B1851">
        <v>83917</v>
      </c>
      <c r="C1851">
        <v>17</v>
      </c>
      <c r="D1851" t="s">
        <v>9</v>
      </c>
      <c r="E1851">
        <v>0.83</v>
      </c>
      <c r="F1851">
        <v>1.39</v>
      </c>
      <c r="G1851">
        <v>0.67</v>
      </c>
      <c r="H1851" t="s">
        <v>17</v>
      </c>
    </row>
    <row r="1852" spans="1:8" x14ac:dyDescent="0.25">
      <c r="A1852" t="s">
        <v>24</v>
      </c>
      <c r="B1852">
        <v>91752</v>
      </c>
      <c r="C1852">
        <v>29</v>
      </c>
      <c r="D1852" t="s">
        <v>12</v>
      </c>
      <c r="E1852">
        <v>0.05</v>
      </c>
      <c r="F1852">
        <v>1.26</v>
      </c>
      <c r="G1852">
        <v>0.46</v>
      </c>
      <c r="H1852" t="s">
        <v>17</v>
      </c>
    </row>
    <row r="1853" spans="1:8" x14ac:dyDescent="0.25">
      <c r="A1853" t="s">
        <v>29</v>
      </c>
      <c r="B1853">
        <v>120866</v>
      </c>
      <c r="C1853">
        <v>3</v>
      </c>
      <c r="D1853" t="s">
        <v>28</v>
      </c>
      <c r="E1853">
        <v>0.3</v>
      </c>
      <c r="F1853">
        <v>1.36</v>
      </c>
      <c r="G1853">
        <v>0.73</v>
      </c>
      <c r="H1853" t="s">
        <v>10</v>
      </c>
    </row>
    <row r="1854" spans="1:8" x14ac:dyDescent="0.25">
      <c r="A1854" t="s">
        <v>8</v>
      </c>
      <c r="B1854">
        <v>56974</v>
      </c>
      <c r="C1854">
        <v>6</v>
      </c>
      <c r="D1854" t="s">
        <v>15</v>
      </c>
      <c r="E1854">
        <v>0.14000000000000001</v>
      </c>
      <c r="F1854">
        <v>0.54</v>
      </c>
      <c r="G1854">
        <v>0.7</v>
      </c>
      <c r="H1854" t="s">
        <v>17</v>
      </c>
    </row>
    <row r="1855" spans="1:8" x14ac:dyDescent="0.25">
      <c r="A1855" t="s">
        <v>18</v>
      </c>
      <c r="B1855">
        <v>130672</v>
      </c>
      <c r="C1855">
        <v>16</v>
      </c>
      <c r="D1855" t="s">
        <v>28</v>
      </c>
      <c r="E1855">
        <v>0.93</v>
      </c>
      <c r="F1855">
        <v>1.43</v>
      </c>
      <c r="G1855">
        <v>0.47</v>
      </c>
      <c r="H1855" t="s">
        <v>17</v>
      </c>
    </row>
    <row r="1856" spans="1:8" x14ac:dyDescent="0.25">
      <c r="A1856" t="s">
        <v>19</v>
      </c>
      <c r="B1856">
        <v>58327</v>
      </c>
      <c r="C1856">
        <v>13</v>
      </c>
      <c r="D1856" t="s">
        <v>9</v>
      </c>
      <c r="E1856">
        <v>0.74</v>
      </c>
      <c r="F1856">
        <v>0.63</v>
      </c>
      <c r="G1856">
        <v>0.18</v>
      </c>
      <c r="H1856" t="s">
        <v>13</v>
      </c>
    </row>
    <row r="1857" spans="1:8" x14ac:dyDescent="0.25">
      <c r="A1857" t="s">
        <v>30</v>
      </c>
      <c r="B1857">
        <v>63258</v>
      </c>
      <c r="C1857">
        <v>22</v>
      </c>
      <c r="D1857" t="s">
        <v>12</v>
      </c>
      <c r="E1857">
        <v>0.4</v>
      </c>
      <c r="F1857">
        <v>1.18</v>
      </c>
      <c r="G1857">
        <v>0.13</v>
      </c>
      <c r="H1857" t="s">
        <v>13</v>
      </c>
    </row>
    <row r="1858" spans="1:8" x14ac:dyDescent="0.25">
      <c r="A1858" t="s">
        <v>25</v>
      </c>
      <c r="B1858">
        <v>95777</v>
      </c>
      <c r="C1858">
        <v>27</v>
      </c>
      <c r="D1858" t="s">
        <v>12</v>
      </c>
      <c r="E1858">
        <v>0.73</v>
      </c>
      <c r="F1858">
        <v>1.44</v>
      </c>
      <c r="G1858">
        <v>0.36</v>
      </c>
      <c r="H1858" t="s">
        <v>17</v>
      </c>
    </row>
    <row r="1859" spans="1:8" x14ac:dyDescent="0.25">
      <c r="A1859" t="s">
        <v>24</v>
      </c>
      <c r="B1859">
        <v>105127</v>
      </c>
      <c r="C1859">
        <v>14</v>
      </c>
      <c r="D1859" t="s">
        <v>28</v>
      </c>
      <c r="E1859">
        <v>0.6</v>
      </c>
      <c r="F1859">
        <v>0.52</v>
      </c>
      <c r="G1859">
        <v>0.43</v>
      </c>
      <c r="H1859" t="s">
        <v>17</v>
      </c>
    </row>
    <row r="1860" spans="1:8" x14ac:dyDescent="0.25">
      <c r="A1860" t="s">
        <v>21</v>
      </c>
      <c r="B1860">
        <v>64846</v>
      </c>
      <c r="C1860">
        <v>17</v>
      </c>
      <c r="D1860" t="s">
        <v>28</v>
      </c>
      <c r="E1860">
        <v>0.73</v>
      </c>
      <c r="F1860">
        <v>1.44</v>
      </c>
      <c r="G1860">
        <v>0.11</v>
      </c>
      <c r="H1860" t="s">
        <v>13</v>
      </c>
    </row>
    <row r="1861" spans="1:8" x14ac:dyDescent="0.25">
      <c r="A1861" t="s">
        <v>25</v>
      </c>
      <c r="B1861">
        <v>89397</v>
      </c>
      <c r="C1861">
        <v>11</v>
      </c>
      <c r="D1861" t="s">
        <v>28</v>
      </c>
      <c r="E1861">
        <v>0.77</v>
      </c>
      <c r="F1861">
        <v>0.73</v>
      </c>
      <c r="G1861">
        <v>0.65</v>
      </c>
      <c r="H1861" t="s">
        <v>17</v>
      </c>
    </row>
    <row r="1862" spans="1:8" x14ac:dyDescent="0.25">
      <c r="A1862" t="s">
        <v>21</v>
      </c>
      <c r="B1862">
        <v>148915</v>
      </c>
      <c r="C1862">
        <v>21</v>
      </c>
      <c r="D1862" t="s">
        <v>28</v>
      </c>
      <c r="E1862">
        <v>0.98</v>
      </c>
      <c r="F1862">
        <v>1.08</v>
      </c>
      <c r="G1862">
        <v>0.26</v>
      </c>
      <c r="H1862" t="s">
        <v>13</v>
      </c>
    </row>
    <row r="1863" spans="1:8" x14ac:dyDescent="0.25">
      <c r="A1863" t="s">
        <v>11</v>
      </c>
      <c r="B1863">
        <v>140554</v>
      </c>
      <c r="C1863">
        <v>16</v>
      </c>
      <c r="D1863" t="s">
        <v>15</v>
      </c>
      <c r="E1863">
        <v>0.95</v>
      </c>
      <c r="F1863">
        <v>1.21</v>
      </c>
      <c r="G1863">
        <v>0.27</v>
      </c>
      <c r="H1863" t="s">
        <v>13</v>
      </c>
    </row>
    <row r="1864" spans="1:8" x14ac:dyDescent="0.25">
      <c r="A1864" t="s">
        <v>18</v>
      </c>
      <c r="B1864">
        <v>114153</v>
      </c>
      <c r="C1864">
        <v>28</v>
      </c>
      <c r="D1864" t="s">
        <v>12</v>
      </c>
      <c r="E1864">
        <v>0.06</v>
      </c>
      <c r="F1864">
        <v>1.31</v>
      </c>
      <c r="G1864">
        <v>0.67</v>
      </c>
      <c r="H1864" t="s">
        <v>17</v>
      </c>
    </row>
    <row r="1865" spans="1:8" x14ac:dyDescent="0.25">
      <c r="A1865" t="s">
        <v>27</v>
      </c>
      <c r="B1865">
        <v>137526</v>
      </c>
      <c r="C1865">
        <v>27</v>
      </c>
      <c r="D1865" t="s">
        <v>12</v>
      </c>
      <c r="E1865">
        <v>0.8</v>
      </c>
      <c r="F1865">
        <v>0.83</v>
      </c>
      <c r="G1865">
        <v>0.44</v>
      </c>
      <c r="H1865" t="s">
        <v>17</v>
      </c>
    </row>
    <row r="1866" spans="1:8" x14ac:dyDescent="0.25">
      <c r="A1866" t="s">
        <v>33</v>
      </c>
      <c r="B1866">
        <v>126482</v>
      </c>
      <c r="C1866">
        <v>14</v>
      </c>
      <c r="D1866" t="s">
        <v>12</v>
      </c>
      <c r="E1866">
        <v>0.65</v>
      </c>
      <c r="F1866">
        <v>0.56000000000000005</v>
      </c>
      <c r="G1866">
        <v>0.25</v>
      </c>
      <c r="H1866" t="s">
        <v>13</v>
      </c>
    </row>
    <row r="1867" spans="1:8" x14ac:dyDescent="0.25">
      <c r="A1867" t="s">
        <v>24</v>
      </c>
      <c r="B1867">
        <v>124274</v>
      </c>
      <c r="C1867">
        <v>26</v>
      </c>
      <c r="D1867" t="s">
        <v>15</v>
      </c>
      <c r="E1867">
        <v>0.49</v>
      </c>
      <c r="F1867">
        <v>0.63</v>
      </c>
      <c r="G1867">
        <v>0.67</v>
      </c>
      <c r="H1867" t="s">
        <v>17</v>
      </c>
    </row>
    <row r="1868" spans="1:8" x14ac:dyDescent="0.25">
      <c r="A1868" t="s">
        <v>22</v>
      </c>
      <c r="B1868">
        <v>48638</v>
      </c>
      <c r="C1868">
        <v>22</v>
      </c>
      <c r="D1868" t="s">
        <v>12</v>
      </c>
      <c r="E1868">
        <v>0.63</v>
      </c>
      <c r="F1868">
        <v>1.2</v>
      </c>
      <c r="G1868">
        <v>0.46</v>
      </c>
      <c r="H1868" t="s">
        <v>17</v>
      </c>
    </row>
    <row r="1869" spans="1:8" x14ac:dyDescent="0.25">
      <c r="A1869" t="s">
        <v>16</v>
      </c>
      <c r="B1869">
        <v>73162</v>
      </c>
      <c r="C1869">
        <v>6</v>
      </c>
      <c r="D1869" t="s">
        <v>15</v>
      </c>
      <c r="E1869">
        <v>0.74</v>
      </c>
      <c r="F1869">
        <v>1.17</v>
      </c>
      <c r="G1869">
        <v>0.56000000000000005</v>
      </c>
      <c r="H1869" t="s">
        <v>17</v>
      </c>
    </row>
    <row r="1870" spans="1:8" x14ac:dyDescent="0.25">
      <c r="A1870" t="s">
        <v>21</v>
      </c>
      <c r="B1870">
        <v>66105</v>
      </c>
      <c r="C1870">
        <v>28</v>
      </c>
      <c r="D1870" t="s">
        <v>15</v>
      </c>
      <c r="E1870">
        <v>0.06</v>
      </c>
      <c r="F1870">
        <v>1.27</v>
      </c>
      <c r="G1870">
        <v>0.23</v>
      </c>
      <c r="H1870" t="s">
        <v>13</v>
      </c>
    </row>
    <row r="1871" spans="1:8" x14ac:dyDescent="0.25">
      <c r="A1871" t="s">
        <v>19</v>
      </c>
      <c r="B1871">
        <v>48246</v>
      </c>
      <c r="C1871">
        <v>10</v>
      </c>
      <c r="D1871" t="s">
        <v>15</v>
      </c>
      <c r="E1871">
        <v>0.72</v>
      </c>
      <c r="F1871">
        <v>0.99</v>
      </c>
      <c r="G1871">
        <v>0.05</v>
      </c>
      <c r="H1871" t="s">
        <v>13</v>
      </c>
    </row>
    <row r="1872" spans="1:8" x14ac:dyDescent="0.25">
      <c r="A1872" t="s">
        <v>8</v>
      </c>
      <c r="B1872">
        <v>86470</v>
      </c>
      <c r="C1872">
        <v>11</v>
      </c>
      <c r="D1872" t="s">
        <v>9</v>
      </c>
      <c r="E1872">
        <v>0.92</v>
      </c>
      <c r="F1872">
        <v>0.84</v>
      </c>
      <c r="G1872">
        <v>0.8</v>
      </c>
      <c r="H1872" t="s">
        <v>10</v>
      </c>
    </row>
    <row r="1873" spans="1:8" x14ac:dyDescent="0.25">
      <c r="A1873" t="s">
        <v>34</v>
      </c>
      <c r="B1873">
        <v>136054</v>
      </c>
      <c r="C1873">
        <v>12</v>
      </c>
      <c r="D1873" t="s">
        <v>28</v>
      </c>
      <c r="E1873">
        <v>0.22</v>
      </c>
      <c r="F1873">
        <v>1.19</v>
      </c>
      <c r="G1873">
        <v>0.52</v>
      </c>
      <c r="H1873" t="s">
        <v>17</v>
      </c>
    </row>
    <row r="1874" spans="1:8" x14ac:dyDescent="0.25">
      <c r="A1874" t="s">
        <v>29</v>
      </c>
      <c r="B1874">
        <v>109721</v>
      </c>
      <c r="C1874">
        <v>27</v>
      </c>
      <c r="D1874" t="s">
        <v>12</v>
      </c>
      <c r="E1874">
        <v>0.47</v>
      </c>
      <c r="F1874">
        <v>1.3</v>
      </c>
      <c r="G1874">
        <v>0.85</v>
      </c>
      <c r="H1874" t="s">
        <v>10</v>
      </c>
    </row>
    <row r="1875" spans="1:8" x14ac:dyDescent="0.25">
      <c r="A1875" t="s">
        <v>16</v>
      </c>
      <c r="B1875">
        <v>90475</v>
      </c>
      <c r="C1875">
        <v>2</v>
      </c>
      <c r="D1875" t="s">
        <v>9</v>
      </c>
      <c r="E1875">
        <v>0.12</v>
      </c>
      <c r="F1875">
        <v>1.04</v>
      </c>
      <c r="G1875">
        <v>0.59</v>
      </c>
      <c r="H1875" t="s">
        <v>17</v>
      </c>
    </row>
    <row r="1876" spans="1:8" x14ac:dyDescent="0.25">
      <c r="A1876" t="s">
        <v>31</v>
      </c>
      <c r="B1876">
        <v>48422</v>
      </c>
      <c r="C1876">
        <v>24</v>
      </c>
      <c r="D1876" t="s">
        <v>9</v>
      </c>
      <c r="E1876">
        <v>0.11</v>
      </c>
      <c r="F1876">
        <v>1.1399999999999999</v>
      </c>
      <c r="G1876">
        <v>0.73</v>
      </c>
      <c r="H1876" t="s">
        <v>10</v>
      </c>
    </row>
    <row r="1877" spans="1:8" x14ac:dyDescent="0.25">
      <c r="A1877" t="s">
        <v>26</v>
      </c>
      <c r="B1877">
        <v>74380</v>
      </c>
      <c r="C1877">
        <v>15</v>
      </c>
      <c r="D1877" t="s">
        <v>9</v>
      </c>
      <c r="E1877">
        <v>0.33</v>
      </c>
      <c r="F1877">
        <v>0.71</v>
      </c>
      <c r="G1877">
        <v>0.41</v>
      </c>
      <c r="H1877" t="s">
        <v>17</v>
      </c>
    </row>
    <row r="1878" spans="1:8" x14ac:dyDescent="0.25">
      <c r="A1878" t="s">
        <v>32</v>
      </c>
      <c r="B1878">
        <v>114999</v>
      </c>
      <c r="C1878">
        <v>10</v>
      </c>
      <c r="D1878" t="s">
        <v>28</v>
      </c>
      <c r="E1878">
        <v>0.56999999999999995</v>
      </c>
      <c r="F1878">
        <v>1.1399999999999999</v>
      </c>
      <c r="G1878">
        <v>0.68</v>
      </c>
      <c r="H1878" t="s">
        <v>17</v>
      </c>
    </row>
    <row r="1879" spans="1:8" x14ac:dyDescent="0.25">
      <c r="A1879" t="s">
        <v>14</v>
      </c>
      <c r="B1879">
        <v>45224</v>
      </c>
      <c r="C1879">
        <v>6</v>
      </c>
      <c r="D1879" t="s">
        <v>15</v>
      </c>
      <c r="E1879">
        <v>0.56999999999999995</v>
      </c>
      <c r="F1879">
        <v>1.27</v>
      </c>
      <c r="G1879">
        <v>0.92</v>
      </c>
      <c r="H1879" t="s">
        <v>10</v>
      </c>
    </row>
    <row r="1880" spans="1:8" x14ac:dyDescent="0.25">
      <c r="A1880" t="s">
        <v>14</v>
      </c>
      <c r="B1880">
        <v>73302</v>
      </c>
      <c r="C1880">
        <v>10</v>
      </c>
      <c r="D1880" t="s">
        <v>15</v>
      </c>
      <c r="E1880">
        <v>0.24</v>
      </c>
      <c r="F1880">
        <v>0.95</v>
      </c>
      <c r="G1880">
        <v>0.9</v>
      </c>
      <c r="H1880" t="s">
        <v>10</v>
      </c>
    </row>
    <row r="1881" spans="1:8" x14ac:dyDescent="0.25">
      <c r="A1881" t="s">
        <v>14</v>
      </c>
      <c r="B1881">
        <v>97743</v>
      </c>
      <c r="C1881">
        <v>7</v>
      </c>
      <c r="D1881" t="s">
        <v>28</v>
      </c>
      <c r="E1881">
        <v>0.67</v>
      </c>
      <c r="F1881">
        <v>1.1399999999999999</v>
      </c>
      <c r="G1881">
        <v>0.93</v>
      </c>
      <c r="H1881" t="s">
        <v>10</v>
      </c>
    </row>
    <row r="1882" spans="1:8" x14ac:dyDescent="0.25">
      <c r="A1882" t="s">
        <v>26</v>
      </c>
      <c r="B1882">
        <v>136974</v>
      </c>
      <c r="C1882">
        <v>26</v>
      </c>
      <c r="D1882" t="s">
        <v>9</v>
      </c>
      <c r="E1882">
        <v>0.25</v>
      </c>
      <c r="F1882">
        <v>0.53</v>
      </c>
      <c r="G1882">
        <v>0.68</v>
      </c>
      <c r="H1882" t="s">
        <v>17</v>
      </c>
    </row>
    <row r="1883" spans="1:8" x14ac:dyDescent="0.25">
      <c r="A1883" t="s">
        <v>27</v>
      </c>
      <c r="B1883">
        <v>31987</v>
      </c>
      <c r="C1883">
        <v>7</v>
      </c>
      <c r="D1883" t="s">
        <v>15</v>
      </c>
      <c r="E1883">
        <v>0.33</v>
      </c>
      <c r="F1883">
        <v>0.79</v>
      </c>
      <c r="G1883">
        <v>0.41</v>
      </c>
      <c r="H1883" t="s">
        <v>17</v>
      </c>
    </row>
    <row r="1884" spans="1:8" x14ac:dyDescent="0.25">
      <c r="A1884" t="s">
        <v>34</v>
      </c>
      <c r="B1884">
        <v>102587</v>
      </c>
      <c r="C1884">
        <v>17</v>
      </c>
      <c r="D1884" t="s">
        <v>28</v>
      </c>
      <c r="E1884">
        <v>0.37</v>
      </c>
      <c r="F1884">
        <v>0.7</v>
      </c>
      <c r="G1884">
        <v>0.41</v>
      </c>
      <c r="H1884" t="s">
        <v>17</v>
      </c>
    </row>
    <row r="1885" spans="1:8" x14ac:dyDescent="0.25">
      <c r="A1885" t="s">
        <v>30</v>
      </c>
      <c r="B1885">
        <v>56932</v>
      </c>
      <c r="C1885">
        <v>11</v>
      </c>
      <c r="D1885" t="s">
        <v>28</v>
      </c>
      <c r="E1885">
        <v>0.38</v>
      </c>
      <c r="F1885">
        <v>0.63</v>
      </c>
      <c r="G1885">
        <v>0.25</v>
      </c>
      <c r="H1885" t="s">
        <v>13</v>
      </c>
    </row>
    <row r="1886" spans="1:8" x14ac:dyDescent="0.25">
      <c r="A1886" t="s">
        <v>21</v>
      </c>
      <c r="B1886">
        <v>114371</v>
      </c>
      <c r="C1886">
        <v>3</v>
      </c>
      <c r="D1886" t="s">
        <v>12</v>
      </c>
      <c r="E1886">
        <v>0.03</v>
      </c>
      <c r="F1886">
        <v>1.0900000000000001</v>
      </c>
      <c r="G1886">
        <v>0.12</v>
      </c>
      <c r="H1886" t="s">
        <v>13</v>
      </c>
    </row>
    <row r="1887" spans="1:8" x14ac:dyDescent="0.25">
      <c r="A1887" t="s">
        <v>33</v>
      </c>
      <c r="B1887">
        <v>133027</v>
      </c>
      <c r="C1887">
        <v>2</v>
      </c>
      <c r="D1887" t="s">
        <v>9</v>
      </c>
      <c r="E1887">
        <v>0.12</v>
      </c>
      <c r="F1887">
        <v>1.08</v>
      </c>
      <c r="G1887">
        <v>0.28000000000000003</v>
      </c>
      <c r="H1887" t="s">
        <v>13</v>
      </c>
    </row>
    <row r="1888" spans="1:8" x14ac:dyDescent="0.25">
      <c r="A1888" t="s">
        <v>11</v>
      </c>
      <c r="B1888">
        <v>45353</v>
      </c>
      <c r="C1888">
        <v>0</v>
      </c>
      <c r="D1888" t="s">
        <v>12</v>
      </c>
      <c r="E1888">
        <v>0.66</v>
      </c>
      <c r="F1888">
        <v>1.29</v>
      </c>
      <c r="G1888">
        <v>0.22</v>
      </c>
      <c r="H1888" t="s">
        <v>13</v>
      </c>
    </row>
    <row r="1889" spans="1:8" x14ac:dyDescent="0.25">
      <c r="A1889" t="s">
        <v>14</v>
      </c>
      <c r="B1889">
        <v>67970</v>
      </c>
      <c r="C1889">
        <v>19</v>
      </c>
      <c r="D1889" t="s">
        <v>12</v>
      </c>
      <c r="E1889">
        <v>0.98</v>
      </c>
      <c r="F1889">
        <v>0.68</v>
      </c>
      <c r="G1889">
        <v>0.82</v>
      </c>
      <c r="H1889" t="s">
        <v>10</v>
      </c>
    </row>
    <row r="1890" spans="1:8" x14ac:dyDescent="0.25">
      <c r="A1890" t="s">
        <v>26</v>
      </c>
      <c r="B1890">
        <v>57154</v>
      </c>
      <c r="C1890">
        <v>15</v>
      </c>
      <c r="D1890" t="s">
        <v>12</v>
      </c>
      <c r="E1890">
        <v>0.36</v>
      </c>
      <c r="F1890">
        <v>0.86</v>
      </c>
      <c r="G1890">
        <v>0.42</v>
      </c>
      <c r="H1890" t="s">
        <v>17</v>
      </c>
    </row>
    <row r="1891" spans="1:8" x14ac:dyDescent="0.25">
      <c r="A1891" t="s">
        <v>34</v>
      </c>
      <c r="B1891">
        <v>115793</v>
      </c>
      <c r="C1891">
        <v>25</v>
      </c>
      <c r="D1891" t="s">
        <v>28</v>
      </c>
      <c r="E1891">
        <v>0.49</v>
      </c>
      <c r="F1891">
        <v>1.26</v>
      </c>
      <c r="G1891">
        <v>0.51</v>
      </c>
      <c r="H1891" t="s">
        <v>17</v>
      </c>
    </row>
    <row r="1892" spans="1:8" x14ac:dyDescent="0.25">
      <c r="A1892" t="s">
        <v>31</v>
      </c>
      <c r="B1892">
        <v>43174</v>
      </c>
      <c r="C1892">
        <v>1</v>
      </c>
      <c r="D1892" t="s">
        <v>12</v>
      </c>
      <c r="E1892">
        <v>0.22</v>
      </c>
      <c r="F1892">
        <v>0.99</v>
      </c>
      <c r="G1892">
        <v>0.81</v>
      </c>
      <c r="H1892" t="s">
        <v>10</v>
      </c>
    </row>
    <row r="1893" spans="1:8" x14ac:dyDescent="0.25">
      <c r="A1893" t="s">
        <v>18</v>
      </c>
      <c r="B1893">
        <v>88323</v>
      </c>
      <c r="C1893">
        <v>19</v>
      </c>
      <c r="D1893" t="s">
        <v>15</v>
      </c>
      <c r="E1893">
        <v>0.62</v>
      </c>
      <c r="F1893">
        <v>1.23</v>
      </c>
      <c r="G1893">
        <v>0.32</v>
      </c>
      <c r="H1893" t="s">
        <v>17</v>
      </c>
    </row>
    <row r="1894" spans="1:8" x14ac:dyDescent="0.25">
      <c r="A1894" t="s">
        <v>26</v>
      </c>
      <c r="B1894">
        <v>123335</v>
      </c>
      <c r="C1894">
        <v>22</v>
      </c>
      <c r="D1894" t="s">
        <v>12</v>
      </c>
      <c r="E1894">
        <v>0.26</v>
      </c>
      <c r="F1894">
        <v>0.86</v>
      </c>
      <c r="G1894">
        <v>0.5</v>
      </c>
      <c r="H1894" t="s">
        <v>17</v>
      </c>
    </row>
    <row r="1895" spans="1:8" x14ac:dyDescent="0.25">
      <c r="A1895" t="s">
        <v>30</v>
      </c>
      <c r="B1895">
        <v>67877</v>
      </c>
      <c r="C1895">
        <v>22</v>
      </c>
      <c r="D1895" t="s">
        <v>12</v>
      </c>
      <c r="E1895">
        <v>0.36</v>
      </c>
      <c r="F1895">
        <v>1.01</v>
      </c>
      <c r="G1895">
        <v>0.17</v>
      </c>
      <c r="H1895" t="s">
        <v>13</v>
      </c>
    </row>
    <row r="1896" spans="1:8" x14ac:dyDescent="0.25">
      <c r="A1896" t="s">
        <v>33</v>
      </c>
      <c r="B1896">
        <v>86779</v>
      </c>
      <c r="C1896">
        <v>14</v>
      </c>
      <c r="D1896" t="s">
        <v>12</v>
      </c>
      <c r="E1896">
        <v>0.2</v>
      </c>
      <c r="F1896">
        <v>1.39</v>
      </c>
      <c r="G1896">
        <v>0.22</v>
      </c>
      <c r="H1896" t="s">
        <v>13</v>
      </c>
    </row>
    <row r="1897" spans="1:8" x14ac:dyDescent="0.25">
      <c r="A1897" t="s">
        <v>14</v>
      </c>
      <c r="B1897">
        <v>34650</v>
      </c>
      <c r="C1897">
        <v>3</v>
      </c>
      <c r="D1897" t="s">
        <v>12</v>
      </c>
      <c r="E1897">
        <v>0.03</v>
      </c>
      <c r="F1897">
        <v>0.54</v>
      </c>
      <c r="G1897">
        <v>0.81</v>
      </c>
      <c r="H1897" t="s">
        <v>10</v>
      </c>
    </row>
    <row r="1898" spans="1:8" x14ac:dyDescent="0.25">
      <c r="A1898" t="s">
        <v>25</v>
      </c>
      <c r="B1898">
        <v>93884</v>
      </c>
      <c r="C1898">
        <v>3</v>
      </c>
      <c r="D1898" t="s">
        <v>12</v>
      </c>
      <c r="E1898">
        <v>0.05</v>
      </c>
      <c r="F1898">
        <v>1.1599999999999999</v>
      </c>
      <c r="G1898">
        <v>0.44</v>
      </c>
      <c r="H1898" t="s">
        <v>17</v>
      </c>
    </row>
    <row r="1899" spans="1:8" x14ac:dyDescent="0.25">
      <c r="A1899" t="s">
        <v>25</v>
      </c>
      <c r="B1899">
        <v>37317</v>
      </c>
      <c r="C1899">
        <v>0</v>
      </c>
      <c r="D1899" t="s">
        <v>15</v>
      </c>
      <c r="E1899">
        <v>0.62</v>
      </c>
      <c r="F1899">
        <v>0.74</v>
      </c>
      <c r="G1899">
        <v>0.59</v>
      </c>
      <c r="H1899" t="s">
        <v>17</v>
      </c>
    </row>
    <row r="1900" spans="1:8" x14ac:dyDescent="0.25">
      <c r="A1900" t="s">
        <v>32</v>
      </c>
      <c r="B1900">
        <v>123947</v>
      </c>
      <c r="C1900">
        <v>12</v>
      </c>
      <c r="D1900" t="s">
        <v>9</v>
      </c>
      <c r="E1900">
        <v>0.67</v>
      </c>
      <c r="F1900">
        <v>1.1200000000000001</v>
      </c>
      <c r="G1900">
        <v>0.67</v>
      </c>
      <c r="H1900" t="s">
        <v>17</v>
      </c>
    </row>
    <row r="1901" spans="1:8" x14ac:dyDescent="0.25">
      <c r="A1901" t="s">
        <v>21</v>
      </c>
      <c r="B1901">
        <v>88524</v>
      </c>
      <c r="C1901">
        <v>9</v>
      </c>
      <c r="D1901" t="s">
        <v>15</v>
      </c>
      <c r="E1901">
        <v>0.26</v>
      </c>
      <c r="F1901">
        <v>1.31</v>
      </c>
      <c r="G1901">
        <v>0.18</v>
      </c>
      <c r="H1901" t="s">
        <v>13</v>
      </c>
    </row>
    <row r="1902" spans="1:8" x14ac:dyDescent="0.25">
      <c r="A1902" t="s">
        <v>33</v>
      </c>
      <c r="B1902">
        <v>44316</v>
      </c>
      <c r="C1902">
        <v>28</v>
      </c>
      <c r="D1902" t="s">
        <v>9</v>
      </c>
      <c r="E1902">
        <v>0.62</v>
      </c>
      <c r="F1902">
        <v>0.88</v>
      </c>
      <c r="G1902">
        <v>0.22</v>
      </c>
      <c r="H1902" t="s">
        <v>13</v>
      </c>
    </row>
    <row r="1903" spans="1:8" x14ac:dyDescent="0.25">
      <c r="A1903" t="s">
        <v>29</v>
      </c>
      <c r="B1903">
        <v>112142</v>
      </c>
      <c r="C1903">
        <v>7</v>
      </c>
      <c r="D1903" t="s">
        <v>12</v>
      </c>
      <c r="E1903">
        <v>0.54</v>
      </c>
      <c r="F1903">
        <v>0.85</v>
      </c>
      <c r="G1903">
        <v>0.76</v>
      </c>
      <c r="H1903" t="s">
        <v>10</v>
      </c>
    </row>
    <row r="1904" spans="1:8" x14ac:dyDescent="0.25">
      <c r="A1904" t="s">
        <v>23</v>
      </c>
      <c r="B1904">
        <v>124939</v>
      </c>
      <c r="C1904">
        <v>22</v>
      </c>
      <c r="D1904" t="s">
        <v>15</v>
      </c>
      <c r="E1904">
        <v>0.09</v>
      </c>
      <c r="F1904">
        <v>0.67</v>
      </c>
      <c r="G1904">
        <v>0.79</v>
      </c>
      <c r="H1904" t="s">
        <v>10</v>
      </c>
    </row>
    <row r="1905" spans="1:8" x14ac:dyDescent="0.25">
      <c r="A1905" t="s">
        <v>23</v>
      </c>
      <c r="B1905">
        <v>125756</v>
      </c>
      <c r="C1905">
        <v>16</v>
      </c>
      <c r="D1905" t="s">
        <v>15</v>
      </c>
      <c r="E1905">
        <v>0.85</v>
      </c>
      <c r="F1905">
        <v>0.77</v>
      </c>
      <c r="G1905">
        <v>0.91</v>
      </c>
      <c r="H1905" t="s">
        <v>10</v>
      </c>
    </row>
    <row r="1906" spans="1:8" x14ac:dyDescent="0.25">
      <c r="A1906" t="s">
        <v>29</v>
      </c>
      <c r="B1906">
        <v>53255</v>
      </c>
      <c r="C1906">
        <v>21</v>
      </c>
      <c r="D1906" t="s">
        <v>28</v>
      </c>
      <c r="E1906">
        <v>0.32</v>
      </c>
      <c r="F1906">
        <v>0.79</v>
      </c>
      <c r="G1906">
        <v>0.82</v>
      </c>
      <c r="H1906" t="s">
        <v>10</v>
      </c>
    </row>
    <row r="1907" spans="1:8" x14ac:dyDescent="0.25">
      <c r="A1907" t="s">
        <v>29</v>
      </c>
      <c r="B1907">
        <v>111808</v>
      </c>
      <c r="C1907">
        <v>4</v>
      </c>
      <c r="D1907" t="s">
        <v>15</v>
      </c>
      <c r="E1907">
        <v>0.62</v>
      </c>
      <c r="F1907">
        <v>1.08</v>
      </c>
      <c r="G1907">
        <v>0.75</v>
      </c>
      <c r="H1907" t="s">
        <v>10</v>
      </c>
    </row>
    <row r="1908" spans="1:8" x14ac:dyDescent="0.25">
      <c r="A1908" t="s">
        <v>18</v>
      </c>
      <c r="B1908">
        <v>142102</v>
      </c>
      <c r="C1908">
        <v>14</v>
      </c>
      <c r="D1908" t="s">
        <v>12</v>
      </c>
      <c r="E1908">
        <v>0.05</v>
      </c>
      <c r="F1908">
        <v>1.31</v>
      </c>
      <c r="G1908">
        <v>0.33</v>
      </c>
      <c r="H1908" t="s">
        <v>17</v>
      </c>
    </row>
    <row r="1909" spans="1:8" x14ac:dyDescent="0.25">
      <c r="A1909" t="s">
        <v>33</v>
      </c>
      <c r="B1909">
        <v>72690</v>
      </c>
      <c r="C1909">
        <v>5</v>
      </c>
      <c r="D1909" t="s">
        <v>15</v>
      </c>
      <c r="E1909">
        <v>0.43</v>
      </c>
      <c r="F1909">
        <v>1.27</v>
      </c>
      <c r="G1909">
        <v>0.25</v>
      </c>
      <c r="H1909" t="s">
        <v>13</v>
      </c>
    </row>
    <row r="1910" spans="1:8" x14ac:dyDescent="0.25">
      <c r="A1910" t="s">
        <v>23</v>
      </c>
      <c r="B1910">
        <v>39304</v>
      </c>
      <c r="C1910">
        <v>25</v>
      </c>
      <c r="D1910" t="s">
        <v>15</v>
      </c>
      <c r="E1910">
        <v>0.3</v>
      </c>
      <c r="F1910">
        <v>0.92</v>
      </c>
      <c r="G1910">
        <v>0.87</v>
      </c>
      <c r="H1910" t="s">
        <v>10</v>
      </c>
    </row>
    <row r="1911" spans="1:8" x14ac:dyDescent="0.25">
      <c r="A1911" t="s">
        <v>22</v>
      </c>
      <c r="B1911">
        <v>129581</v>
      </c>
      <c r="C1911">
        <v>3</v>
      </c>
      <c r="D1911" t="s">
        <v>12</v>
      </c>
      <c r="E1911">
        <v>0.82</v>
      </c>
      <c r="F1911">
        <v>1.2</v>
      </c>
      <c r="G1911">
        <v>0.33</v>
      </c>
      <c r="H1911" t="s">
        <v>17</v>
      </c>
    </row>
    <row r="1912" spans="1:8" x14ac:dyDescent="0.25">
      <c r="A1912" t="s">
        <v>16</v>
      </c>
      <c r="B1912">
        <v>69819</v>
      </c>
      <c r="C1912">
        <v>4</v>
      </c>
      <c r="D1912" t="s">
        <v>9</v>
      </c>
      <c r="E1912">
        <v>0.63</v>
      </c>
      <c r="F1912">
        <v>0.63</v>
      </c>
      <c r="G1912">
        <v>0.39</v>
      </c>
      <c r="H1912" t="s">
        <v>17</v>
      </c>
    </row>
    <row r="1913" spans="1:8" x14ac:dyDescent="0.25">
      <c r="A1913" t="s">
        <v>31</v>
      </c>
      <c r="B1913">
        <v>141925</v>
      </c>
      <c r="C1913">
        <v>23</v>
      </c>
      <c r="D1913" t="s">
        <v>28</v>
      </c>
      <c r="E1913">
        <v>0.41</v>
      </c>
      <c r="F1913">
        <v>1.38</v>
      </c>
      <c r="G1913">
        <v>0.81</v>
      </c>
      <c r="H1913" t="s">
        <v>10</v>
      </c>
    </row>
    <row r="1914" spans="1:8" x14ac:dyDescent="0.25">
      <c r="A1914" t="s">
        <v>11</v>
      </c>
      <c r="B1914">
        <v>75805</v>
      </c>
      <c r="C1914">
        <v>19</v>
      </c>
      <c r="D1914" t="s">
        <v>28</v>
      </c>
      <c r="E1914">
        <v>0.78</v>
      </c>
      <c r="F1914">
        <v>0.57999999999999996</v>
      </c>
      <c r="G1914">
        <v>0.09</v>
      </c>
      <c r="H1914" t="s">
        <v>13</v>
      </c>
    </row>
    <row r="1915" spans="1:8" x14ac:dyDescent="0.25">
      <c r="A1915" t="s">
        <v>14</v>
      </c>
      <c r="B1915">
        <v>67326</v>
      </c>
      <c r="C1915">
        <v>15</v>
      </c>
      <c r="D1915" t="s">
        <v>15</v>
      </c>
      <c r="E1915">
        <v>0.92</v>
      </c>
      <c r="F1915">
        <v>1.2</v>
      </c>
      <c r="G1915">
        <v>0.91</v>
      </c>
      <c r="H1915" t="s">
        <v>10</v>
      </c>
    </row>
    <row r="1916" spans="1:8" x14ac:dyDescent="0.25">
      <c r="A1916" t="s">
        <v>22</v>
      </c>
      <c r="B1916">
        <v>69224</v>
      </c>
      <c r="C1916">
        <v>18</v>
      </c>
      <c r="D1916" t="s">
        <v>28</v>
      </c>
      <c r="E1916">
        <v>0.17</v>
      </c>
      <c r="F1916">
        <v>1.25</v>
      </c>
      <c r="G1916">
        <v>0.54</v>
      </c>
      <c r="H1916" t="s">
        <v>17</v>
      </c>
    </row>
    <row r="1917" spans="1:8" x14ac:dyDescent="0.25">
      <c r="A1917" t="s">
        <v>26</v>
      </c>
      <c r="B1917">
        <v>132567</v>
      </c>
      <c r="C1917">
        <v>4</v>
      </c>
      <c r="D1917" t="s">
        <v>28</v>
      </c>
      <c r="E1917">
        <v>0</v>
      </c>
      <c r="F1917">
        <v>1.2</v>
      </c>
      <c r="G1917">
        <v>0.52</v>
      </c>
      <c r="H1917" t="s">
        <v>17</v>
      </c>
    </row>
    <row r="1918" spans="1:8" x14ac:dyDescent="0.25">
      <c r="A1918" t="s">
        <v>21</v>
      </c>
      <c r="B1918">
        <v>129417</v>
      </c>
      <c r="C1918">
        <v>23</v>
      </c>
      <c r="D1918" t="s">
        <v>9</v>
      </c>
      <c r="E1918">
        <v>0.33</v>
      </c>
      <c r="F1918">
        <v>0.71</v>
      </c>
      <c r="G1918">
        <v>0.28000000000000003</v>
      </c>
      <c r="H1918" t="s">
        <v>13</v>
      </c>
    </row>
    <row r="1919" spans="1:8" x14ac:dyDescent="0.25">
      <c r="A1919" t="s">
        <v>20</v>
      </c>
      <c r="B1919">
        <v>129652</v>
      </c>
      <c r="C1919">
        <v>28</v>
      </c>
      <c r="D1919" t="s">
        <v>15</v>
      </c>
      <c r="E1919">
        <v>0.35</v>
      </c>
      <c r="F1919">
        <v>1.38</v>
      </c>
      <c r="G1919">
        <v>0.31</v>
      </c>
      <c r="H1919" t="s">
        <v>17</v>
      </c>
    </row>
    <row r="1920" spans="1:8" x14ac:dyDescent="0.25">
      <c r="A1920" t="s">
        <v>16</v>
      </c>
      <c r="B1920">
        <v>58498</v>
      </c>
      <c r="C1920">
        <v>10</v>
      </c>
      <c r="D1920" t="s">
        <v>28</v>
      </c>
      <c r="E1920">
        <v>0.86</v>
      </c>
      <c r="F1920">
        <v>1.23</v>
      </c>
      <c r="G1920">
        <v>0.45</v>
      </c>
      <c r="H1920" t="s">
        <v>17</v>
      </c>
    </row>
    <row r="1921" spans="1:8" x14ac:dyDescent="0.25">
      <c r="A1921" t="s">
        <v>31</v>
      </c>
      <c r="B1921">
        <v>37816</v>
      </c>
      <c r="C1921">
        <v>17</v>
      </c>
      <c r="D1921" t="s">
        <v>9</v>
      </c>
      <c r="E1921">
        <v>0.9</v>
      </c>
      <c r="F1921">
        <v>1.25</v>
      </c>
      <c r="G1921">
        <v>0.93</v>
      </c>
      <c r="H1921" t="s">
        <v>10</v>
      </c>
    </row>
    <row r="1922" spans="1:8" x14ac:dyDescent="0.25">
      <c r="A1922" t="s">
        <v>25</v>
      </c>
      <c r="B1922">
        <v>65074</v>
      </c>
      <c r="C1922">
        <v>22</v>
      </c>
      <c r="D1922" t="s">
        <v>28</v>
      </c>
      <c r="E1922">
        <v>0.42</v>
      </c>
      <c r="F1922">
        <v>1.23</v>
      </c>
      <c r="G1922">
        <v>0.42</v>
      </c>
      <c r="H1922" t="s">
        <v>17</v>
      </c>
    </row>
    <row r="1923" spans="1:8" x14ac:dyDescent="0.25">
      <c r="A1923" t="s">
        <v>20</v>
      </c>
      <c r="B1923">
        <v>46775</v>
      </c>
      <c r="C1923">
        <v>29</v>
      </c>
      <c r="D1923" t="s">
        <v>12</v>
      </c>
      <c r="E1923">
        <v>0.11</v>
      </c>
      <c r="F1923">
        <v>0.99</v>
      </c>
      <c r="G1923">
        <v>0.48</v>
      </c>
      <c r="H1923" t="s">
        <v>17</v>
      </c>
    </row>
    <row r="1924" spans="1:8" x14ac:dyDescent="0.25">
      <c r="A1924" t="s">
        <v>16</v>
      </c>
      <c r="B1924">
        <v>127095</v>
      </c>
      <c r="C1924">
        <v>14</v>
      </c>
      <c r="D1924" t="s">
        <v>15</v>
      </c>
      <c r="E1924">
        <v>0.77</v>
      </c>
      <c r="F1924">
        <v>1.4</v>
      </c>
      <c r="G1924">
        <v>0.54</v>
      </c>
      <c r="H1924" t="s">
        <v>17</v>
      </c>
    </row>
    <row r="1925" spans="1:8" x14ac:dyDescent="0.25">
      <c r="A1925" t="s">
        <v>19</v>
      </c>
      <c r="B1925">
        <v>85124</v>
      </c>
      <c r="C1925">
        <v>18</v>
      </c>
      <c r="D1925" t="s">
        <v>9</v>
      </c>
      <c r="E1925">
        <v>0.37</v>
      </c>
      <c r="F1925">
        <v>1.05</v>
      </c>
      <c r="G1925">
        <v>0.13</v>
      </c>
      <c r="H1925" t="s">
        <v>13</v>
      </c>
    </row>
    <row r="1926" spans="1:8" x14ac:dyDescent="0.25">
      <c r="A1926" t="s">
        <v>33</v>
      </c>
      <c r="B1926">
        <v>48224</v>
      </c>
      <c r="C1926">
        <v>22</v>
      </c>
      <c r="D1926" t="s">
        <v>28</v>
      </c>
      <c r="E1926">
        <v>0.62</v>
      </c>
      <c r="F1926">
        <v>0.53</v>
      </c>
      <c r="G1926">
        <v>0.16</v>
      </c>
      <c r="H1926" t="s">
        <v>13</v>
      </c>
    </row>
    <row r="1927" spans="1:8" x14ac:dyDescent="0.25">
      <c r="A1927" t="s">
        <v>32</v>
      </c>
      <c r="B1927">
        <v>80421</v>
      </c>
      <c r="C1927">
        <v>9</v>
      </c>
      <c r="D1927" t="s">
        <v>15</v>
      </c>
      <c r="E1927">
        <v>0.82</v>
      </c>
      <c r="F1927">
        <v>1.28</v>
      </c>
      <c r="G1927">
        <v>0.65</v>
      </c>
      <c r="H1927" t="s">
        <v>17</v>
      </c>
    </row>
    <row r="1928" spans="1:8" x14ac:dyDescent="0.25">
      <c r="A1928" t="s">
        <v>34</v>
      </c>
      <c r="B1928">
        <v>149028</v>
      </c>
      <c r="C1928">
        <v>19</v>
      </c>
      <c r="D1928" t="s">
        <v>12</v>
      </c>
      <c r="E1928">
        <v>0.65</v>
      </c>
      <c r="F1928">
        <v>1.06</v>
      </c>
      <c r="G1928">
        <v>0.5</v>
      </c>
      <c r="H1928" t="s">
        <v>17</v>
      </c>
    </row>
    <row r="1929" spans="1:8" x14ac:dyDescent="0.25">
      <c r="A1929" t="s">
        <v>31</v>
      </c>
      <c r="B1929">
        <v>137919</v>
      </c>
      <c r="C1929">
        <v>29</v>
      </c>
      <c r="D1929" t="s">
        <v>15</v>
      </c>
      <c r="E1929">
        <v>0.9</v>
      </c>
      <c r="F1929">
        <v>1.33</v>
      </c>
      <c r="G1929">
        <v>0.8</v>
      </c>
      <c r="H1929" t="s">
        <v>10</v>
      </c>
    </row>
    <row r="1930" spans="1:8" x14ac:dyDescent="0.25">
      <c r="A1930" t="s">
        <v>27</v>
      </c>
      <c r="B1930">
        <v>129391</v>
      </c>
      <c r="C1930">
        <v>13</v>
      </c>
      <c r="D1930" t="s">
        <v>9</v>
      </c>
      <c r="E1930">
        <v>0.5</v>
      </c>
      <c r="F1930">
        <v>0.6</v>
      </c>
      <c r="G1930">
        <v>0.4</v>
      </c>
      <c r="H1930" t="s">
        <v>17</v>
      </c>
    </row>
    <row r="1931" spans="1:8" x14ac:dyDescent="0.25">
      <c r="A1931" t="s">
        <v>34</v>
      </c>
      <c r="B1931">
        <v>105125</v>
      </c>
      <c r="C1931">
        <v>29</v>
      </c>
      <c r="D1931" t="s">
        <v>9</v>
      </c>
      <c r="E1931">
        <v>0.06</v>
      </c>
      <c r="F1931">
        <v>1.01</v>
      </c>
      <c r="G1931">
        <v>0.33</v>
      </c>
      <c r="H1931" t="s">
        <v>17</v>
      </c>
    </row>
    <row r="1932" spans="1:8" x14ac:dyDescent="0.25">
      <c r="A1932" t="s">
        <v>24</v>
      </c>
      <c r="B1932">
        <v>127071</v>
      </c>
      <c r="C1932">
        <v>20</v>
      </c>
      <c r="D1932" t="s">
        <v>9</v>
      </c>
      <c r="E1932">
        <v>0.66</v>
      </c>
      <c r="F1932">
        <v>0.81</v>
      </c>
      <c r="G1932">
        <v>0.41</v>
      </c>
      <c r="H1932" t="s">
        <v>17</v>
      </c>
    </row>
    <row r="1933" spans="1:8" x14ac:dyDescent="0.25">
      <c r="A1933" t="s">
        <v>19</v>
      </c>
      <c r="B1933">
        <v>109036</v>
      </c>
      <c r="C1933">
        <v>1</v>
      </c>
      <c r="D1933" t="s">
        <v>9</v>
      </c>
      <c r="E1933">
        <v>0.68</v>
      </c>
      <c r="F1933">
        <v>1.45</v>
      </c>
      <c r="G1933">
        <v>0.12</v>
      </c>
      <c r="H1933" t="s">
        <v>13</v>
      </c>
    </row>
    <row r="1934" spans="1:8" x14ac:dyDescent="0.25">
      <c r="A1934" t="s">
        <v>8</v>
      </c>
      <c r="B1934">
        <v>59000</v>
      </c>
      <c r="C1934">
        <v>5</v>
      </c>
      <c r="D1934" t="s">
        <v>28</v>
      </c>
      <c r="E1934">
        <v>0.9</v>
      </c>
      <c r="F1934">
        <v>0.8</v>
      </c>
      <c r="G1934">
        <v>0.8</v>
      </c>
      <c r="H1934" t="s">
        <v>10</v>
      </c>
    </row>
    <row r="1935" spans="1:8" x14ac:dyDescent="0.25">
      <c r="A1935" t="s">
        <v>31</v>
      </c>
      <c r="B1935">
        <v>45529</v>
      </c>
      <c r="C1935">
        <v>22</v>
      </c>
      <c r="D1935" t="s">
        <v>15</v>
      </c>
      <c r="E1935">
        <v>0.5</v>
      </c>
      <c r="F1935">
        <v>0.51</v>
      </c>
      <c r="G1935">
        <v>0.85</v>
      </c>
      <c r="H1935" t="s">
        <v>10</v>
      </c>
    </row>
    <row r="1936" spans="1:8" x14ac:dyDescent="0.25">
      <c r="A1936" t="s">
        <v>8</v>
      </c>
      <c r="B1936">
        <v>124845</v>
      </c>
      <c r="C1936">
        <v>15</v>
      </c>
      <c r="D1936" t="s">
        <v>12</v>
      </c>
      <c r="E1936">
        <v>0.33</v>
      </c>
      <c r="F1936">
        <v>1.02</v>
      </c>
      <c r="G1936">
        <v>0.94</v>
      </c>
      <c r="H1936" t="s">
        <v>10</v>
      </c>
    </row>
    <row r="1937" spans="1:8" x14ac:dyDescent="0.25">
      <c r="A1937" t="s">
        <v>8</v>
      </c>
      <c r="B1937">
        <v>135312</v>
      </c>
      <c r="C1937">
        <v>28</v>
      </c>
      <c r="D1937" t="s">
        <v>15</v>
      </c>
      <c r="E1937">
        <v>0.43</v>
      </c>
      <c r="F1937">
        <v>0.53</v>
      </c>
      <c r="G1937">
        <v>0.73</v>
      </c>
      <c r="H1937" t="s">
        <v>10</v>
      </c>
    </row>
    <row r="1938" spans="1:8" x14ac:dyDescent="0.25">
      <c r="A1938" t="s">
        <v>33</v>
      </c>
      <c r="B1938">
        <v>95478</v>
      </c>
      <c r="C1938">
        <v>22</v>
      </c>
      <c r="D1938" t="s">
        <v>15</v>
      </c>
      <c r="E1938">
        <v>0.6</v>
      </c>
      <c r="F1938">
        <v>1.5</v>
      </c>
      <c r="G1938">
        <v>0.08</v>
      </c>
      <c r="H1938" t="s">
        <v>13</v>
      </c>
    </row>
    <row r="1939" spans="1:8" x14ac:dyDescent="0.25">
      <c r="A1939" t="s">
        <v>27</v>
      </c>
      <c r="B1939">
        <v>71702</v>
      </c>
      <c r="C1939">
        <v>8</v>
      </c>
      <c r="D1939" t="s">
        <v>28</v>
      </c>
      <c r="E1939">
        <v>0.35</v>
      </c>
      <c r="F1939">
        <v>0.91</v>
      </c>
      <c r="G1939">
        <v>0.35</v>
      </c>
      <c r="H1939" t="s">
        <v>17</v>
      </c>
    </row>
    <row r="1940" spans="1:8" x14ac:dyDescent="0.25">
      <c r="A1940" t="s">
        <v>29</v>
      </c>
      <c r="B1940">
        <v>123068</v>
      </c>
      <c r="C1940">
        <v>25</v>
      </c>
      <c r="D1940" t="s">
        <v>9</v>
      </c>
      <c r="E1940">
        <v>0.01</v>
      </c>
      <c r="F1940">
        <v>0.81</v>
      </c>
      <c r="G1940">
        <v>0.72</v>
      </c>
      <c r="H1940" t="s">
        <v>10</v>
      </c>
    </row>
    <row r="1941" spans="1:8" x14ac:dyDescent="0.25">
      <c r="A1941" t="s">
        <v>14</v>
      </c>
      <c r="B1941">
        <v>33911</v>
      </c>
      <c r="C1941">
        <v>13</v>
      </c>
      <c r="D1941" t="s">
        <v>28</v>
      </c>
      <c r="E1941">
        <v>0.6</v>
      </c>
      <c r="F1941">
        <v>1.38</v>
      </c>
      <c r="G1941">
        <v>0.72</v>
      </c>
      <c r="H1941" t="s">
        <v>10</v>
      </c>
    </row>
    <row r="1942" spans="1:8" x14ac:dyDescent="0.25">
      <c r="A1942" t="s">
        <v>25</v>
      </c>
      <c r="B1942">
        <v>121964</v>
      </c>
      <c r="C1942">
        <v>14</v>
      </c>
      <c r="D1942" t="s">
        <v>12</v>
      </c>
      <c r="E1942">
        <v>0.64</v>
      </c>
      <c r="F1942">
        <v>1.45</v>
      </c>
      <c r="G1942">
        <v>0.49</v>
      </c>
      <c r="H1942" t="s">
        <v>17</v>
      </c>
    </row>
    <row r="1943" spans="1:8" x14ac:dyDescent="0.25">
      <c r="A1943" t="s">
        <v>26</v>
      </c>
      <c r="B1943">
        <v>78229</v>
      </c>
      <c r="C1943">
        <v>16</v>
      </c>
      <c r="D1943" t="s">
        <v>9</v>
      </c>
      <c r="E1943">
        <v>0.12</v>
      </c>
      <c r="F1943">
        <v>1.42</v>
      </c>
      <c r="G1943">
        <v>0.56999999999999995</v>
      </c>
      <c r="H1943" t="s">
        <v>17</v>
      </c>
    </row>
    <row r="1944" spans="1:8" x14ac:dyDescent="0.25">
      <c r="A1944" t="s">
        <v>14</v>
      </c>
      <c r="B1944">
        <v>66704</v>
      </c>
      <c r="C1944">
        <v>18</v>
      </c>
      <c r="D1944" t="s">
        <v>12</v>
      </c>
      <c r="E1944">
        <v>0.98</v>
      </c>
      <c r="F1944">
        <v>0.56999999999999995</v>
      </c>
      <c r="G1944">
        <v>0.83</v>
      </c>
      <c r="H1944" t="s">
        <v>10</v>
      </c>
    </row>
    <row r="1945" spans="1:8" x14ac:dyDescent="0.25">
      <c r="A1945" t="s">
        <v>29</v>
      </c>
      <c r="B1945">
        <v>91295</v>
      </c>
      <c r="C1945">
        <v>20</v>
      </c>
      <c r="D1945" t="s">
        <v>28</v>
      </c>
      <c r="E1945">
        <v>0.92</v>
      </c>
      <c r="F1945">
        <v>1.1200000000000001</v>
      </c>
      <c r="G1945">
        <v>0.88</v>
      </c>
      <c r="H1945" t="s">
        <v>10</v>
      </c>
    </row>
    <row r="1946" spans="1:8" x14ac:dyDescent="0.25">
      <c r="A1946" t="s">
        <v>23</v>
      </c>
      <c r="B1946">
        <v>114532</v>
      </c>
      <c r="C1946">
        <v>0</v>
      </c>
      <c r="D1946" t="s">
        <v>28</v>
      </c>
      <c r="E1946">
        <v>0.01</v>
      </c>
      <c r="F1946">
        <v>0.56000000000000005</v>
      </c>
      <c r="G1946">
        <v>0.86</v>
      </c>
      <c r="H1946" t="s">
        <v>10</v>
      </c>
    </row>
    <row r="1947" spans="1:8" x14ac:dyDescent="0.25">
      <c r="A1947" t="s">
        <v>11</v>
      </c>
      <c r="B1947">
        <v>129211</v>
      </c>
      <c r="C1947">
        <v>27</v>
      </c>
      <c r="D1947" t="s">
        <v>9</v>
      </c>
      <c r="E1947">
        <v>0.14000000000000001</v>
      </c>
      <c r="F1947">
        <v>0.9</v>
      </c>
      <c r="G1947">
        <v>0.06</v>
      </c>
      <c r="H1947" t="s">
        <v>13</v>
      </c>
    </row>
    <row r="1948" spans="1:8" x14ac:dyDescent="0.25">
      <c r="A1948" t="s">
        <v>33</v>
      </c>
      <c r="B1948">
        <v>36826</v>
      </c>
      <c r="C1948">
        <v>12</v>
      </c>
      <c r="D1948" t="s">
        <v>12</v>
      </c>
      <c r="E1948">
        <v>0.69</v>
      </c>
      <c r="F1948">
        <v>1.1200000000000001</v>
      </c>
      <c r="G1948">
        <v>0.16</v>
      </c>
      <c r="H1948" t="s">
        <v>13</v>
      </c>
    </row>
    <row r="1949" spans="1:8" x14ac:dyDescent="0.25">
      <c r="A1949" t="s">
        <v>33</v>
      </c>
      <c r="B1949">
        <v>113899</v>
      </c>
      <c r="C1949">
        <v>28</v>
      </c>
      <c r="D1949" t="s">
        <v>9</v>
      </c>
      <c r="E1949">
        <v>0.91</v>
      </c>
      <c r="F1949">
        <v>1.03</v>
      </c>
      <c r="G1949">
        <v>0.19</v>
      </c>
      <c r="H1949" t="s">
        <v>13</v>
      </c>
    </row>
    <row r="1950" spans="1:8" x14ac:dyDescent="0.25">
      <c r="A1950" t="s">
        <v>32</v>
      </c>
      <c r="B1950">
        <v>59407</v>
      </c>
      <c r="C1950">
        <v>0</v>
      </c>
      <c r="D1950" t="s">
        <v>28</v>
      </c>
      <c r="E1950">
        <v>0.78</v>
      </c>
      <c r="F1950">
        <v>0.53</v>
      </c>
      <c r="G1950">
        <v>0.61</v>
      </c>
      <c r="H1950" t="s">
        <v>17</v>
      </c>
    </row>
    <row r="1951" spans="1:8" x14ac:dyDescent="0.25">
      <c r="A1951" t="s">
        <v>30</v>
      </c>
      <c r="B1951">
        <v>120389</v>
      </c>
      <c r="C1951">
        <v>28</v>
      </c>
      <c r="D1951" t="s">
        <v>9</v>
      </c>
      <c r="E1951">
        <v>0.77</v>
      </c>
      <c r="F1951">
        <v>0.59</v>
      </c>
      <c r="G1951">
        <v>0.12</v>
      </c>
      <c r="H1951" t="s">
        <v>13</v>
      </c>
    </row>
    <row r="1952" spans="1:8" x14ac:dyDescent="0.25">
      <c r="A1952" t="s">
        <v>21</v>
      </c>
      <c r="B1952">
        <v>145796</v>
      </c>
      <c r="C1952">
        <v>23</v>
      </c>
      <c r="D1952" t="s">
        <v>12</v>
      </c>
      <c r="E1952">
        <v>0.98</v>
      </c>
      <c r="F1952">
        <v>1.19</v>
      </c>
      <c r="G1952">
        <v>0.2</v>
      </c>
      <c r="H1952" t="s">
        <v>13</v>
      </c>
    </row>
    <row r="1953" spans="1:8" x14ac:dyDescent="0.25">
      <c r="A1953" t="s">
        <v>18</v>
      </c>
      <c r="B1953">
        <v>44433</v>
      </c>
      <c r="C1953">
        <v>0</v>
      </c>
      <c r="D1953" t="s">
        <v>15</v>
      </c>
      <c r="E1953">
        <v>0.5</v>
      </c>
      <c r="F1953">
        <v>1.01</v>
      </c>
      <c r="G1953">
        <v>0.44</v>
      </c>
      <c r="H1953" t="s">
        <v>17</v>
      </c>
    </row>
    <row r="1954" spans="1:8" x14ac:dyDescent="0.25">
      <c r="A1954" t="s">
        <v>14</v>
      </c>
      <c r="B1954">
        <v>120913</v>
      </c>
      <c r="C1954">
        <v>26</v>
      </c>
      <c r="D1954" t="s">
        <v>15</v>
      </c>
      <c r="E1954">
        <v>0.97</v>
      </c>
      <c r="F1954">
        <v>1.17</v>
      </c>
      <c r="G1954">
        <v>0.93</v>
      </c>
      <c r="H1954" t="s">
        <v>10</v>
      </c>
    </row>
    <row r="1955" spans="1:8" x14ac:dyDescent="0.25">
      <c r="A1955" t="s">
        <v>24</v>
      </c>
      <c r="B1955">
        <v>128747</v>
      </c>
      <c r="C1955">
        <v>21</v>
      </c>
      <c r="D1955" t="s">
        <v>28</v>
      </c>
      <c r="E1955">
        <v>0.64</v>
      </c>
      <c r="F1955">
        <v>0.79</v>
      </c>
      <c r="G1955">
        <v>0.4</v>
      </c>
      <c r="H1955" t="s">
        <v>17</v>
      </c>
    </row>
    <row r="1956" spans="1:8" x14ac:dyDescent="0.25">
      <c r="A1956" t="s">
        <v>20</v>
      </c>
      <c r="B1956">
        <v>102593</v>
      </c>
      <c r="C1956">
        <v>22</v>
      </c>
      <c r="D1956" t="s">
        <v>9</v>
      </c>
      <c r="E1956">
        <v>0.15</v>
      </c>
      <c r="F1956">
        <v>0.84</v>
      </c>
      <c r="G1956">
        <v>0.32</v>
      </c>
      <c r="H1956" t="s">
        <v>17</v>
      </c>
    </row>
    <row r="1957" spans="1:8" x14ac:dyDescent="0.25">
      <c r="A1957" t="s">
        <v>21</v>
      </c>
      <c r="B1957">
        <v>57706</v>
      </c>
      <c r="C1957">
        <v>12</v>
      </c>
      <c r="D1957" t="s">
        <v>9</v>
      </c>
      <c r="E1957">
        <v>0.26</v>
      </c>
      <c r="F1957">
        <v>0.74</v>
      </c>
      <c r="G1957">
        <v>0.19</v>
      </c>
      <c r="H1957" t="s">
        <v>13</v>
      </c>
    </row>
    <row r="1958" spans="1:8" x14ac:dyDescent="0.25">
      <c r="A1958" t="s">
        <v>8</v>
      </c>
      <c r="B1958">
        <v>53665</v>
      </c>
      <c r="C1958">
        <v>21</v>
      </c>
      <c r="D1958" t="s">
        <v>15</v>
      </c>
      <c r="E1958">
        <v>0.43</v>
      </c>
      <c r="F1958">
        <v>0.84</v>
      </c>
      <c r="G1958">
        <v>0.75</v>
      </c>
      <c r="H1958" t="s">
        <v>10</v>
      </c>
    </row>
    <row r="1959" spans="1:8" x14ac:dyDescent="0.25">
      <c r="A1959" t="s">
        <v>22</v>
      </c>
      <c r="B1959">
        <v>109133</v>
      </c>
      <c r="C1959">
        <v>24</v>
      </c>
      <c r="D1959" t="s">
        <v>12</v>
      </c>
      <c r="E1959">
        <v>0.48</v>
      </c>
      <c r="F1959">
        <v>1.02</v>
      </c>
      <c r="G1959">
        <v>0.31</v>
      </c>
      <c r="H1959" t="s">
        <v>17</v>
      </c>
    </row>
    <row r="1960" spans="1:8" x14ac:dyDescent="0.25">
      <c r="A1960" t="s">
        <v>26</v>
      </c>
      <c r="B1960">
        <v>74329</v>
      </c>
      <c r="C1960">
        <v>5</v>
      </c>
      <c r="D1960" t="s">
        <v>9</v>
      </c>
      <c r="E1960">
        <v>0.73</v>
      </c>
      <c r="F1960">
        <v>1.03</v>
      </c>
      <c r="G1960">
        <v>0.47</v>
      </c>
      <c r="H1960" t="s">
        <v>17</v>
      </c>
    </row>
    <row r="1961" spans="1:8" x14ac:dyDescent="0.25">
      <c r="A1961" t="s">
        <v>34</v>
      </c>
      <c r="B1961">
        <v>37279</v>
      </c>
      <c r="C1961">
        <v>9</v>
      </c>
      <c r="D1961" t="s">
        <v>15</v>
      </c>
      <c r="E1961">
        <v>0.52</v>
      </c>
      <c r="F1961">
        <v>0.54</v>
      </c>
      <c r="G1961">
        <v>0.39</v>
      </c>
      <c r="H1961" t="s">
        <v>17</v>
      </c>
    </row>
    <row r="1962" spans="1:8" x14ac:dyDescent="0.25">
      <c r="A1962" t="s">
        <v>32</v>
      </c>
      <c r="B1962">
        <v>69323</v>
      </c>
      <c r="C1962">
        <v>9</v>
      </c>
      <c r="D1962" t="s">
        <v>15</v>
      </c>
      <c r="E1962">
        <v>0.32</v>
      </c>
      <c r="F1962">
        <v>1.19</v>
      </c>
      <c r="G1962">
        <v>0.63</v>
      </c>
      <c r="H1962" t="s">
        <v>17</v>
      </c>
    </row>
    <row r="1963" spans="1:8" x14ac:dyDescent="0.25">
      <c r="A1963" t="s">
        <v>27</v>
      </c>
      <c r="B1963">
        <v>81454</v>
      </c>
      <c r="C1963">
        <v>18</v>
      </c>
      <c r="D1963" t="s">
        <v>15</v>
      </c>
      <c r="E1963">
        <v>0.96</v>
      </c>
      <c r="F1963">
        <v>0.91</v>
      </c>
      <c r="G1963">
        <v>0.39</v>
      </c>
      <c r="H1963" t="s">
        <v>17</v>
      </c>
    </row>
    <row r="1964" spans="1:8" x14ac:dyDescent="0.25">
      <c r="A1964" t="s">
        <v>14</v>
      </c>
      <c r="B1964">
        <v>80366</v>
      </c>
      <c r="C1964">
        <v>15</v>
      </c>
      <c r="D1964" t="s">
        <v>9</v>
      </c>
      <c r="E1964">
        <v>0.45</v>
      </c>
      <c r="F1964">
        <v>1.25</v>
      </c>
      <c r="G1964">
        <v>0.78</v>
      </c>
      <c r="H1964" t="s">
        <v>10</v>
      </c>
    </row>
    <row r="1965" spans="1:8" x14ac:dyDescent="0.25">
      <c r="A1965" t="s">
        <v>16</v>
      </c>
      <c r="B1965">
        <v>71476</v>
      </c>
      <c r="C1965">
        <v>0</v>
      </c>
      <c r="D1965" t="s">
        <v>12</v>
      </c>
      <c r="E1965">
        <v>0.42</v>
      </c>
      <c r="F1965">
        <v>1.21</v>
      </c>
      <c r="G1965">
        <v>0.3</v>
      </c>
      <c r="H1965" t="s">
        <v>13</v>
      </c>
    </row>
    <row r="1966" spans="1:8" x14ac:dyDescent="0.25">
      <c r="A1966" t="s">
        <v>20</v>
      </c>
      <c r="B1966">
        <v>122850</v>
      </c>
      <c r="C1966">
        <v>11</v>
      </c>
      <c r="D1966" t="s">
        <v>15</v>
      </c>
      <c r="E1966">
        <v>0.37</v>
      </c>
      <c r="F1966">
        <v>0.87</v>
      </c>
      <c r="G1966">
        <v>0.6</v>
      </c>
      <c r="H1966" t="s">
        <v>17</v>
      </c>
    </row>
    <row r="1967" spans="1:8" x14ac:dyDescent="0.25">
      <c r="A1967" t="s">
        <v>16</v>
      </c>
      <c r="B1967">
        <v>80608</v>
      </c>
      <c r="C1967">
        <v>17</v>
      </c>
      <c r="D1967" t="s">
        <v>15</v>
      </c>
      <c r="E1967">
        <v>0.06</v>
      </c>
      <c r="F1967">
        <v>0.56000000000000005</v>
      </c>
      <c r="G1967">
        <v>0.45</v>
      </c>
      <c r="H1967" t="s">
        <v>17</v>
      </c>
    </row>
    <row r="1968" spans="1:8" x14ac:dyDescent="0.25">
      <c r="A1968" t="s">
        <v>19</v>
      </c>
      <c r="B1968">
        <v>92188</v>
      </c>
      <c r="C1968">
        <v>24</v>
      </c>
      <c r="D1968" t="s">
        <v>9</v>
      </c>
      <c r="E1968">
        <v>0.25</v>
      </c>
      <c r="F1968">
        <v>1.08</v>
      </c>
      <c r="G1968">
        <v>0.22</v>
      </c>
      <c r="H1968" t="s">
        <v>13</v>
      </c>
    </row>
    <row r="1969" spans="1:8" x14ac:dyDescent="0.25">
      <c r="A1969" t="s">
        <v>34</v>
      </c>
      <c r="B1969">
        <v>43606</v>
      </c>
      <c r="C1969">
        <v>29</v>
      </c>
      <c r="D1969" t="s">
        <v>15</v>
      </c>
      <c r="E1969">
        <v>0.93</v>
      </c>
      <c r="F1969">
        <v>0.89</v>
      </c>
      <c r="G1969">
        <v>0.32</v>
      </c>
      <c r="H1969" t="s">
        <v>17</v>
      </c>
    </row>
    <row r="1970" spans="1:8" x14ac:dyDescent="0.25">
      <c r="A1970" t="s">
        <v>21</v>
      </c>
      <c r="B1970">
        <v>83568</v>
      </c>
      <c r="C1970">
        <v>29</v>
      </c>
      <c r="D1970" t="s">
        <v>12</v>
      </c>
      <c r="E1970">
        <v>0.64</v>
      </c>
      <c r="F1970">
        <v>0.53</v>
      </c>
      <c r="G1970">
        <v>0.22</v>
      </c>
      <c r="H1970" t="s">
        <v>13</v>
      </c>
    </row>
    <row r="1971" spans="1:8" x14ac:dyDescent="0.25">
      <c r="A1971" t="s">
        <v>24</v>
      </c>
      <c r="B1971">
        <v>81638</v>
      </c>
      <c r="C1971">
        <v>21</v>
      </c>
      <c r="D1971" t="s">
        <v>15</v>
      </c>
      <c r="E1971">
        <v>0.63</v>
      </c>
      <c r="F1971">
        <v>0.64</v>
      </c>
      <c r="G1971">
        <v>0.44</v>
      </c>
      <c r="H1971" t="s">
        <v>17</v>
      </c>
    </row>
    <row r="1972" spans="1:8" x14ac:dyDescent="0.25">
      <c r="A1972" t="s">
        <v>29</v>
      </c>
      <c r="B1972">
        <v>123309</v>
      </c>
      <c r="C1972">
        <v>25</v>
      </c>
      <c r="D1972" t="s">
        <v>15</v>
      </c>
      <c r="E1972">
        <v>7.0000000000000007E-2</v>
      </c>
      <c r="F1972">
        <v>0.78</v>
      </c>
      <c r="G1972">
        <v>0.71</v>
      </c>
      <c r="H1972" t="s">
        <v>10</v>
      </c>
    </row>
    <row r="1973" spans="1:8" x14ac:dyDescent="0.25">
      <c r="A1973" t="s">
        <v>32</v>
      </c>
      <c r="B1973">
        <v>64873</v>
      </c>
      <c r="C1973">
        <v>24</v>
      </c>
      <c r="D1973" t="s">
        <v>9</v>
      </c>
      <c r="E1973">
        <v>0.13</v>
      </c>
      <c r="F1973">
        <v>1.41</v>
      </c>
      <c r="G1973">
        <v>0.53</v>
      </c>
      <c r="H1973" t="s">
        <v>17</v>
      </c>
    </row>
    <row r="1974" spans="1:8" x14ac:dyDescent="0.25">
      <c r="A1974" t="s">
        <v>21</v>
      </c>
      <c r="B1974">
        <v>78179</v>
      </c>
      <c r="C1974">
        <v>18</v>
      </c>
      <c r="D1974" t="s">
        <v>9</v>
      </c>
      <c r="E1974">
        <v>0.93</v>
      </c>
      <c r="F1974">
        <v>0.7</v>
      </c>
      <c r="G1974">
        <v>0.05</v>
      </c>
      <c r="H1974" t="s">
        <v>13</v>
      </c>
    </row>
    <row r="1975" spans="1:8" x14ac:dyDescent="0.25">
      <c r="A1975" t="s">
        <v>11</v>
      </c>
      <c r="B1975">
        <v>78139</v>
      </c>
      <c r="C1975">
        <v>11</v>
      </c>
      <c r="D1975" t="s">
        <v>28</v>
      </c>
      <c r="E1975">
        <v>0.32</v>
      </c>
      <c r="F1975">
        <v>0.5</v>
      </c>
      <c r="G1975">
        <v>7.0000000000000007E-2</v>
      </c>
      <c r="H1975" t="s">
        <v>13</v>
      </c>
    </row>
    <row r="1976" spans="1:8" x14ac:dyDescent="0.25">
      <c r="A1976" t="s">
        <v>21</v>
      </c>
      <c r="B1976">
        <v>43445</v>
      </c>
      <c r="C1976">
        <v>11</v>
      </c>
      <c r="D1976" t="s">
        <v>28</v>
      </c>
      <c r="E1976">
        <v>0.43</v>
      </c>
      <c r="F1976">
        <v>1.31</v>
      </c>
      <c r="G1976">
        <v>0.28000000000000003</v>
      </c>
      <c r="H1976" t="s">
        <v>13</v>
      </c>
    </row>
    <row r="1977" spans="1:8" x14ac:dyDescent="0.25">
      <c r="A1977" t="s">
        <v>32</v>
      </c>
      <c r="B1977">
        <v>31299</v>
      </c>
      <c r="C1977">
        <v>6</v>
      </c>
      <c r="D1977" t="s">
        <v>12</v>
      </c>
      <c r="E1977">
        <v>0.82</v>
      </c>
      <c r="F1977">
        <v>1.35</v>
      </c>
      <c r="G1977">
        <v>0.56000000000000005</v>
      </c>
      <c r="H1977" t="s">
        <v>17</v>
      </c>
    </row>
    <row r="1978" spans="1:8" x14ac:dyDescent="0.25">
      <c r="A1978" t="s">
        <v>26</v>
      </c>
      <c r="B1978">
        <v>104263</v>
      </c>
      <c r="C1978">
        <v>4</v>
      </c>
      <c r="D1978" t="s">
        <v>15</v>
      </c>
      <c r="E1978">
        <v>0.02</v>
      </c>
      <c r="F1978">
        <v>0.97</v>
      </c>
      <c r="G1978">
        <v>0.61</v>
      </c>
      <c r="H1978" t="s">
        <v>17</v>
      </c>
    </row>
    <row r="1979" spans="1:8" x14ac:dyDescent="0.25">
      <c r="A1979" t="s">
        <v>21</v>
      </c>
      <c r="B1979">
        <v>33250</v>
      </c>
      <c r="C1979">
        <v>2</v>
      </c>
      <c r="D1979" t="s">
        <v>9</v>
      </c>
      <c r="E1979">
        <v>0.88</v>
      </c>
      <c r="F1979">
        <v>0.59</v>
      </c>
      <c r="G1979">
        <v>0.28000000000000003</v>
      </c>
      <c r="H1979" t="s">
        <v>13</v>
      </c>
    </row>
    <row r="1980" spans="1:8" x14ac:dyDescent="0.25">
      <c r="A1980" t="s">
        <v>11</v>
      </c>
      <c r="B1980">
        <v>135050</v>
      </c>
      <c r="C1980">
        <v>21</v>
      </c>
      <c r="D1980" t="s">
        <v>9</v>
      </c>
      <c r="E1980">
        <v>0.96</v>
      </c>
      <c r="F1980">
        <v>1.01</v>
      </c>
      <c r="G1980">
        <v>0.15</v>
      </c>
      <c r="H1980" t="s">
        <v>13</v>
      </c>
    </row>
    <row r="1981" spans="1:8" x14ac:dyDescent="0.25">
      <c r="A1981" t="s">
        <v>22</v>
      </c>
      <c r="B1981">
        <v>80029</v>
      </c>
      <c r="C1981">
        <v>23</v>
      </c>
      <c r="D1981" t="s">
        <v>28</v>
      </c>
      <c r="E1981">
        <v>0.67</v>
      </c>
      <c r="F1981">
        <v>1.27</v>
      </c>
      <c r="G1981">
        <v>0.69</v>
      </c>
      <c r="H1981" t="s">
        <v>17</v>
      </c>
    </row>
    <row r="1982" spans="1:8" x14ac:dyDescent="0.25">
      <c r="A1982" t="s">
        <v>8</v>
      </c>
      <c r="B1982">
        <v>34965</v>
      </c>
      <c r="C1982">
        <v>8</v>
      </c>
      <c r="D1982" t="s">
        <v>28</v>
      </c>
      <c r="E1982">
        <v>0.33</v>
      </c>
      <c r="F1982">
        <v>0.92</v>
      </c>
      <c r="G1982">
        <v>0.82</v>
      </c>
      <c r="H1982" t="s">
        <v>10</v>
      </c>
    </row>
    <row r="1983" spans="1:8" x14ac:dyDescent="0.25">
      <c r="A1983" t="s">
        <v>30</v>
      </c>
      <c r="B1983">
        <v>148225</v>
      </c>
      <c r="C1983">
        <v>11</v>
      </c>
      <c r="D1983" t="s">
        <v>15</v>
      </c>
      <c r="E1983">
        <v>0.23</v>
      </c>
      <c r="F1983">
        <v>1.1399999999999999</v>
      </c>
      <c r="G1983">
        <v>0.28000000000000003</v>
      </c>
      <c r="H1983" t="s">
        <v>13</v>
      </c>
    </row>
    <row r="1984" spans="1:8" x14ac:dyDescent="0.25">
      <c r="A1984" t="s">
        <v>24</v>
      </c>
      <c r="B1984">
        <v>118458</v>
      </c>
      <c r="C1984">
        <v>27</v>
      </c>
      <c r="D1984" t="s">
        <v>28</v>
      </c>
      <c r="E1984">
        <v>0.28999999999999998</v>
      </c>
      <c r="F1984">
        <v>0.6</v>
      </c>
      <c r="G1984">
        <v>0.44</v>
      </c>
      <c r="H1984" t="s">
        <v>17</v>
      </c>
    </row>
    <row r="1985" spans="1:8" x14ac:dyDescent="0.25">
      <c r="A1985" t="s">
        <v>8</v>
      </c>
      <c r="B1985">
        <v>105763</v>
      </c>
      <c r="C1985">
        <v>6</v>
      </c>
      <c r="D1985" t="s">
        <v>12</v>
      </c>
      <c r="E1985">
        <v>0.55000000000000004</v>
      </c>
      <c r="F1985">
        <v>1.49</v>
      </c>
      <c r="G1985">
        <v>0.9</v>
      </c>
      <c r="H1985" t="s">
        <v>10</v>
      </c>
    </row>
    <row r="1986" spans="1:8" x14ac:dyDescent="0.25">
      <c r="A1986" t="s">
        <v>8</v>
      </c>
      <c r="B1986">
        <v>99458</v>
      </c>
      <c r="C1986">
        <v>16</v>
      </c>
      <c r="D1986" t="s">
        <v>28</v>
      </c>
      <c r="E1986">
        <v>0.85</v>
      </c>
      <c r="F1986">
        <v>0.91</v>
      </c>
      <c r="G1986">
        <v>0.94</v>
      </c>
      <c r="H1986" t="s">
        <v>10</v>
      </c>
    </row>
    <row r="1987" spans="1:8" x14ac:dyDescent="0.25">
      <c r="A1987" t="s">
        <v>33</v>
      </c>
      <c r="B1987">
        <v>34516</v>
      </c>
      <c r="C1987">
        <v>11</v>
      </c>
      <c r="D1987" t="s">
        <v>28</v>
      </c>
      <c r="E1987">
        <v>0.91</v>
      </c>
      <c r="F1987">
        <v>0.56999999999999995</v>
      </c>
      <c r="G1987">
        <v>0.24</v>
      </c>
      <c r="H1987" t="s">
        <v>13</v>
      </c>
    </row>
    <row r="1988" spans="1:8" x14ac:dyDescent="0.25">
      <c r="A1988" t="s">
        <v>21</v>
      </c>
      <c r="B1988">
        <v>123606</v>
      </c>
      <c r="C1988">
        <v>9</v>
      </c>
      <c r="D1988" t="s">
        <v>9</v>
      </c>
      <c r="E1988">
        <v>0.34</v>
      </c>
      <c r="F1988">
        <v>1.02</v>
      </c>
      <c r="G1988">
        <v>0.18</v>
      </c>
      <c r="H1988" t="s">
        <v>13</v>
      </c>
    </row>
    <row r="1989" spans="1:8" x14ac:dyDescent="0.25">
      <c r="A1989" t="s">
        <v>26</v>
      </c>
      <c r="B1989">
        <v>149359</v>
      </c>
      <c r="C1989">
        <v>0</v>
      </c>
      <c r="D1989" t="s">
        <v>12</v>
      </c>
      <c r="E1989">
        <v>0.47</v>
      </c>
      <c r="F1989">
        <v>0.68</v>
      </c>
      <c r="G1989">
        <v>0.53</v>
      </c>
      <c r="H1989" t="s">
        <v>17</v>
      </c>
    </row>
    <row r="1990" spans="1:8" x14ac:dyDescent="0.25">
      <c r="A1990" t="s">
        <v>18</v>
      </c>
      <c r="B1990">
        <v>37509</v>
      </c>
      <c r="C1990">
        <v>28</v>
      </c>
      <c r="D1990" t="s">
        <v>28</v>
      </c>
      <c r="E1990">
        <v>0.31</v>
      </c>
      <c r="F1990">
        <v>1.45</v>
      </c>
      <c r="G1990">
        <v>0.55000000000000004</v>
      </c>
      <c r="H1990" t="s">
        <v>17</v>
      </c>
    </row>
    <row r="1991" spans="1:8" x14ac:dyDescent="0.25">
      <c r="A1991" t="s">
        <v>26</v>
      </c>
      <c r="B1991">
        <v>117178</v>
      </c>
      <c r="C1991">
        <v>4</v>
      </c>
      <c r="D1991" t="s">
        <v>12</v>
      </c>
      <c r="E1991">
        <v>0.21</v>
      </c>
      <c r="F1991">
        <v>0.89</v>
      </c>
      <c r="G1991">
        <v>0.64</v>
      </c>
      <c r="H1991" t="s">
        <v>17</v>
      </c>
    </row>
    <row r="1992" spans="1:8" x14ac:dyDescent="0.25">
      <c r="A1992" t="s">
        <v>34</v>
      </c>
      <c r="B1992">
        <v>49060</v>
      </c>
      <c r="C1992">
        <v>0</v>
      </c>
      <c r="D1992" t="s">
        <v>28</v>
      </c>
      <c r="E1992">
        <v>0.4</v>
      </c>
      <c r="F1992">
        <v>1.45</v>
      </c>
      <c r="G1992">
        <v>0.43</v>
      </c>
      <c r="H1992" t="s">
        <v>17</v>
      </c>
    </row>
    <row r="1993" spans="1:8" x14ac:dyDescent="0.25">
      <c r="A1993" t="s">
        <v>21</v>
      </c>
      <c r="B1993">
        <v>59235</v>
      </c>
      <c r="C1993">
        <v>11</v>
      </c>
      <c r="D1993" t="s">
        <v>15</v>
      </c>
      <c r="E1993">
        <v>0.44</v>
      </c>
      <c r="F1993">
        <v>1.4</v>
      </c>
      <c r="G1993">
        <v>0.14000000000000001</v>
      </c>
      <c r="H1993" t="s">
        <v>13</v>
      </c>
    </row>
    <row r="1994" spans="1:8" x14ac:dyDescent="0.25">
      <c r="A1994" t="s">
        <v>21</v>
      </c>
      <c r="B1994">
        <v>79216</v>
      </c>
      <c r="C1994">
        <v>21</v>
      </c>
      <c r="D1994" t="s">
        <v>28</v>
      </c>
      <c r="E1994">
        <v>0.7</v>
      </c>
      <c r="F1994">
        <v>0.89</v>
      </c>
      <c r="G1994">
        <v>0.21</v>
      </c>
      <c r="H1994" t="s">
        <v>13</v>
      </c>
    </row>
    <row r="1995" spans="1:8" x14ac:dyDescent="0.25">
      <c r="A1995" t="s">
        <v>21</v>
      </c>
      <c r="B1995">
        <v>49789</v>
      </c>
      <c r="C1995">
        <v>20</v>
      </c>
      <c r="D1995" t="s">
        <v>9</v>
      </c>
      <c r="E1995">
        <v>0.17</v>
      </c>
      <c r="F1995">
        <v>1.23</v>
      </c>
      <c r="G1995">
        <v>0.11</v>
      </c>
      <c r="H1995" t="s">
        <v>13</v>
      </c>
    </row>
    <row r="1996" spans="1:8" x14ac:dyDescent="0.25">
      <c r="A1996" t="s">
        <v>29</v>
      </c>
      <c r="B1996">
        <v>107171</v>
      </c>
      <c r="C1996">
        <v>21</v>
      </c>
      <c r="D1996" t="s">
        <v>15</v>
      </c>
      <c r="E1996">
        <v>0.02</v>
      </c>
      <c r="F1996">
        <v>0.92</v>
      </c>
      <c r="G1996">
        <v>0.87</v>
      </c>
      <c r="H1996" t="s">
        <v>10</v>
      </c>
    </row>
    <row r="1997" spans="1:8" x14ac:dyDescent="0.25">
      <c r="A1997" t="s">
        <v>21</v>
      </c>
      <c r="B1997">
        <v>30443</v>
      </c>
      <c r="C1997">
        <v>21</v>
      </c>
      <c r="D1997" t="s">
        <v>12</v>
      </c>
      <c r="E1997">
        <v>0.86</v>
      </c>
      <c r="F1997">
        <v>0.83</v>
      </c>
      <c r="G1997">
        <v>0.23</v>
      </c>
      <c r="H1997" t="s">
        <v>13</v>
      </c>
    </row>
    <row r="1998" spans="1:8" x14ac:dyDescent="0.25">
      <c r="A1998" t="s">
        <v>20</v>
      </c>
      <c r="B1998">
        <v>105494</v>
      </c>
      <c r="C1998">
        <v>7</v>
      </c>
      <c r="D1998" t="s">
        <v>28</v>
      </c>
      <c r="E1998">
        <v>0.09</v>
      </c>
      <c r="F1998">
        <v>0.61</v>
      </c>
      <c r="G1998">
        <v>0.66</v>
      </c>
      <c r="H1998" t="s">
        <v>17</v>
      </c>
    </row>
    <row r="1999" spans="1:8" x14ac:dyDescent="0.25">
      <c r="A1999" t="s">
        <v>24</v>
      </c>
      <c r="B1999">
        <v>45231</v>
      </c>
      <c r="C1999">
        <v>0</v>
      </c>
      <c r="D1999" t="s">
        <v>15</v>
      </c>
      <c r="E1999">
        <v>0.01</v>
      </c>
      <c r="F1999">
        <v>1.07</v>
      </c>
      <c r="G1999">
        <v>0.55000000000000004</v>
      </c>
      <c r="H1999" t="s">
        <v>17</v>
      </c>
    </row>
    <row r="2000" spans="1:8" x14ac:dyDescent="0.25">
      <c r="A2000" t="s">
        <v>31</v>
      </c>
      <c r="B2000">
        <v>116065</v>
      </c>
      <c r="C2000">
        <v>9</v>
      </c>
      <c r="D2000" t="s">
        <v>12</v>
      </c>
      <c r="E2000">
        <v>0.84</v>
      </c>
      <c r="F2000">
        <v>0.57999999999999996</v>
      </c>
      <c r="G2000">
        <v>0.74</v>
      </c>
      <c r="H2000" t="s">
        <v>10</v>
      </c>
    </row>
    <row r="2001" spans="1:8" x14ac:dyDescent="0.25">
      <c r="A2001" t="s">
        <v>25</v>
      </c>
      <c r="B2001">
        <v>102436</v>
      </c>
      <c r="C2001">
        <v>19</v>
      </c>
      <c r="D2001" t="s">
        <v>12</v>
      </c>
      <c r="E2001">
        <v>0.08</v>
      </c>
      <c r="F2001">
        <v>1.29</v>
      </c>
      <c r="G2001">
        <v>0.66</v>
      </c>
      <c r="H2001" t="s">
        <v>17</v>
      </c>
    </row>
    <row r="2002" spans="1:8" x14ac:dyDescent="0.25">
      <c r="A2002" t="s">
        <v>22</v>
      </c>
      <c r="B2002">
        <v>62256</v>
      </c>
      <c r="C2002">
        <v>25</v>
      </c>
      <c r="D2002" t="s">
        <v>12</v>
      </c>
      <c r="E2002">
        <v>1</v>
      </c>
      <c r="F2002">
        <v>1.25</v>
      </c>
      <c r="G2002">
        <v>0.4</v>
      </c>
      <c r="H2002" t="s">
        <v>17</v>
      </c>
    </row>
    <row r="2003" spans="1:8" x14ac:dyDescent="0.25">
      <c r="A2003" t="s">
        <v>24</v>
      </c>
      <c r="B2003">
        <v>61917</v>
      </c>
      <c r="C2003">
        <v>10</v>
      </c>
      <c r="D2003" t="s">
        <v>9</v>
      </c>
      <c r="E2003">
        <v>0.8</v>
      </c>
      <c r="F2003">
        <v>0.78</v>
      </c>
      <c r="G2003">
        <v>0.41</v>
      </c>
      <c r="H2003" t="s">
        <v>17</v>
      </c>
    </row>
    <row r="2004" spans="1:8" x14ac:dyDescent="0.25">
      <c r="A2004" t="s">
        <v>25</v>
      </c>
      <c r="B2004">
        <v>62948</v>
      </c>
      <c r="C2004">
        <v>6</v>
      </c>
      <c r="D2004" t="s">
        <v>12</v>
      </c>
      <c r="E2004">
        <v>0.67</v>
      </c>
      <c r="F2004">
        <v>1.34</v>
      </c>
      <c r="G2004">
        <v>0.39</v>
      </c>
      <c r="H2004" t="s">
        <v>17</v>
      </c>
    </row>
    <row r="2005" spans="1:8" x14ac:dyDescent="0.25">
      <c r="A2005" t="s">
        <v>25</v>
      </c>
      <c r="B2005">
        <v>138602</v>
      </c>
      <c r="C2005">
        <v>23</v>
      </c>
      <c r="D2005" t="s">
        <v>9</v>
      </c>
      <c r="E2005">
        <v>0.59</v>
      </c>
      <c r="F2005">
        <v>0.6</v>
      </c>
      <c r="G2005">
        <v>0.49</v>
      </c>
      <c r="H2005" t="s">
        <v>17</v>
      </c>
    </row>
    <row r="2006" spans="1:8" x14ac:dyDescent="0.25">
      <c r="A2006" t="s">
        <v>14</v>
      </c>
      <c r="B2006">
        <v>43322</v>
      </c>
      <c r="C2006">
        <v>3</v>
      </c>
      <c r="D2006" t="s">
        <v>12</v>
      </c>
      <c r="E2006">
        <v>0.79</v>
      </c>
      <c r="F2006">
        <v>0.76</v>
      </c>
      <c r="G2006">
        <v>0.9</v>
      </c>
      <c r="H2006" t="s">
        <v>10</v>
      </c>
    </row>
    <row r="2007" spans="1:8" x14ac:dyDescent="0.25">
      <c r="A2007" t="s">
        <v>29</v>
      </c>
      <c r="B2007">
        <v>143044</v>
      </c>
      <c r="C2007">
        <v>14</v>
      </c>
      <c r="D2007" t="s">
        <v>15</v>
      </c>
      <c r="E2007">
        <v>0.52</v>
      </c>
      <c r="F2007">
        <v>0.64</v>
      </c>
      <c r="G2007">
        <v>0.81</v>
      </c>
      <c r="H2007" t="s">
        <v>10</v>
      </c>
    </row>
    <row r="2008" spans="1:8" x14ac:dyDescent="0.25">
      <c r="A2008" t="s">
        <v>14</v>
      </c>
      <c r="B2008">
        <v>128875</v>
      </c>
      <c r="C2008">
        <v>7</v>
      </c>
      <c r="D2008" t="s">
        <v>28</v>
      </c>
      <c r="E2008">
        <v>0.54</v>
      </c>
      <c r="F2008">
        <v>0.96</v>
      </c>
      <c r="G2008">
        <v>0.78</v>
      </c>
      <c r="H2008" t="s">
        <v>10</v>
      </c>
    </row>
    <row r="2009" spans="1:8" x14ac:dyDescent="0.25">
      <c r="A2009" t="s">
        <v>19</v>
      </c>
      <c r="B2009">
        <v>130901</v>
      </c>
      <c r="C2009">
        <v>27</v>
      </c>
      <c r="D2009" t="s">
        <v>9</v>
      </c>
      <c r="E2009">
        <v>0.99</v>
      </c>
      <c r="F2009">
        <v>0.69</v>
      </c>
      <c r="G2009">
        <v>0.21</v>
      </c>
      <c r="H2009" t="s">
        <v>13</v>
      </c>
    </row>
    <row r="2010" spans="1:8" x14ac:dyDescent="0.25">
      <c r="A2010" t="s">
        <v>21</v>
      </c>
      <c r="B2010">
        <v>138298</v>
      </c>
      <c r="C2010">
        <v>2</v>
      </c>
      <c r="D2010" t="s">
        <v>9</v>
      </c>
      <c r="E2010">
        <v>0.17</v>
      </c>
      <c r="F2010">
        <v>0.83</v>
      </c>
      <c r="G2010">
        <v>7.0000000000000007E-2</v>
      </c>
      <c r="H2010" t="s">
        <v>13</v>
      </c>
    </row>
    <row r="2011" spans="1:8" x14ac:dyDescent="0.25">
      <c r="A2011" t="s">
        <v>14</v>
      </c>
      <c r="B2011">
        <v>86987</v>
      </c>
      <c r="C2011">
        <v>9</v>
      </c>
      <c r="D2011" t="s">
        <v>15</v>
      </c>
      <c r="E2011">
        <v>0.2</v>
      </c>
      <c r="F2011">
        <v>1.1399999999999999</v>
      </c>
      <c r="G2011">
        <v>0.72</v>
      </c>
      <c r="H2011" t="s">
        <v>10</v>
      </c>
    </row>
    <row r="2012" spans="1:8" x14ac:dyDescent="0.25">
      <c r="A2012" t="s">
        <v>14</v>
      </c>
      <c r="B2012">
        <v>48445</v>
      </c>
      <c r="C2012">
        <v>26</v>
      </c>
      <c r="D2012" t="s">
        <v>15</v>
      </c>
      <c r="E2012">
        <v>0.1</v>
      </c>
      <c r="F2012">
        <v>1.32</v>
      </c>
      <c r="G2012">
        <v>0.78</v>
      </c>
      <c r="H2012" t="s">
        <v>10</v>
      </c>
    </row>
    <row r="2013" spans="1:8" x14ac:dyDescent="0.25">
      <c r="A2013" t="s">
        <v>29</v>
      </c>
      <c r="B2013">
        <v>44407</v>
      </c>
      <c r="C2013">
        <v>0</v>
      </c>
      <c r="D2013" t="s">
        <v>12</v>
      </c>
      <c r="E2013">
        <v>0.81</v>
      </c>
      <c r="F2013">
        <v>0.9</v>
      </c>
      <c r="G2013">
        <v>0.89</v>
      </c>
      <c r="H2013" t="s">
        <v>10</v>
      </c>
    </row>
    <row r="2014" spans="1:8" x14ac:dyDescent="0.25">
      <c r="A2014" t="s">
        <v>14</v>
      </c>
      <c r="B2014">
        <v>36934</v>
      </c>
      <c r="C2014">
        <v>3</v>
      </c>
      <c r="D2014" t="s">
        <v>12</v>
      </c>
      <c r="E2014">
        <v>0.67</v>
      </c>
      <c r="F2014">
        <v>1.1100000000000001</v>
      </c>
      <c r="G2014">
        <v>0.88</v>
      </c>
      <c r="H2014" t="s">
        <v>10</v>
      </c>
    </row>
    <row r="2015" spans="1:8" x14ac:dyDescent="0.25">
      <c r="A2015" t="s">
        <v>16</v>
      </c>
      <c r="B2015">
        <v>131053</v>
      </c>
      <c r="C2015">
        <v>0</v>
      </c>
      <c r="D2015" t="s">
        <v>9</v>
      </c>
      <c r="E2015">
        <v>0.42</v>
      </c>
      <c r="F2015">
        <v>1.17</v>
      </c>
      <c r="G2015">
        <v>0.55000000000000004</v>
      </c>
      <c r="H2015" t="s">
        <v>17</v>
      </c>
    </row>
    <row r="2016" spans="1:8" x14ac:dyDescent="0.25">
      <c r="A2016" t="s">
        <v>27</v>
      </c>
      <c r="B2016">
        <v>48082</v>
      </c>
      <c r="C2016">
        <v>19</v>
      </c>
      <c r="D2016" t="s">
        <v>9</v>
      </c>
      <c r="E2016">
        <v>0.45</v>
      </c>
      <c r="F2016">
        <v>1.24</v>
      </c>
      <c r="G2016">
        <v>0.62</v>
      </c>
      <c r="H2016" t="s">
        <v>17</v>
      </c>
    </row>
    <row r="2017" spans="1:8" x14ac:dyDescent="0.25">
      <c r="A2017" t="s">
        <v>19</v>
      </c>
      <c r="B2017">
        <v>66738</v>
      </c>
      <c r="C2017">
        <v>18</v>
      </c>
      <c r="D2017" t="s">
        <v>15</v>
      </c>
      <c r="E2017">
        <v>0.51</v>
      </c>
      <c r="F2017">
        <v>0.78</v>
      </c>
      <c r="G2017">
        <v>0.12</v>
      </c>
      <c r="H2017" t="s">
        <v>13</v>
      </c>
    </row>
    <row r="2018" spans="1:8" x14ac:dyDescent="0.25">
      <c r="A2018" t="s">
        <v>21</v>
      </c>
      <c r="B2018">
        <v>125946</v>
      </c>
      <c r="C2018">
        <v>8</v>
      </c>
      <c r="D2018" t="s">
        <v>15</v>
      </c>
      <c r="E2018">
        <v>0.17</v>
      </c>
      <c r="F2018">
        <v>0.94</v>
      </c>
      <c r="G2018">
        <v>0.28999999999999998</v>
      </c>
      <c r="H2018" t="s">
        <v>13</v>
      </c>
    </row>
    <row r="2019" spans="1:8" x14ac:dyDescent="0.25">
      <c r="A2019" t="s">
        <v>16</v>
      </c>
      <c r="B2019">
        <v>40037</v>
      </c>
      <c r="C2019">
        <v>25</v>
      </c>
      <c r="D2019" t="s">
        <v>9</v>
      </c>
      <c r="E2019">
        <v>0.72</v>
      </c>
      <c r="F2019">
        <v>0.53</v>
      </c>
      <c r="G2019">
        <v>0.34</v>
      </c>
      <c r="H2019" t="s">
        <v>17</v>
      </c>
    </row>
    <row r="2020" spans="1:8" x14ac:dyDescent="0.25">
      <c r="A2020" t="s">
        <v>31</v>
      </c>
      <c r="B2020">
        <v>77287</v>
      </c>
      <c r="C2020">
        <v>23</v>
      </c>
      <c r="D2020" t="s">
        <v>15</v>
      </c>
      <c r="E2020">
        <v>0.1</v>
      </c>
      <c r="F2020">
        <v>0.5</v>
      </c>
      <c r="G2020">
        <v>0.7</v>
      </c>
      <c r="H2020" t="s">
        <v>17</v>
      </c>
    </row>
    <row r="2021" spans="1:8" x14ac:dyDescent="0.25">
      <c r="A2021" t="s">
        <v>14</v>
      </c>
      <c r="B2021">
        <v>33063</v>
      </c>
      <c r="C2021">
        <v>1</v>
      </c>
      <c r="D2021" t="s">
        <v>9</v>
      </c>
      <c r="E2021">
        <v>0.65</v>
      </c>
      <c r="F2021">
        <v>1.1399999999999999</v>
      </c>
      <c r="G2021">
        <v>0.72</v>
      </c>
      <c r="H2021" t="s">
        <v>10</v>
      </c>
    </row>
    <row r="2022" spans="1:8" x14ac:dyDescent="0.25">
      <c r="A2022" t="s">
        <v>25</v>
      </c>
      <c r="B2022">
        <v>140263</v>
      </c>
      <c r="C2022">
        <v>12</v>
      </c>
      <c r="D2022" t="s">
        <v>15</v>
      </c>
      <c r="E2022">
        <v>0.04</v>
      </c>
      <c r="F2022">
        <v>0.99</v>
      </c>
      <c r="G2022">
        <v>0.4</v>
      </c>
      <c r="H2022" t="s">
        <v>17</v>
      </c>
    </row>
    <row r="2023" spans="1:8" x14ac:dyDescent="0.25">
      <c r="A2023" t="s">
        <v>34</v>
      </c>
      <c r="B2023">
        <v>67932</v>
      </c>
      <c r="C2023">
        <v>9</v>
      </c>
      <c r="D2023" t="s">
        <v>9</v>
      </c>
      <c r="E2023">
        <v>0.22</v>
      </c>
      <c r="F2023">
        <v>1.2</v>
      </c>
      <c r="G2023">
        <v>0.4</v>
      </c>
      <c r="H2023" t="s">
        <v>17</v>
      </c>
    </row>
    <row r="2024" spans="1:8" x14ac:dyDescent="0.25">
      <c r="A2024" t="s">
        <v>24</v>
      </c>
      <c r="B2024">
        <v>53519</v>
      </c>
      <c r="C2024">
        <v>24</v>
      </c>
      <c r="D2024" t="s">
        <v>28</v>
      </c>
      <c r="E2024">
        <v>0.25</v>
      </c>
      <c r="F2024">
        <v>1.2</v>
      </c>
      <c r="G2024">
        <v>0.67</v>
      </c>
      <c r="H2024" t="s">
        <v>17</v>
      </c>
    </row>
    <row r="2025" spans="1:8" x14ac:dyDescent="0.25">
      <c r="A2025" t="s">
        <v>26</v>
      </c>
      <c r="B2025">
        <v>100363</v>
      </c>
      <c r="C2025">
        <v>11</v>
      </c>
      <c r="D2025" t="s">
        <v>28</v>
      </c>
      <c r="E2025">
        <v>0.17</v>
      </c>
      <c r="F2025">
        <v>0.56999999999999995</v>
      </c>
      <c r="G2025">
        <v>0.38</v>
      </c>
      <c r="H2025" t="s">
        <v>17</v>
      </c>
    </row>
    <row r="2026" spans="1:8" x14ac:dyDescent="0.25">
      <c r="A2026" t="s">
        <v>33</v>
      </c>
      <c r="B2026">
        <v>58911</v>
      </c>
      <c r="C2026">
        <v>8</v>
      </c>
      <c r="D2026" t="s">
        <v>15</v>
      </c>
      <c r="E2026">
        <v>0.9</v>
      </c>
      <c r="F2026">
        <v>0.63</v>
      </c>
      <c r="G2026">
        <v>0.13</v>
      </c>
      <c r="H2026" t="s">
        <v>13</v>
      </c>
    </row>
    <row r="2027" spans="1:8" x14ac:dyDescent="0.25">
      <c r="A2027" t="s">
        <v>22</v>
      </c>
      <c r="B2027">
        <v>105253</v>
      </c>
      <c r="C2027">
        <v>19</v>
      </c>
      <c r="D2027" t="s">
        <v>15</v>
      </c>
      <c r="E2027">
        <v>0.79</v>
      </c>
      <c r="F2027">
        <v>0.95</v>
      </c>
      <c r="G2027">
        <v>0.56999999999999995</v>
      </c>
      <c r="H2027" t="s">
        <v>17</v>
      </c>
    </row>
    <row r="2028" spans="1:8" x14ac:dyDescent="0.25">
      <c r="A2028" t="s">
        <v>26</v>
      </c>
      <c r="B2028">
        <v>105650</v>
      </c>
      <c r="C2028">
        <v>5</v>
      </c>
      <c r="D2028" t="s">
        <v>9</v>
      </c>
      <c r="E2028">
        <v>0.56999999999999995</v>
      </c>
      <c r="F2028">
        <v>1.03</v>
      </c>
      <c r="G2028">
        <v>0.61</v>
      </c>
      <c r="H2028" t="s">
        <v>17</v>
      </c>
    </row>
    <row r="2029" spans="1:8" x14ac:dyDescent="0.25">
      <c r="A2029" t="s">
        <v>33</v>
      </c>
      <c r="B2029">
        <v>99037</v>
      </c>
      <c r="C2029">
        <v>25</v>
      </c>
      <c r="D2029" t="s">
        <v>28</v>
      </c>
      <c r="E2029">
        <v>0.91</v>
      </c>
      <c r="F2029">
        <v>1.19</v>
      </c>
      <c r="G2029">
        <v>0.09</v>
      </c>
      <c r="H2029" t="s">
        <v>13</v>
      </c>
    </row>
    <row r="2030" spans="1:8" x14ac:dyDescent="0.25">
      <c r="A2030" t="s">
        <v>14</v>
      </c>
      <c r="B2030">
        <v>38715</v>
      </c>
      <c r="C2030">
        <v>26</v>
      </c>
      <c r="D2030" t="s">
        <v>9</v>
      </c>
      <c r="E2030">
        <v>0.4</v>
      </c>
      <c r="F2030">
        <v>1</v>
      </c>
      <c r="G2030">
        <v>0.75</v>
      </c>
      <c r="H2030" t="s">
        <v>10</v>
      </c>
    </row>
    <row r="2031" spans="1:8" x14ac:dyDescent="0.25">
      <c r="A2031" t="s">
        <v>19</v>
      </c>
      <c r="B2031">
        <v>44466</v>
      </c>
      <c r="C2031">
        <v>9</v>
      </c>
      <c r="D2031" t="s">
        <v>12</v>
      </c>
      <c r="E2031">
        <v>0.22</v>
      </c>
      <c r="F2031">
        <v>1.31</v>
      </c>
      <c r="G2031">
        <v>0.26</v>
      </c>
      <c r="H2031" t="s">
        <v>13</v>
      </c>
    </row>
    <row r="2032" spans="1:8" x14ac:dyDescent="0.25">
      <c r="A2032" t="s">
        <v>23</v>
      </c>
      <c r="B2032">
        <v>85432</v>
      </c>
      <c r="C2032">
        <v>0</v>
      </c>
      <c r="D2032" t="s">
        <v>28</v>
      </c>
      <c r="E2032">
        <v>0.81</v>
      </c>
      <c r="F2032">
        <v>0.72</v>
      </c>
      <c r="G2032">
        <v>0.82</v>
      </c>
      <c r="H2032" t="s">
        <v>10</v>
      </c>
    </row>
    <row r="2033" spans="1:8" x14ac:dyDescent="0.25">
      <c r="A2033" t="s">
        <v>33</v>
      </c>
      <c r="B2033">
        <v>127557</v>
      </c>
      <c r="C2033">
        <v>13</v>
      </c>
      <c r="D2033" t="s">
        <v>9</v>
      </c>
      <c r="E2033">
        <v>0.89</v>
      </c>
      <c r="F2033">
        <v>1.32</v>
      </c>
      <c r="G2033">
        <v>0.19</v>
      </c>
      <c r="H2033" t="s">
        <v>13</v>
      </c>
    </row>
    <row r="2034" spans="1:8" x14ac:dyDescent="0.25">
      <c r="A2034" t="s">
        <v>27</v>
      </c>
      <c r="B2034">
        <v>104227</v>
      </c>
      <c r="C2034">
        <v>10</v>
      </c>
      <c r="D2034" t="s">
        <v>15</v>
      </c>
      <c r="E2034">
        <v>0.08</v>
      </c>
      <c r="F2034">
        <v>1.2</v>
      </c>
      <c r="G2034">
        <v>0.65</v>
      </c>
      <c r="H2034" t="s">
        <v>17</v>
      </c>
    </row>
    <row r="2035" spans="1:8" x14ac:dyDescent="0.25">
      <c r="A2035" t="s">
        <v>29</v>
      </c>
      <c r="B2035">
        <v>64585</v>
      </c>
      <c r="C2035">
        <v>21</v>
      </c>
      <c r="D2035" t="s">
        <v>28</v>
      </c>
      <c r="E2035">
        <v>0.54</v>
      </c>
      <c r="F2035">
        <v>1.31</v>
      </c>
      <c r="G2035">
        <v>0.77</v>
      </c>
      <c r="H2035" t="s">
        <v>10</v>
      </c>
    </row>
    <row r="2036" spans="1:8" x14ac:dyDescent="0.25">
      <c r="A2036" t="s">
        <v>24</v>
      </c>
      <c r="B2036">
        <v>140397</v>
      </c>
      <c r="C2036">
        <v>18</v>
      </c>
      <c r="D2036" t="s">
        <v>12</v>
      </c>
      <c r="E2036">
        <v>0.8</v>
      </c>
      <c r="F2036">
        <v>0.6</v>
      </c>
      <c r="G2036">
        <v>0.55000000000000004</v>
      </c>
      <c r="H2036" t="s">
        <v>17</v>
      </c>
    </row>
    <row r="2037" spans="1:8" x14ac:dyDescent="0.25">
      <c r="A2037" t="s">
        <v>31</v>
      </c>
      <c r="B2037">
        <v>102620</v>
      </c>
      <c r="C2037">
        <v>8</v>
      </c>
      <c r="D2037" t="s">
        <v>9</v>
      </c>
      <c r="E2037">
        <v>0.83</v>
      </c>
      <c r="F2037">
        <v>0.57999999999999996</v>
      </c>
      <c r="G2037">
        <v>0.86</v>
      </c>
      <c r="H2037" t="s">
        <v>10</v>
      </c>
    </row>
    <row r="2038" spans="1:8" x14ac:dyDescent="0.25">
      <c r="A2038" t="s">
        <v>30</v>
      </c>
      <c r="B2038">
        <v>123332</v>
      </c>
      <c r="C2038">
        <v>8</v>
      </c>
      <c r="D2038" t="s">
        <v>15</v>
      </c>
      <c r="E2038">
        <v>0.61</v>
      </c>
      <c r="F2038">
        <v>1.2</v>
      </c>
      <c r="G2038">
        <v>0.28000000000000003</v>
      </c>
      <c r="H2038" t="s">
        <v>13</v>
      </c>
    </row>
    <row r="2039" spans="1:8" x14ac:dyDescent="0.25">
      <c r="A2039" t="s">
        <v>32</v>
      </c>
      <c r="B2039">
        <v>120833</v>
      </c>
      <c r="C2039">
        <v>16</v>
      </c>
      <c r="D2039" t="s">
        <v>15</v>
      </c>
      <c r="E2039">
        <v>0.82</v>
      </c>
      <c r="F2039">
        <v>0.68</v>
      </c>
      <c r="G2039">
        <v>0.59</v>
      </c>
      <c r="H2039" t="s">
        <v>17</v>
      </c>
    </row>
    <row r="2040" spans="1:8" x14ac:dyDescent="0.25">
      <c r="A2040" t="s">
        <v>18</v>
      </c>
      <c r="B2040">
        <v>77131</v>
      </c>
      <c r="C2040">
        <v>13</v>
      </c>
      <c r="D2040" t="s">
        <v>15</v>
      </c>
      <c r="E2040">
        <v>0.06</v>
      </c>
      <c r="F2040">
        <v>0.68</v>
      </c>
      <c r="G2040">
        <v>0.43</v>
      </c>
      <c r="H2040" t="s">
        <v>17</v>
      </c>
    </row>
    <row r="2041" spans="1:8" x14ac:dyDescent="0.25">
      <c r="A2041" t="s">
        <v>14</v>
      </c>
      <c r="B2041">
        <v>131298</v>
      </c>
      <c r="C2041">
        <v>25</v>
      </c>
      <c r="D2041" t="s">
        <v>15</v>
      </c>
      <c r="E2041">
        <v>0.55000000000000004</v>
      </c>
      <c r="F2041">
        <v>0.93</v>
      </c>
      <c r="G2041">
        <v>0.73</v>
      </c>
      <c r="H2041" t="s">
        <v>10</v>
      </c>
    </row>
    <row r="2042" spans="1:8" x14ac:dyDescent="0.25">
      <c r="A2042" t="s">
        <v>25</v>
      </c>
      <c r="B2042">
        <v>58653</v>
      </c>
      <c r="C2042">
        <v>6</v>
      </c>
      <c r="D2042" t="s">
        <v>12</v>
      </c>
      <c r="E2042">
        <v>0.73</v>
      </c>
      <c r="F2042">
        <v>1.45</v>
      </c>
      <c r="G2042">
        <v>0.45</v>
      </c>
      <c r="H2042" t="s">
        <v>17</v>
      </c>
    </row>
    <row r="2043" spans="1:8" x14ac:dyDescent="0.25">
      <c r="A2043" t="s">
        <v>25</v>
      </c>
      <c r="B2043">
        <v>83020</v>
      </c>
      <c r="C2043">
        <v>0</v>
      </c>
      <c r="D2043" t="s">
        <v>12</v>
      </c>
      <c r="E2043">
        <v>0.77</v>
      </c>
      <c r="F2043">
        <v>1.19</v>
      </c>
      <c r="G2043">
        <v>0.62</v>
      </c>
      <c r="H2043" t="s">
        <v>17</v>
      </c>
    </row>
    <row r="2044" spans="1:8" x14ac:dyDescent="0.25">
      <c r="A2044" t="s">
        <v>25</v>
      </c>
      <c r="B2044">
        <v>141257</v>
      </c>
      <c r="C2044">
        <v>29</v>
      </c>
      <c r="D2044" t="s">
        <v>28</v>
      </c>
      <c r="E2044">
        <v>0.02</v>
      </c>
      <c r="F2044">
        <v>1.06</v>
      </c>
      <c r="G2044">
        <v>0.44</v>
      </c>
      <c r="H2044" t="s">
        <v>17</v>
      </c>
    </row>
    <row r="2045" spans="1:8" x14ac:dyDescent="0.25">
      <c r="A2045" t="s">
        <v>26</v>
      </c>
      <c r="B2045">
        <v>33303</v>
      </c>
      <c r="C2045">
        <v>29</v>
      </c>
      <c r="D2045" t="s">
        <v>9</v>
      </c>
      <c r="E2045">
        <v>0.75</v>
      </c>
      <c r="F2045">
        <v>1.03</v>
      </c>
      <c r="G2045">
        <v>0.51</v>
      </c>
      <c r="H2045" t="s">
        <v>17</v>
      </c>
    </row>
    <row r="2046" spans="1:8" x14ac:dyDescent="0.25">
      <c r="A2046" t="s">
        <v>14</v>
      </c>
      <c r="B2046">
        <v>104519</v>
      </c>
      <c r="C2046">
        <v>27</v>
      </c>
      <c r="D2046" t="s">
        <v>15</v>
      </c>
      <c r="E2046">
        <v>0.87</v>
      </c>
      <c r="F2046">
        <v>0.56000000000000005</v>
      </c>
      <c r="G2046">
        <v>0.92</v>
      </c>
      <c r="H2046" t="s">
        <v>10</v>
      </c>
    </row>
    <row r="2047" spans="1:8" x14ac:dyDescent="0.25">
      <c r="A2047" t="s">
        <v>19</v>
      </c>
      <c r="B2047">
        <v>121751</v>
      </c>
      <c r="C2047">
        <v>12</v>
      </c>
      <c r="D2047" t="s">
        <v>9</v>
      </c>
      <c r="E2047">
        <v>0.23</v>
      </c>
      <c r="F2047">
        <v>0.87</v>
      </c>
      <c r="G2047">
        <v>0.15</v>
      </c>
      <c r="H2047" t="s">
        <v>13</v>
      </c>
    </row>
    <row r="2048" spans="1:8" x14ac:dyDescent="0.25">
      <c r="A2048" t="s">
        <v>22</v>
      </c>
      <c r="B2048">
        <v>91557</v>
      </c>
      <c r="C2048">
        <v>13</v>
      </c>
      <c r="D2048" t="s">
        <v>28</v>
      </c>
      <c r="E2048">
        <v>0.95</v>
      </c>
      <c r="F2048">
        <v>0.82</v>
      </c>
      <c r="G2048">
        <v>0.44</v>
      </c>
      <c r="H2048" t="s">
        <v>17</v>
      </c>
    </row>
    <row r="2049" spans="1:8" x14ac:dyDescent="0.25">
      <c r="A2049" t="s">
        <v>26</v>
      </c>
      <c r="B2049">
        <v>101452</v>
      </c>
      <c r="C2049">
        <v>2</v>
      </c>
      <c r="D2049" t="s">
        <v>15</v>
      </c>
      <c r="E2049">
        <v>0.42</v>
      </c>
      <c r="F2049">
        <v>1.07</v>
      </c>
      <c r="G2049">
        <v>0.69</v>
      </c>
      <c r="H2049" t="s">
        <v>17</v>
      </c>
    </row>
    <row r="2050" spans="1:8" x14ac:dyDescent="0.25">
      <c r="A2050" t="s">
        <v>18</v>
      </c>
      <c r="B2050">
        <v>70508</v>
      </c>
      <c r="C2050">
        <v>10</v>
      </c>
      <c r="D2050" t="s">
        <v>9</v>
      </c>
      <c r="E2050">
        <v>0.91</v>
      </c>
      <c r="F2050">
        <v>0.73</v>
      </c>
      <c r="G2050">
        <v>0.53</v>
      </c>
      <c r="H2050" t="s">
        <v>17</v>
      </c>
    </row>
    <row r="2051" spans="1:8" x14ac:dyDescent="0.25">
      <c r="A2051" t="s">
        <v>11</v>
      </c>
      <c r="B2051">
        <v>81238</v>
      </c>
      <c r="C2051">
        <v>18</v>
      </c>
      <c r="D2051" t="s">
        <v>9</v>
      </c>
      <c r="E2051">
        <v>0.04</v>
      </c>
      <c r="F2051">
        <v>0.79</v>
      </c>
      <c r="G2051">
        <v>0.25</v>
      </c>
      <c r="H2051" t="s">
        <v>13</v>
      </c>
    </row>
    <row r="2052" spans="1:8" x14ac:dyDescent="0.25">
      <c r="A2052" t="s">
        <v>22</v>
      </c>
      <c r="B2052">
        <v>146084</v>
      </c>
      <c r="C2052">
        <v>22</v>
      </c>
      <c r="D2052" t="s">
        <v>15</v>
      </c>
      <c r="E2052">
        <v>0.66</v>
      </c>
      <c r="F2052">
        <v>1.07</v>
      </c>
      <c r="G2052">
        <v>0.43</v>
      </c>
      <c r="H2052" t="s">
        <v>17</v>
      </c>
    </row>
    <row r="2053" spans="1:8" x14ac:dyDescent="0.25">
      <c r="A2053" t="s">
        <v>11</v>
      </c>
      <c r="B2053">
        <v>99619</v>
      </c>
      <c r="C2053">
        <v>27</v>
      </c>
      <c r="D2053" t="s">
        <v>15</v>
      </c>
      <c r="E2053">
        <v>0.32</v>
      </c>
      <c r="F2053">
        <v>1.05</v>
      </c>
      <c r="G2053">
        <v>0.24</v>
      </c>
      <c r="H2053" t="s">
        <v>13</v>
      </c>
    </row>
    <row r="2054" spans="1:8" x14ac:dyDescent="0.25">
      <c r="A2054" t="s">
        <v>29</v>
      </c>
      <c r="B2054">
        <v>49830</v>
      </c>
      <c r="C2054">
        <v>29</v>
      </c>
      <c r="D2054" t="s">
        <v>12</v>
      </c>
      <c r="E2054">
        <v>0.69</v>
      </c>
      <c r="F2054">
        <v>0.94</v>
      </c>
      <c r="G2054">
        <v>0.83</v>
      </c>
      <c r="H2054" t="s">
        <v>10</v>
      </c>
    </row>
    <row r="2055" spans="1:8" x14ac:dyDescent="0.25">
      <c r="A2055" t="s">
        <v>20</v>
      </c>
      <c r="B2055">
        <v>70882</v>
      </c>
      <c r="C2055">
        <v>6</v>
      </c>
      <c r="D2055" t="s">
        <v>9</v>
      </c>
      <c r="E2055">
        <v>0.75</v>
      </c>
      <c r="F2055">
        <v>1.1399999999999999</v>
      </c>
      <c r="G2055">
        <v>0.47</v>
      </c>
      <c r="H2055" t="s">
        <v>17</v>
      </c>
    </row>
    <row r="2056" spans="1:8" x14ac:dyDescent="0.25">
      <c r="A2056" t="s">
        <v>8</v>
      </c>
      <c r="B2056">
        <v>124204</v>
      </c>
      <c r="C2056">
        <v>26</v>
      </c>
      <c r="D2056" t="s">
        <v>15</v>
      </c>
      <c r="E2056">
        <v>0.65</v>
      </c>
      <c r="F2056">
        <v>1.47</v>
      </c>
      <c r="G2056">
        <v>0.91</v>
      </c>
      <c r="H2056" t="s">
        <v>10</v>
      </c>
    </row>
    <row r="2057" spans="1:8" x14ac:dyDescent="0.25">
      <c r="A2057" t="s">
        <v>14</v>
      </c>
      <c r="B2057">
        <v>84255</v>
      </c>
      <c r="C2057">
        <v>1</v>
      </c>
      <c r="D2057" t="s">
        <v>15</v>
      </c>
      <c r="E2057">
        <v>0.61</v>
      </c>
      <c r="F2057">
        <v>0.95</v>
      </c>
      <c r="G2057">
        <v>0.85</v>
      </c>
      <c r="H2057" t="s">
        <v>10</v>
      </c>
    </row>
    <row r="2058" spans="1:8" x14ac:dyDescent="0.25">
      <c r="A2058" t="s">
        <v>18</v>
      </c>
      <c r="B2058">
        <v>51566</v>
      </c>
      <c r="C2058">
        <v>14</v>
      </c>
      <c r="D2058" t="s">
        <v>12</v>
      </c>
      <c r="E2058">
        <v>0.01</v>
      </c>
      <c r="F2058">
        <v>1.22</v>
      </c>
      <c r="G2058">
        <v>0.52</v>
      </c>
      <c r="H2058" t="s">
        <v>17</v>
      </c>
    </row>
    <row r="2059" spans="1:8" x14ac:dyDescent="0.25">
      <c r="A2059" t="s">
        <v>27</v>
      </c>
      <c r="B2059">
        <v>130461</v>
      </c>
      <c r="C2059">
        <v>4</v>
      </c>
      <c r="D2059" t="s">
        <v>15</v>
      </c>
      <c r="E2059">
        <v>0.31</v>
      </c>
      <c r="F2059">
        <v>0.6</v>
      </c>
      <c r="G2059">
        <v>0.66</v>
      </c>
      <c r="H2059" t="s">
        <v>17</v>
      </c>
    </row>
    <row r="2060" spans="1:8" x14ac:dyDescent="0.25">
      <c r="A2060" t="s">
        <v>32</v>
      </c>
      <c r="B2060">
        <v>80891</v>
      </c>
      <c r="C2060">
        <v>18</v>
      </c>
      <c r="D2060" t="s">
        <v>28</v>
      </c>
      <c r="E2060">
        <v>0.7</v>
      </c>
      <c r="F2060">
        <v>1.2</v>
      </c>
      <c r="G2060">
        <v>0.67</v>
      </c>
      <c r="H2060" t="s">
        <v>17</v>
      </c>
    </row>
    <row r="2061" spans="1:8" x14ac:dyDescent="0.25">
      <c r="A2061" t="s">
        <v>14</v>
      </c>
      <c r="B2061">
        <v>127871</v>
      </c>
      <c r="C2061">
        <v>5</v>
      </c>
      <c r="D2061" t="s">
        <v>12</v>
      </c>
      <c r="E2061">
        <v>7.0000000000000007E-2</v>
      </c>
      <c r="F2061">
        <v>0.68</v>
      </c>
      <c r="G2061">
        <v>0.93</v>
      </c>
      <c r="H2061" t="s">
        <v>10</v>
      </c>
    </row>
    <row r="2062" spans="1:8" x14ac:dyDescent="0.25">
      <c r="A2062" t="s">
        <v>27</v>
      </c>
      <c r="B2062">
        <v>112418</v>
      </c>
      <c r="C2062">
        <v>9</v>
      </c>
      <c r="D2062" t="s">
        <v>15</v>
      </c>
      <c r="E2062">
        <v>0.59</v>
      </c>
      <c r="F2062">
        <v>1.46</v>
      </c>
      <c r="G2062">
        <v>0.34</v>
      </c>
      <c r="H2062" t="s">
        <v>17</v>
      </c>
    </row>
    <row r="2063" spans="1:8" x14ac:dyDescent="0.25">
      <c r="A2063" t="s">
        <v>30</v>
      </c>
      <c r="B2063">
        <v>54002</v>
      </c>
      <c r="C2063">
        <v>10</v>
      </c>
      <c r="D2063" t="s">
        <v>12</v>
      </c>
      <c r="E2063">
        <v>0.53</v>
      </c>
      <c r="F2063">
        <v>1.19</v>
      </c>
      <c r="G2063">
        <v>0.17</v>
      </c>
      <c r="H2063" t="s">
        <v>13</v>
      </c>
    </row>
    <row r="2064" spans="1:8" x14ac:dyDescent="0.25">
      <c r="A2064" t="s">
        <v>8</v>
      </c>
      <c r="B2064">
        <v>108391</v>
      </c>
      <c r="C2064">
        <v>9</v>
      </c>
      <c r="D2064" t="s">
        <v>28</v>
      </c>
      <c r="E2064">
        <v>0.21</v>
      </c>
      <c r="F2064">
        <v>0.64</v>
      </c>
      <c r="G2064">
        <v>0.89</v>
      </c>
      <c r="H2064" t="s">
        <v>10</v>
      </c>
    </row>
    <row r="2065" spans="1:8" x14ac:dyDescent="0.25">
      <c r="A2065" t="s">
        <v>33</v>
      </c>
      <c r="B2065">
        <v>53474</v>
      </c>
      <c r="C2065">
        <v>11</v>
      </c>
      <c r="D2065" t="s">
        <v>12</v>
      </c>
      <c r="E2065">
        <v>0.47</v>
      </c>
      <c r="F2065">
        <v>1.1499999999999999</v>
      </c>
      <c r="G2065">
        <v>0.18</v>
      </c>
      <c r="H2065" t="s">
        <v>13</v>
      </c>
    </row>
    <row r="2066" spans="1:8" x14ac:dyDescent="0.25">
      <c r="A2066" t="s">
        <v>30</v>
      </c>
      <c r="B2066">
        <v>106286</v>
      </c>
      <c r="C2066">
        <v>1</v>
      </c>
      <c r="D2066" t="s">
        <v>9</v>
      </c>
      <c r="E2066">
        <v>0.34</v>
      </c>
      <c r="F2066">
        <v>0.73</v>
      </c>
      <c r="G2066">
        <v>0.21</v>
      </c>
      <c r="H2066" t="s">
        <v>13</v>
      </c>
    </row>
    <row r="2067" spans="1:8" x14ac:dyDescent="0.25">
      <c r="A2067" t="s">
        <v>16</v>
      </c>
      <c r="B2067">
        <v>92520</v>
      </c>
      <c r="C2067">
        <v>7</v>
      </c>
      <c r="D2067" t="s">
        <v>12</v>
      </c>
      <c r="E2067">
        <v>0.46</v>
      </c>
      <c r="F2067">
        <v>0.65</v>
      </c>
      <c r="G2067">
        <v>0.48</v>
      </c>
      <c r="H2067" t="s">
        <v>17</v>
      </c>
    </row>
    <row r="2068" spans="1:8" x14ac:dyDescent="0.25">
      <c r="A2068" t="s">
        <v>8</v>
      </c>
      <c r="B2068">
        <v>60210</v>
      </c>
      <c r="C2068">
        <v>29</v>
      </c>
      <c r="D2068" t="s">
        <v>9</v>
      </c>
      <c r="E2068">
        <v>0.61</v>
      </c>
      <c r="F2068">
        <v>0.86</v>
      </c>
      <c r="G2068">
        <v>0.73</v>
      </c>
      <c r="H2068" t="s">
        <v>10</v>
      </c>
    </row>
    <row r="2069" spans="1:8" x14ac:dyDescent="0.25">
      <c r="A2069" t="s">
        <v>11</v>
      </c>
      <c r="B2069">
        <v>109558</v>
      </c>
      <c r="C2069">
        <v>13</v>
      </c>
      <c r="D2069" t="s">
        <v>28</v>
      </c>
      <c r="E2069">
        <v>0.82</v>
      </c>
      <c r="F2069">
        <v>1.31</v>
      </c>
      <c r="G2069">
        <v>0.1</v>
      </c>
      <c r="H2069" t="s">
        <v>13</v>
      </c>
    </row>
    <row r="2070" spans="1:8" x14ac:dyDescent="0.25">
      <c r="A2070" t="s">
        <v>24</v>
      </c>
      <c r="B2070">
        <v>54559</v>
      </c>
      <c r="C2070">
        <v>20</v>
      </c>
      <c r="D2070" t="s">
        <v>9</v>
      </c>
      <c r="E2070">
        <v>0.69</v>
      </c>
      <c r="F2070">
        <v>1.05</v>
      </c>
      <c r="G2070">
        <v>0.44</v>
      </c>
      <c r="H2070" t="s">
        <v>17</v>
      </c>
    </row>
    <row r="2071" spans="1:8" x14ac:dyDescent="0.25">
      <c r="A2071" t="s">
        <v>22</v>
      </c>
      <c r="B2071">
        <v>85099</v>
      </c>
      <c r="C2071">
        <v>9</v>
      </c>
      <c r="D2071" t="s">
        <v>28</v>
      </c>
      <c r="E2071">
        <v>0.32</v>
      </c>
      <c r="F2071">
        <v>0.82</v>
      </c>
      <c r="G2071">
        <v>0.43</v>
      </c>
      <c r="H2071" t="s">
        <v>17</v>
      </c>
    </row>
    <row r="2072" spans="1:8" x14ac:dyDescent="0.25">
      <c r="A2072" t="s">
        <v>16</v>
      </c>
      <c r="B2072">
        <v>68433</v>
      </c>
      <c r="C2072">
        <v>29</v>
      </c>
      <c r="D2072" t="s">
        <v>9</v>
      </c>
      <c r="E2072">
        <v>0.98</v>
      </c>
      <c r="F2072">
        <v>1.45</v>
      </c>
      <c r="G2072">
        <v>0.64</v>
      </c>
      <c r="H2072" t="s">
        <v>17</v>
      </c>
    </row>
    <row r="2073" spans="1:8" x14ac:dyDescent="0.25">
      <c r="A2073" t="s">
        <v>30</v>
      </c>
      <c r="B2073">
        <v>109791</v>
      </c>
      <c r="C2073">
        <v>2</v>
      </c>
      <c r="D2073" t="s">
        <v>12</v>
      </c>
      <c r="E2073">
        <v>0.98</v>
      </c>
      <c r="F2073">
        <v>0.65</v>
      </c>
      <c r="G2073">
        <v>0.28000000000000003</v>
      </c>
      <c r="H2073" t="s">
        <v>13</v>
      </c>
    </row>
    <row r="2074" spans="1:8" x14ac:dyDescent="0.25">
      <c r="A2074" t="s">
        <v>27</v>
      </c>
      <c r="B2074">
        <v>149321</v>
      </c>
      <c r="C2074">
        <v>14</v>
      </c>
      <c r="D2074" t="s">
        <v>12</v>
      </c>
      <c r="E2074">
        <v>0.46</v>
      </c>
      <c r="F2074">
        <v>1.45</v>
      </c>
      <c r="G2074">
        <v>0.66</v>
      </c>
      <c r="H2074" t="s">
        <v>17</v>
      </c>
    </row>
    <row r="2075" spans="1:8" x14ac:dyDescent="0.25">
      <c r="A2075" t="s">
        <v>30</v>
      </c>
      <c r="B2075">
        <v>72048</v>
      </c>
      <c r="C2075">
        <v>27</v>
      </c>
      <c r="D2075" t="s">
        <v>28</v>
      </c>
      <c r="E2075">
        <v>0.8</v>
      </c>
      <c r="F2075">
        <v>0.71</v>
      </c>
      <c r="G2075">
        <v>0.15</v>
      </c>
      <c r="H2075" t="s">
        <v>13</v>
      </c>
    </row>
    <row r="2076" spans="1:8" x14ac:dyDescent="0.25">
      <c r="A2076" t="s">
        <v>26</v>
      </c>
      <c r="B2076">
        <v>132076</v>
      </c>
      <c r="C2076">
        <v>26</v>
      </c>
      <c r="D2076" t="s">
        <v>15</v>
      </c>
      <c r="E2076">
        <v>0.67</v>
      </c>
      <c r="F2076">
        <v>1.1399999999999999</v>
      </c>
      <c r="G2076">
        <v>0.36</v>
      </c>
      <c r="H2076" t="s">
        <v>17</v>
      </c>
    </row>
    <row r="2077" spans="1:8" x14ac:dyDescent="0.25">
      <c r="A2077" t="s">
        <v>29</v>
      </c>
      <c r="B2077">
        <v>105605</v>
      </c>
      <c r="C2077">
        <v>24</v>
      </c>
      <c r="D2077" t="s">
        <v>9</v>
      </c>
      <c r="E2077">
        <v>0.8</v>
      </c>
      <c r="F2077">
        <v>0.68</v>
      </c>
      <c r="G2077">
        <v>0.79</v>
      </c>
      <c r="H2077" t="s">
        <v>10</v>
      </c>
    </row>
    <row r="2078" spans="1:8" x14ac:dyDescent="0.25">
      <c r="A2078" t="s">
        <v>29</v>
      </c>
      <c r="B2078">
        <v>120811</v>
      </c>
      <c r="C2078">
        <v>25</v>
      </c>
      <c r="D2078" t="s">
        <v>9</v>
      </c>
      <c r="E2078">
        <v>0.05</v>
      </c>
      <c r="F2078">
        <v>0.81</v>
      </c>
      <c r="G2078">
        <v>0.87</v>
      </c>
      <c r="H2078" t="s">
        <v>10</v>
      </c>
    </row>
    <row r="2079" spans="1:8" x14ac:dyDescent="0.25">
      <c r="A2079" t="s">
        <v>31</v>
      </c>
      <c r="B2079">
        <v>115520</v>
      </c>
      <c r="C2079">
        <v>9</v>
      </c>
      <c r="D2079" t="s">
        <v>9</v>
      </c>
      <c r="E2079">
        <v>0.79</v>
      </c>
      <c r="F2079">
        <v>0.53</v>
      </c>
      <c r="G2079">
        <v>0.81</v>
      </c>
      <c r="H2079" t="s">
        <v>10</v>
      </c>
    </row>
    <row r="2080" spans="1:8" x14ac:dyDescent="0.25">
      <c r="A2080" t="s">
        <v>26</v>
      </c>
      <c r="B2080">
        <v>135341</v>
      </c>
      <c r="C2080">
        <v>14</v>
      </c>
      <c r="D2080" t="s">
        <v>15</v>
      </c>
      <c r="E2080">
        <v>0.89</v>
      </c>
      <c r="F2080">
        <v>0.85</v>
      </c>
      <c r="G2080">
        <v>0.56999999999999995</v>
      </c>
      <c r="H2080" t="s">
        <v>17</v>
      </c>
    </row>
    <row r="2081" spans="1:8" x14ac:dyDescent="0.25">
      <c r="A2081" t="s">
        <v>23</v>
      </c>
      <c r="B2081">
        <v>116402</v>
      </c>
      <c r="C2081">
        <v>5</v>
      </c>
      <c r="D2081" t="s">
        <v>12</v>
      </c>
      <c r="E2081">
        <v>0.97</v>
      </c>
      <c r="F2081">
        <v>1.34</v>
      </c>
      <c r="G2081">
        <v>0.83</v>
      </c>
      <c r="H2081" t="s">
        <v>10</v>
      </c>
    </row>
    <row r="2082" spans="1:8" x14ac:dyDescent="0.25">
      <c r="A2082" t="s">
        <v>22</v>
      </c>
      <c r="B2082">
        <v>71503</v>
      </c>
      <c r="C2082">
        <v>10</v>
      </c>
      <c r="D2082" t="s">
        <v>15</v>
      </c>
      <c r="E2082">
        <v>0.39</v>
      </c>
      <c r="F2082">
        <v>0.98</v>
      </c>
      <c r="G2082">
        <v>0.48</v>
      </c>
      <c r="H2082" t="s">
        <v>17</v>
      </c>
    </row>
    <row r="2083" spans="1:8" x14ac:dyDescent="0.25">
      <c r="A2083" t="s">
        <v>31</v>
      </c>
      <c r="B2083">
        <v>107366</v>
      </c>
      <c r="C2083">
        <v>29</v>
      </c>
      <c r="D2083" t="s">
        <v>9</v>
      </c>
      <c r="E2083">
        <v>0.26</v>
      </c>
      <c r="F2083">
        <v>1.44</v>
      </c>
      <c r="G2083">
        <v>0.7</v>
      </c>
      <c r="H2083" t="s">
        <v>17</v>
      </c>
    </row>
    <row r="2084" spans="1:8" x14ac:dyDescent="0.25">
      <c r="A2084" t="s">
        <v>21</v>
      </c>
      <c r="B2084">
        <v>132187</v>
      </c>
      <c r="C2084">
        <v>17</v>
      </c>
      <c r="D2084" t="s">
        <v>28</v>
      </c>
      <c r="E2084">
        <v>0.86</v>
      </c>
      <c r="F2084">
        <v>1.03</v>
      </c>
      <c r="G2084">
        <v>0.13</v>
      </c>
      <c r="H2084" t="s">
        <v>13</v>
      </c>
    </row>
    <row r="2085" spans="1:8" x14ac:dyDescent="0.25">
      <c r="A2085" t="s">
        <v>23</v>
      </c>
      <c r="B2085">
        <v>71164</v>
      </c>
      <c r="C2085">
        <v>25</v>
      </c>
      <c r="D2085" t="s">
        <v>12</v>
      </c>
      <c r="E2085">
        <v>0.91</v>
      </c>
      <c r="F2085">
        <v>1.23</v>
      </c>
      <c r="G2085">
        <v>0.86</v>
      </c>
      <c r="H2085" t="s">
        <v>10</v>
      </c>
    </row>
    <row r="2086" spans="1:8" x14ac:dyDescent="0.25">
      <c r="A2086" t="s">
        <v>21</v>
      </c>
      <c r="B2086">
        <v>67624</v>
      </c>
      <c r="C2086">
        <v>17</v>
      </c>
      <c r="D2086" t="s">
        <v>15</v>
      </c>
      <c r="E2086">
        <v>0.15</v>
      </c>
      <c r="F2086">
        <v>0.53</v>
      </c>
      <c r="G2086">
        <v>0.24</v>
      </c>
      <c r="H2086" t="s">
        <v>13</v>
      </c>
    </row>
    <row r="2087" spans="1:8" x14ac:dyDescent="0.25">
      <c r="A2087" t="s">
        <v>29</v>
      </c>
      <c r="B2087">
        <v>144499</v>
      </c>
      <c r="C2087">
        <v>1</v>
      </c>
      <c r="D2087" t="s">
        <v>9</v>
      </c>
      <c r="E2087">
        <v>0.99</v>
      </c>
      <c r="F2087">
        <v>0.77</v>
      </c>
      <c r="G2087">
        <v>0.91</v>
      </c>
      <c r="H2087" t="s">
        <v>10</v>
      </c>
    </row>
    <row r="2088" spans="1:8" x14ac:dyDescent="0.25">
      <c r="A2088" t="s">
        <v>21</v>
      </c>
      <c r="B2088">
        <v>146585</v>
      </c>
      <c r="C2088">
        <v>29</v>
      </c>
      <c r="D2088" t="s">
        <v>15</v>
      </c>
      <c r="E2088">
        <v>0.67</v>
      </c>
      <c r="F2088">
        <v>0.51</v>
      </c>
      <c r="G2088">
        <v>0.26</v>
      </c>
      <c r="H2088" t="s">
        <v>13</v>
      </c>
    </row>
    <row r="2089" spans="1:8" x14ac:dyDescent="0.25">
      <c r="A2089" t="s">
        <v>30</v>
      </c>
      <c r="B2089">
        <v>115780</v>
      </c>
      <c r="C2089">
        <v>24</v>
      </c>
      <c r="D2089" t="s">
        <v>12</v>
      </c>
      <c r="E2089">
        <v>0.06</v>
      </c>
      <c r="F2089">
        <v>1.1000000000000001</v>
      </c>
      <c r="G2089">
        <v>0.27</v>
      </c>
      <c r="H2089" t="s">
        <v>13</v>
      </c>
    </row>
    <row r="2090" spans="1:8" x14ac:dyDescent="0.25">
      <c r="A2090" t="s">
        <v>21</v>
      </c>
      <c r="B2090">
        <v>140168</v>
      </c>
      <c r="C2090">
        <v>4</v>
      </c>
      <c r="D2090" t="s">
        <v>15</v>
      </c>
      <c r="E2090">
        <v>0.55000000000000004</v>
      </c>
      <c r="F2090">
        <v>1</v>
      </c>
      <c r="G2090">
        <v>0.13</v>
      </c>
      <c r="H2090" t="s">
        <v>13</v>
      </c>
    </row>
    <row r="2091" spans="1:8" x14ac:dyDescent="0.25">
      <c r="A2091" t="s">
        <v>23</v>
      </c>
      <c r="B2091">
        <v>113764</v>
      </c>
      <c r="C2091">
        <v>20</v>
      </c>
      <c r="D2091" t="s">
        <v>9</v>
      </c>
      <c r="E2091">
        <v>0.41</v>
      </c>
      <c r="F2091">
        <v>1.01</v>
      </c>
      <c r="G2091">
        <v>0.72</v>
      </c>
      <c r="H2091" t="s">
        <v>10</v>
      </c>
    </row>
    <row r="2092" spans="1:8" x14ac:dyDescent="0.25">
      <c r="A2092" t="s">
        <v>27</v>
      </c>
      <c r="B2092">
        <v>114367</v>
      </c>
      <c r="C2092">
        <v>4</v>
      </c>
      <c r="D2092" t="s">
        <v>28</v>
      </c>
      <c r="E2092">
        <v>7.0000000000000007E-2</v>
      </c>
      <c r="F2092">
        <v>1.24</v>
      </c>
      <c r="G2092">
        <v>0.52</v>
      </c>
      <c r="H2092" t="s">
        <v>17</v>
      </c>
    </row>
    <row r="2093" spans="1:8" x14ac:dyDescent="0.25">
      <c r="A2093" t="s">
        <v>33</v>
      </c>
      <c r="B2093">
        <v>54195</v>
      </c>
      <c r="C2093">
        <v>25</v>
      </c>
      <c r="D2093" t="s">
        <v>9</v>
      </c>
      <c r="E2093">
        <v>0.18</v>
      </c>
      <c r="F2093">
        <v>0.52</v>
      </c>
      <c r="G2093">
        <v>0.09</v>
      </c>
      <c r="H2093" t="s">
        <v>13</v>
      </c>
    </row>
    <row r="2094" spans="1:8" x14ac:dyDescent="0.25">
      <c r="A2094" t="s">
        <v>30</v>
      </c>
      <c r="B2094">
        <v>98397</v>
      </c>
      <c r="C2094">
        <v>14</v>
      </c>
      <c r="D2094" t="s">
        <v>9</v>
      </c>
      <c r="E2094">
        <v>0.42</v>
      </c>
      <c r="F2094">
        <v>1.1599999999999999</v>
      </c>
      <c r="G2094">
        <v>0.24</v>
      </c>
      <c r="H2094" t="s">
        <v>13</v>
      </c>
    </row>
    <row r="2095" spans="1:8" x14ac:dyDescent="0.25">
      <c r="A2095" t="s">
        <v>21</v>
      </c>
      <c r="B2095">
        <v>114692</v>
      </c>
      <c r="C2095">
        <v>15</v>
      </c>
      <c r="D2095" t="s">
        <v>12</v>
      </c>
      <c r="E2095">
        <v>0.17</v>
      </c>
      <c r="F2095">
        <v>1.38</v>
      </c>
      <c r="G2095">
        <v>0.22</v>
      </c>
      <c r="H2095" t="s">
        <v>13</v>
      </c>
    </row>
    <row r="2096" spans="1:8" x14ac:dyDescent="0.25">
      <c r="A2096" t="s">
        <v>25</v>
      </c>
      <c r="B2096">
        <v>75814</v>
      </c>
      <c r="C2096">
        <v>5</v>
      </c>
      <c r="D2096" t="s">
        <v>9</v>
      </c>
      <c r="E2096">
        <v>0.02</v>
      </c>
      <c r="F2096">
        <v>1.29</v>
      </c>
      <c r="G2096">
        <v>0.3</v>
      </c>
      <c r="H2096" t="s">
        <v>13</v>
      </c>
    </row>
    <row r="2097" spans="1:8" x14ac:dyDescent="0.25">
      <c r="A2097" t="s">
        <v>19</v>
      </c>
      <c r="B2097">
        <v>122079</v>
      </c>
      <c r="C2097">
        <v>12</v>
      </c>
      <c r="D2097" t="s">
        <v>28</v>
      </c>
      <c r="E2097">
        <v>0.05</v>
      </c>
      <c r="F2097">
        <v>0.56000000000000005</v>
      </c>
      <c r="G2097">
        <v>0.25</v>
      </c>
      <c r="H2097" t="s">
        <v>13</v>
      </c>
    </row>
    <row r="2098" spans="1:8" x14ac:dyDescent="0.25">
      <c r="A2098" t="s">
        <v>32</v>
      </c>
      <c r="B2098">
        <v>138165</v>
      </c>
      <c r="C2098">
        <v>26</v>
      </c>
      <c r="D2098" t="s">
        <v>12</v>
      </c>
      <c r="E2098">
        <v>0.52</v>
      </c>
      <c r="F2098">
        <v>0.67</v>
      </c>
      <c r="G2098">
        <v>0.62</v>
      </c>
      <c r="H2098" t="s">
        <v>17</v>
      </c>
    </row>
    <row r="2099" spans="1:8" x14ac:dyDescent="0.25">
      <c r="A2099" t="s">
        <v>26</v>
      </c>
      <c r="B2099">
        <v>130296</v>
      </c>
      <c r="C2099">
        <v>26</v>
      </c>
      <c r="D2099" t="s">
        <v>12</v>
      </c>
      <c r="E2099">
        <v>0.88</v>
      </c>
      <c r="F2099">
        <v>1.45</v>
      </c>
      <c r="G2099">
        <v>0.53</v>
      </c>
      <c r="H2099" t="s">
        <v>17</v>
      </c>
    </row>
    <row r="2100" spans="1:8" x14ac:dyDescent="0.25">
      <c r="A2100" t="s">
        <v>21</v>
      </c>
      <c r="B2100">
        <v>144547</v>
      </c>
      <c r="C2100">
        <v>28</v>
      </c>
      <c r="D2100" t="s">
        <v>15</v>
      </c>
      <c r="E2100">
        <v>0.98</v>
      </c>
      <c r="F2100">
        <v>1.05</v>
      </c>
      <c r="G2100">
        <v>0.28000000000000003</v>
      </c>
      <c r="H2100" t="s">
        <v>13</v>
      </c>
    </row>
    <row r="2101" spans="1:8" x14ac:dyDescent="0.25">
      <c r="A2101" t="s">
        <v>21</v>
      </c>
      <c r="B2101">
        <v>85133</v>
      </c>
      <c r="C2101">
        <v>18</v>
      </c>
      <c r="D2101" t="s">
        <v>9</v>
      </c>
      <c r="E2101">
        <v>0.32</v>
      </c>
      <c r="F2101">
        <v>0.91</v>
      </c>
      <c r="G2101">
        <v>0.27</v>
      </c>
      <c r="H2101" t="s">
        <v>13</v>
      </c>
    </row>
    <row r="2102" spans="1:8" x14ac:dyDescent="0.25">
      <c r="A2102" t="s">
        <v>29</v>
      </c>
      <c r="B2102">
        <v>127347</v>
      </c>
      <c r="C2102">
        <v>6</v>
      </c>
      <c r="D2102" t="s">
        <v>15</v>
      </c>
      <c r="E2102">
        <v>0.82</v>
      </c>
      <c r="F2102">
        <v>1.27</v>
      </c>
      <c r="G2102">
        <v>0.88</v>
      </c>
      <c r="H2102" t="s">
        <v>10</v>
      </c>
    </row>
    <row r="2103" spans="1:8" x14ac:dyDescent="0.25">
      <c r="A2103" t="s">
        <v>19</v>
      </c>
      <c r="B2103">
        <v>82990</v>
      </c>
      <c r="C2103">
        <v>27</v>
      </c>
      <c r="D2103" t="s">
        <v>15</v>
      </c>
      <c r="E2103">
        <v>0.1</v>
      </c>
      <c r="F2103">
        <v>0.88</v>
      </c>
      <c r="G2103">
        <v>0.3</v>
      </c>
      <c r="H2103" t="s">
        <v>13</v>
      </c>
    </row>
    <row r="2104" spans="1:8" x14ac:dyDescent="0.25">
      <c r="A2104" t="s">
        <v>16</v>
      </c>
      <c r="B2104">
        <v>69379</v>
      </c>
      <c r="C2104">
        <v>26</v>
      </c>
      <c r="D2104" t="s">
        <v>28</v>
      </c>
      <c r="E2104">
        <v>0.11</v>
      </c>
      <c r="F2104">
        <v>0.64</v>
      </c>
      <c r="G2104">
        <v>0.65</v>
      </c>
      <c r="H2104" t="s">
        <v>17</v>
      </c>
    </row>
    <row r="2105" spans="1:8" x14ac:dyDescent="0.25">
      <c r="A2105" t="s">
        <v>32</v>
      </c>
      <c r="B2105">
        <v>128235</v>
      </c>
      <c r="C2105">
        <v>14</v>
      </c>
      <c r="D2105" t="s">
        <v>28</v>
      </c>
      <c r="E2105">
        <v>0.14000000000000001</v>
      </c>
      <c r="F2105">
        <v>1.26</v>
      </c>
      <c r="G2105">
        <v>0.36</v>
      </c>
      <c r="H2105" t="s">
        <v>17</v>
      </c>
    </row>
    <row r="2106" spans="1:8" x14ac:dyDescent="0.25">
      <c r="A2106" t="s">
        <v>20</v>
      </c>
      <c r="B2106">
        <v>102181</v>
      </c>
      <c r="C2106">
        <v>17</v>
      </c>
      <c r="D2106" t="s">
        <v>28</v>
      </c>
      <c r="E2106">
        <v>0.54</v>
      </c>
      <c r="F2106">
        <v>1.17</v>
      </c>
      <c r="G2106">
        <v>0.44</v>
      </c>
      <c r="H2106" t="s">
        <v>17</v>
      </c>
    </row>
    <row r="2107" spans="1:8" x14ac:dyDescent="0.25">
      <c r="A2107" t="s">
        <v>24</v>
      </c>
      <c r="B2107">
        <v>111839</v>
      </c>
      <c r="C2107">
        <v>29</v>
      </c>
      <c r="D2107" t="s">
        <v>15</v>
      </c>
      <c r="E2107">
        <v>0.61</v>
      </c>
      <c r="F2107">
        <v>1.41</v>
      </c>
      <c r="G2107">
        <v>0.44</v>
      </c>
      <c r="H2107" t="s">
        <v>17</v>
      </c>
    </row>
    <row r="2108" spans="1:8" x14ac:dyDescent="0.25">
      <c r="A2108" t="s">
        <v>31</v>
      </c>
      <c r="B2108">
        <v>83242</v>
      </c>
      <c r="C2108">
        <v>19</v>
      </c>
      <c r="D2108" t="s">
        <v>15</v>
      </c>
      <c r="E2108">
        <v>0.73</v>
      </c>
      <c r="F2108">
        <v>0.83</v>
      </c>
      <c r="G2108">
        <v>0.71</v>
      </c>
      <c r="H2108" t="s">
        <v>10</v>
      </c>
    </row>
    <row r="2109" spans="1:8" x14ac:dyDescent="0.25">
      <c r="A2109" t="s">
        <v>30</v>
      </c>
      <c r="B2109">
        <v>93611</v>
      </c>
      <c r="C2109">
        <v>13</v>
      </c>
      <c r="D2109" t="s">
        <v>28</v>
      </c>
      <c r="E2109">
        <v>0.9</v>
      </c>
      <c r="F2109">
        <v>0.52</v>
      </c>
      <c r="G2109">
        <v>0.28000000000000003</v>
      </c>
      <c r="H2109" t="s">
        <v>13</v>
      </c>
    </row>
    <row r="2110" spans="1:8" x14ac:dyDescent="0.25">
      <c r="A2110" t="s">
        <v>16</v>
      </c>
      <c r="B2110">
        <v>38871</v>
      </c>
      <c r="C2110">
        <v>6</v>
      </c>
      <c r="D2110" t="s">
        <v>15</v>
      </c>
      <c r="E2110">
        <v>0.8</v>
      </c>
      <c r="F2110">
        <v>1.1299999999999999</v>
      </c>
      <c r="G2110">
        <v>0.67</v>
      </c>
      <c r="H2110" t="s">
        <v>17</v>
      </c>
    </row>
    <row r="2111" spans="1:8" x14ac:dyDescent="0.25">
      <c r="A2111" t="s">
        <v>19</v>
      </c>
      <c r="B2111">
        <v>78743</v>
      </c>
      <c r="C2111">
        <v>10</v>
      </c>
      <c r="D2111" t="s">
        <v>9</v>
      </c>
      <c r="E2111">
        <v>0.59</v>
      </c>
      <c r="F2111">
        <v>0.5</v>
      </c>
      <c r="G2111">
        <v>0.12</v>
      </c>
      <c r="H2111" t="s">
        <v>13</v>
      </c>
    </row>
    <row r="2112" spans="1:8" x14ac:dyDescent="0.25">
      <c r="A2112" t="s">
        <v>22</v>
      </c>
      <c r="B2112">
        <v>107418</v>
      </c>
      <c r="C2112">
        <v>10</v>
      </c>
      <c r="D2112" t="s">
        <v>28</v>
      </c>
      <c r="E2112">
        <v>0.5</v>
      </c>
      <c r="F2112">
        <v>0.95</v>
      </c>
      <c r="G2112">
        <v>0.61</v>
      </c>
      <c r="H2112" t="s">
        <v>17</v>
      </c>
    </row>
    <row r="2113" spans="1:8" x14ac:dyDescent="0.25">
      <c r="A2113" t="s">
        <v>8</v>
      </c>
      <c r="B2113">
        <v>116472</v>
      </c>
      <c r="C2113">
        <v>13</v>
      </c>
      <c r="D2113" t="s">
        <v>9</v>
      </c>
      <c r="E2113">
        <v>0.27</v>
      </c>
      <c r="F2113">
        <v>0.99</v>
      </c>
      <c r="G2113">
        <v>0.93</v>
      </c>
      <c r="H2113" t="s">
        <v>10</v>
      </c>
    </row>
    <row r="2114" spans="1:8" x14ac:dyDescent="0.25">
      <c r="A2114" t="s">
        <v>32</v>
      </c>
      <c r="B2114">
        <v>56025</v>
      </c>
      <c r="C2114">
        <v>28</v>
      </c>
      <c r="D2114" t="s">
        <v>15</v>
      </c>
      <c r="E2114">
        <v>0.02</v>
      </c>
      <c r="F2114">
        <v>0.74</v>
      </c>
      <c r="G2114">
        <v>0.62</v>
      </c>
      <c r="H2114" t="s">
        <v>17</v>
      </c>
    </row>
    <row r="2115" spans="1:8" x14ac:dyDescent="0.25">
      <c r="A2115" t="s">
        <v>27</v>
      </c>
      <c r="B2115">
        <v>51747</v>
      </c>
      <c r="C2115">
        <v>19</v>
      </c>
      <c r="D2115" t="s">
        <v>28</v>
      </c>
      <c r="E2115">
        <v>0.67</v>
      </c>
      <c r="F2115">
        <v>0.99</v>
      </c>
      <c r="G2115">
        <v>0.56999999999999995</v>
      </c>
      <c r="H2115" t="s">
        <v>17</v>
      </c>
    </row>
    <row r="2116" spans="1:8" x14ac:dyDescent="0.25">
      <c r="A2116" t="s">
        <v>26</v>
      </c>
      <c r="B2116">
        <v>117090</v>
      </c>
      <c r="C2116">
        <v>27</v>
      </c>
      <c r="D2116" t="s">
        <v>15</v>
      </c>
      <c r="E2116">
        <v>0.92</v>
      </c>
      <c r="F2116">
        <v>1.0900000000000001</v>
      </c>
      <c r="G2116">
        <v>0.61</v>
      </c>
      <c r="H2116" t="s">
        <v>17</v>
      </c>
    </row>
    <row r="2117" spans="1:8" x14ac:dyDescent="0.25">
      <c r="A2117" t="s">
        <v>30</v>
      </c>
      <c r="B2117">
        <v>65486</v>
      </c>
      <c r="C2117">
        <v>5</v>
      </c>
      <c r="D2117" t="s">
        <v>28</v>
      </c>
      <c r="E2117">
        <v>0.56000000000000005</v>
      </c>
      <c r="F2117">
        <v>1.21</v>
      </c>
      <c r="G2117">
        <v>0.24</v>
      </c>
      <c r="H2117" t="s">
        <v>13</v>
      </c>
    </row>
    <row r="2118" spans="1:8" x14ac:dyDescent="0.25">
      <c r="A2118" t="s">
        <v>33</v>
      </c>
      <c r="B2118">
        <v>148871</v>
      </c>
      <c r="C2118">
        <v>17</v>
      </c>
      <c r="D2118" t="s">
        <v>15</v>
      </c>
      <c r="E2118">
        <v>0.62</v>
      </c>
      <c r="F2118">
        <v>1.47</v>
      </c>
      <c r="G2118">
        <v>0.08</v>
      </c>
      <c r="H2118" t="s">
        <v>13</v>
      </c>
    </row>
    <row r="2119" spans="1:8" x14ac:dyDescent="0.25">
      <c r="A2119" t="s">
        <v>11</v>
      </c>
      <c r="B2119">
        <v>72925</v>
      </c>
      <c r="C2119">
        <v>15</v>
      </c>
      <c r="D2119" t="s">
        <v>12</v>
      </c>
      <c r="E2119">
        <v>0.9</v>
      </c>
      <c r="F2119">
        <v>1.3</v>
      </c>
      <c r="G2119">
        <v>0.28000000000000003</v>
      </c>
      <c r="H2119" t="s">
        <v>13</v>
      </c>
    </row>
    <row r="2120" spans="1:8" x14ac:dyDescent="0.25">
      <c r="A2120" t="s">
        <v>22</v>
      </c>
      <c r="B2120">
        <v>50647</v>
      </c>
      <c r="C2120">
        <v>20</v>
      </c>
      <c r="D2120" t="s">
        <v>15</v>
      </c>
      <c r="E2120">
        <v>0.02</v>
      </c>
      <c r="F2120">
        <v>0.81</v>
      </c>
      <c r="G2120">
        <v>0.35</v>
      </c>
      <c r="H2120" t="s">
        <v>17</v>
      </c>
    </row>
    <row r="2121" spans="1:8" x14ac:dyDescent="0.25">
      <c r="A2121" t="s">
        <v>33</v>
      </c>
      <c r="B2121">
        <v>134839</v>
      </c>
      <c r="C2121">
        <v>24</v>
      </c>
      <c r="D2121" t="s">
        <v>9</v>
      </c>
      <c r="E2121">
        <v>0.24</v>
      </c>
      <c r="F2121">
        <v>0.89</v>
      </c>
      <c r="G2121">
        <v>7.0000000000000007E-2</v>
      </c>
      <c r="H2121" t="s">
        <v>13</v>
      </c>
    </row>
    <row r="2122" spans="1:8" x14ac:dyDescent="0.25">
      <c r="A2122" t="s">
        <v>24</v>
      </c>
      <c r="B2122">
        <v>94310</v>
      </c>
      <c r="C2122">
        <v>12</v>
      </c>
      <c r="D2122" t="s">
        <v>28</v>
      </c>
      <c r="E2122">
        <v>0.91</v>
      </c>
      <c r="F2122">
        <v>0.62</v>
      </c>
      <c r="G2122">
        <v>0.37</v>
      </c>
      <c r="H2122" t="s">
        <v>17</v>
      </c>
    </row>
    <row r="2123" spans="1:8" x14ac:dyDescent="0.25">
      <c r="A2123" t="s">
        <v>14</v>
      </c>
      <c r="B2123">
        <v>67788</v>
      </c>
      <c r="C2123">
        <v>7</v>
      </c>
      <c r="D2123" t="s">
        <v>12</v>
      </c>
      <c r="E2123">
        <v>0.74</v>
      </c>
      <c r="F2123">
        <v>1.27</v>
      </c>
      <c r="G2123">
        <v>0.95</v>
      </c>
      <c r="H2123" t="s">
        <v>10</v>
      </c>
    </row>
    <row r="2124" spans="1:8" x14ac:dyDescent="0.25">
      <c r="A2124" t="s">
        <v>18</v>
      </c>
      <c r="B2124">
        <v>87676</v>
      </c>
      <c r="C2124">
        <v>21</v>
      </c>
      <c r="D2124" t="s">
        <v>12</v>
      </c>
      <c r="E2124">
        <v>0.34</v>
      </c>
      <c r="F2124">
        <v>1.3</v>
      </c>
      <c r="G2124">
        <v>0.34</v>
      </c>
      <c r="H2124" t="s">
        <v>17</v>
      </c>
    </row>
    <row r="2125" spans="1:8" x14ac:dyDescent="0.25">
      <c r="A2125" t="s">
        <v>20</v>
      </c>
      <c r="B2125">
        <v>73677</v>
      </c>
      <c r="C2125">
        <v>25</v>
      </c>
      <c r="D2125" t="s">
        <v>15</v>
      </c>
      <c r="E2125">
        <v>0.88</v>
      </c>
      <c r="F2125">
        <v>1.37</v>
      </c>
      <c r="G2125">
        <v>0.46</v>
      </c>
      <c r="H2125" t="s">
        <v>17</v>
      </c>
    </row>
    <row r="2126" spans="1:8" x14ac:dyDescent="0.25">
      <c r="A2126" t="s">
        <v>23</v>
      </c>
      <c r="B2126">
        <v>84012</v>
      </c>
      <c r="C2126">
        <v>8</v>
      </c>
      <c r="D2126" t="s">
        <v>12</v>
      </c>
      <c r="E2126">
        <v>0.37</v>
      </c>
      <c r="F2126">
        <v>1.0900000000000001</v>
      </c>
      <c r="G2126">
        <v>0.87</v>
      </c>
      <c r="H2126" t="s">
        <v>10</v>
      </c>
    </row>
    <row r="2127" spans="1:8" x14ac:dyDescent="0.25">
      <c r="A2127" t="s">
        <v>16</v>
      </c>
      <c r="B2127">
        <v>67470</v>
      </c>
      <c r="C2127">
        <v>10</v>
      </c>
      <c r="D2127" t="s">
        <v>15</v>
      </c>
      <c r="E2127">
        <v>0.09</v>
      </c>
      <c r="F2127">
        <v>0.66</v>
      </c>
      <c r="G2127">
        <v>0.54</v>
      </c>
      <c r="H2127" t="s">
        <v>17</v>
      </c>
    </row>
    <row r="2128" spans="1:8" x14ac:dyDescent="0.25">
      <c r="A2128" t="s">
        <v>25</v>
      </c>
      <c r="B2128">
        <v>139055</v>
      </c>
      <c r="C2128">
        <v>22</v>
      </c>
      <c r="D2128" t="s">
        <v>9</v>
      </c>
      <c r="E2128">
        <v>0.14000000000000001</v>
      </c>
      <c r="F2128">
        <v>0.86</v>
      </c>
      <c r="G2128">
        <v>0.33</v>
      </c>
      <c r="H2128" t="s">
        <v>17</v>
      </c>
    </row>
    <row r="2129" spans="1:8" x14ac:dyDescent="0.25">
      <c r="A2129" t="s">
        <v>11</v>
      </c>
      <c r="B2129">
        <v>31757</v>
      </c>
      <c r="C2129">
        <v>21</v>
      </c>
      <c r="D2129" t="s">
        <v>28</v>
      </c>
      <c r="E2129">
        <v>0.39</v>
      </c>
      <c r="F2129">
        <v>0.95</v>
      </c>
      <c r="G2129">
        <v>0.25</v>
      </c>
      <c r="H2129" t="s">
        <v>13</v>
      </c>
    </row>
    <row r="2130" spans="1:8" x14ac:dyDescent="0.25">
      <c r="A2130" t="s">
        <v>21</v>
      </c>
      <c r="B2130">
        <v>62964</v>
      </c>
      <c r="C2130">
        <v>18</v>
      </c>
      <c r="D2130" t="s">
        <v>15</v>
      </c>
      <c r="E2130">
        <v>0.92</v>
      </c>
      <c r="F2130">
        <v>1.1599999999999999</v>
      </c>
      <c r="G2130">
        <v>0.15</v>
      </c>
      <c r="H2130" t="s">
        <v>13</v>
      </c>
    </row>
    <row r="2131" spans="1:8" x14ac:dyDescent="0.25">
      <c r="A2131" t="s">
        <v>32</v>
      </c>
      <c r="B2131">
        <v>139276</v>
      </c>
      <c r="C2131">
        <v>15</v>
      </c>
      <c r="D2131" t="s">
        <v>12</v>
      </c>
      <c r="E2131">
        <v>0.93</v>
      </c>
      <c r="F2131">
        <v>1.1599999999999999</v>
      </c>
      <c r="G2131">
        <v>0.42</v>
      </c>
      <c r="H2131" t="s">
        <v>17</v>
      </c>
    </row>
    <row r="2132" spans="1:8" x14ac:dyDescent="0.25">
      <c r="A2132" t="s">
        <v>24</v>
      </c>
      <c r="B2132">
        <v>124364</v>
      </c>
      <c r="C2132">
        <v>24</v>
      </c>
      <c r="D2132" t="s">
        <v>15</v>
      </c>
      <c r="E2132">
        <v>0.31</v>
      </c>
      <c r="F2132">
        <v>1.34</v>
      </c>
      <c r="G2132">
        <v>0.56999999999999995</v>
      </c>
      <c r="H2132" t="s">
        <v>17</v>
      </c>
    </row>
    <row r="2133" spans="1:8" x14ac:dyDescent="0.25">
      <c r="A2133" t="s">
        <v>19</v>
      </c>
      <c r="B2133">
        <v>30030</v>
      </c>
      <c r="C2133">
        <v>0</v>
      </c>
      <c r="D2133" t="s">
        <v>9</v>
      </c>
      <c r="E2133">
        <v>0.44</v>
      </c>
      <c r="F2133">
        <v>1.45</v>
      </c>
      <c r="G2133">
        <v>0.19</v>
      </c>
      <c r="H2133" t="s">
        <v>13</v>
      </c>
    </row>
    <row r="2134" spans="1:8" x14ac:dyDescent="0.25">
      <c r="A2134" t="s">
        <v>29</v>
      </c>
      <c r="B2134">
        <v>54524</v>
      </c>
      <c r="C2134">
        <v>19</v>
      </c>
      <c r="D2134" t="s">
        <v>28</v>
      </c>
      <c r="E2134">
        <v>0.55000000000000004</v>
      </c>
      <c r="F2134">
        <v>0.83</v>
      </c>
      <c r="G2134">
        <v>0.72</v>
      </c>
      <c r="H2134" t="s">
        <v>10</v>
      </c>
    </row>
    <row r="2135" spans="1:8" x14ac:dyDescent="0.25">
      <c r="A2135" t="s">
        <v>18</v>
      </c>
      <c r="B2135">
        <v>43733</v>
      </c>
      <c r="C2135">
        <v>7</v>
      </c>
      <c r="D2135" t="s">
        <v>9</v>
      </c>
      <c r="E2135">
        <v>0.26</v>
      </c>
      <c r="F2135">
        <v>0.56000000000000005</v>
      </c>
      <c r="G2135">
        <v>0.56999999999999995</v>
      </c>
      <c r="H2135" t="s">
        <v>17</v>
      </c>
    </row>
    <row r="2136" spans="1:8" x14ac:dyDescent="0.25">
      <c r="A2136" t="s">
        <v>19</v>
      </c>
      <c r="B2136">
        <v>92086</v>
      </c>
      <c r="C2136">
        <v>21</v>
      </c>
      <c r="D2136" t="s">
        <v>9</v>
      </c>
      <c r="E2136">
        <v>0.14000000000000001</v>
      </c>
      <c r="F2136">
        <v>0.52</v>
      </c>
      <c r="G2136">
        <v>0.27</v>
      </c>
      <c r="H2136" t="s">
        <v>13</v>
      </c>
    </row>
    <row r="2137" spans="1:8" x14ac:dyDescent="0.25">
      <c r="A2137" t="s">
        <v>24</v>
      </c>
      <c r="B2137">
        <v>134643</v>
      </c>
      <c r="C2137">
        <v>2</v>
      </c>
      <c r="D2137" t="s">
        <v>28</v>
      </c>
      <c r="E2137">
        <v>0.83</v>
      </c>
      <c r="F2137">
        <v>1.26</v>
      </c>
      <c r="G2137">
        <v>0.56999999999999995</v>
      </c>
      <c r="H2137" t="s">
        <v>17</v>
      </c>
    </row>
    <row r="2138" spans="1:8" x14ac:dyDescent="0.25">
      <c r="A2138" t="s">
        <v>16</v>
      </c>
      <c r="B2138">
        <v>136565</v>
      </c>
      <c r="C2138">
        <v>22</v>
      </c>
      <c r="D2138" t="s">
        <v>28</v>
      </c>
      <c r="E2138">
        <v>0.02</v>
      </c>
      <c r="F2138">
        <v>0.62</v>
      </c>
      <c r="G2138">
        <v>0.36</v>
      </c>
      <c r="H2138" t="s">
        <v>17</v>
      </c>
    </row>
    <row r="2139" spans="1:8" x14ac:dyDescent="0.25">
      <c r="A2139" t="s">
        <v>23</v>
      </c>
      <c r="B2139">
        <v>53784</v>
      </c>
      <c r="C2139">
        <v>28</v>
      </c>
      <c r="D2139" t="s">
        <v>12</v>
      </c>
      <c r="E2139">
        <v>0.93</v>
      </c>
      <c r="F2139">
        <v>0.56999999999999995</v>
      </c>
      <c r="G2139">
        <v>0.78</v>
      </c>
      <c r="H2139" t="s">
        <v>10</v>
      </c>
    </row>
    <row r="2140" spans="1:8" x14ac:dyDescent="0.25">
      <c r="A2140" t="s">
        <v>31</v>
      </c>
      <c r="B2140">
        <v>129892</v>
      </c>
      <c r="C2140">
        <v>9</v>
      </c>
      <c r="D2140" t="s">
        <v>15</v>
      </c>
      <c r="E2140">
        <v>0.94</v>
      </c>
      <c r="F2140">
        <v>1.4</v>
      </c>
      <c r="G2140">
        <v>0.95</v>
      </c>
      <c r="H2140" t="s">
        <v>10</v>
      </c>
    </row>
    <row r="2141" spans="1:8" x14ac:dyDescent="0.25">
      <c r="A2141" t="s">
        <v>32</v>
      </c>
      <c r="B2141">
        <v>123497</v>
      </c>
      <c r="C2141">
        <v>20</v>
      </c>
      <c r="D2141" t="s">
        <v>9</v>
      </c>
      <c r="E2141">
        <v>0.48</v>
      </c>
      <c r="F2141">
        <v>0.98</v>
      </c>
      <c r="G2141">
        <v>0.55000000000000004</v>
      </c>
      <c r="H2141" t="s">
        <v>17</v>
      </c>
    </row>
    <row r="2142" spans="1:8" x14ac:dyDescent="0.25">
      <c r="A2142" t="s">
        <v>23</v>
      </c>
      <c r="B2142">
        <v>71147</v>
      </c>
      <c r="C2142">
        <v>16</v>
      </c>
      <c r="D2142" t="s">
        <v>12</v>
      </c>
      <c r="E2142">
        <v>0.27</v>
      </c>
      <c r="F2142">
        <v>0.92</v>
      </c>
      <c r="G2142">
        <v>0.83</v>
      </c>
      <c r="H2142" t="s">
        <v>10</v>
      </c>
    </row>
    <row r="2143" spans="1:8" x14ac:dyDescent="0.25">
      <c r="A2143" t="s">
        <v>34</v>
      </c>
      <c r="B2143">
        <v>138131</v>
      </c>
      <c r="C2143">
        <v>20</v>
      </c>
      <c r="D2143" t="s">
        <v>9</v>
      </c>
      <c r="E2143">
        <v>0.95</v>
      </c>
      <c r="F2143">
        <v>1.44</v>
      </c>
      <c r="G2143">
        <v>0.62</v>
      </c>
      <c r="H2143" t="s">
        <v>17</v>
      </c>
    </row>
    <row r="2144" spans="1:8" x14ac:dyDescent="0.25">
      <c r="A2144" t="s">
        <v>18</v>
      </c>
      <c r="B2144">
        <v>38168</v>
      </c>
      <c r="C2144">
        <v>1</v>
      </c>
      <c r="D2144" t="s">
        <v>28</v>
      </c>
      <c r="E2144">
        <v>0.3</v>
      </c>
      <c r="F2144">
        <v>1.25</v>
      </c>
      <c r="G2144">
        <v>0.33</v>
      </c>
      <c r="H2144" t="s">
        <v>17</v>
      </c>
    </row>
    <row r="2145" spans="1:8" x14ac:dyDescent="0.25">
      <c r="A2145" t="s">
        <v>22</v>
      </c>
      <c r="B2145">
        <v>126017</v>
      </c>
      <c r="C2145">
        <v>20</v>
      </c>
      <c r="D2145" t="s">
        <v>28</v>
      </c>
      <c r="E2145">
        <v>0.01</v>
      </c>
      <c r="F2145">
        <v>1.03</v>
      </c>
      <c r="G2145">
        <v>0.68</v>
      </c>
      <c r="H2145" t="s">
        <v>17</v>
      </c>
    </row>
    <row r="2146" spans="1:8" x14ac:dyDescent="0.25">
      <c r="A2146" t="s">
        <v>25</v>
      </c>
      <c r="B2146">
        <v>106548</v>
      </c>
      <c r="C2146">
        <v>14</v>
      </c>
      <c r="D2146" t="s">
        <v>9</v>
      </c>
      <c r="E2146">
        <v>0.41</v>
      </c>
      <c r="F2146">
        <v>0.83</v>
      </c>
      <c r="G2146">
        <v>0.38</v>
      </c>
      <c r="H2146" t="s">
        <v>17</v>
      </c>
    </row>
    <row r="2147" spans="1:8" x14ac:dyDescent="0.25">
      <c r="A2147" t="s">
        <v>34</v>
      </c>
      <c r="B2147">
        <v>64574</v>
      </c>
      <c r="C2147">
        <v>6</v>
      </c>
      <c r="D2147" t="s">
        <v>9</v>
      </c>
      <c r="E2147">
        <v>0.77</v>
      </c>
      <c r="F2147">
        <v>1.1200000000000001</v>
      </c>
      <c r="G2147">
        <v>0.45</v>
      </c>
      <c r="H2147" t="s">
        <v>17</v>
      </c>
    </row>
    <row r="2148" spans="1:8" x14ac:dyDescent="0.25">
      <c r="A2148" t="s">
        <v>31</v>
      </c>
      <c r="B2148">
        <v>106334</v>
      </c>
      <c r="C2148">
        <v>15</v>
      </c>
      <c r="D2148" t="s">
        <v>15</v>
      </c>
      <c r="E2148">
        <v>0.9</v>
      </c>
      <c r="F2148">
        <v>1.1200000000000001</v>
      </c>
      <c r="G2148">
        <v>0.92</v>
      </c>
      <c r="H2148" t="s">
        <v>10</v>
      </c>
    </row>
    <row r="2149" spans="1:8" x14ac:dyDescent="0.25">
      <c r="A2149" t="s">
        <v>23</v>
      </c>
      <c r="B2149">
        <v>50709</v>
      </c>
      <c r="C2149">
        <v>8</v>
      </c>
      <c r="D2149" t="s">
        <v>9</v>
      </c>
      <c r="E2149">
        <v>0.1</v>
      </c>
      <c r="F2149">
        <v>0.6</v>
      </c>
      <c r="G2149">
        <v>0.77</v>
      </c>
      <c r="H2149" t="s">
        <v>10</v>
      </c>
    </row>
    <row r="2150" spans="1:8" x14ac:dyDescent="0.25">
      <c r="A2150" t="s">
        <v>27</v>
      </c>
      <c r="B2150">
        <v>72434</v>
      </c>
      <c r="C2150">
        <v>10</v>
      </c>
      <c r="D2150" t="s">
        <v>15</v>
      </c>
      <c r="E2150">
        <v>0.72</v>
      </c>
      <c r="F2150">
        <v>1.04</v>
      </c>
      <c r="G2150">
        <v>0.63</v>
      </c>
      <c r="H2150" t="s">
        <v>17</v>
      </c>
    </row>
    <row r="2151" spans="1:8" x14ac:dyDescent="0.25">
      <c r="A2151" t="s">
        <v>34</v>
      </c>
      <c r="B2151">
        <v>122192</v>
      </c>
      <c r="C2151">
        <v>28</v>
      </c>
      <c r="D2151" t="s">
        <v>28</v>
      </c>
      <c r="E2151">
        <v>0.94</v>
      </c>
      <c r="F2151">
        <v>1.38</v>
      </c>
      <c r="G2151">
        <v>0.66</v>
      </c>
      <c r="H2151" t="s">
        <v>17</v>
      </c>
    </row>
    <row r="2152" spans="1:8" x14ac:dyDescent="0.25">
      <c r="A2152" t="s">
        <v>30</v>
      </c>
      <c r="B2152">
        <v>102399</v>
      </c>
      <c r="C2152">
        <v>28</v>
      </c>
      <c r="D2152" t="s">
        <v>28</v>
      </c>
      <c r="E2152">
        <v>0.46</v>
      </c>
      <c r="F2152">
        <v>1.45</v>
      </c>
      <c r="G2152">
        <v>0.08</v>
      </c>
      <c r="H2152" t="s">
        <v>13</v>
      </c>
    </row>
    <row r="2153" spans="1:8" x14ac:dyDescent="0.25">
      <c r="A2153" t="s">
        <v>14</v>
      </c>
      <c r="B2153">
        <v>52489</v>
      </c>
      <c r="C2153">
        <v>28</v>
      </c>
      <c r="D2153" t="s">
        <v>12</v>
      </c>
      <c r="E2153">
        <v>0.46</v>
      </c>
      <c r="F2153">
        <v>0.52</v>
      </c>
      <c r="G2153">
        <v>0.85</v>
      </c>
      <c r="H2153" t="s">
        <v>10</v>
      </c>
    </row>
    <row r="2154" spans="1:8" x14ac:dyDescent="0.25">
      <c r="A2154" t="s">
        <v>31</v>
      </c>
      <c r="B2154">
        <v>123995</v>
      </c>
      <c r="C2154">
        <v>6</v>
      </c>
      <c r="D2154" t="s">
        <v>28</v>
      </c>
      <c r="E2154">
        <v>0.17</v>
      </c>
      <c r="F2154">
        <v>0.65</v>
      </c>
      <c r="G2154">
        <v>0.89</v>
      </c>
      <c r="H2154" t="s">
        <v>10</v>
      </c>
    </row>
    <row r="2155" spans="1:8" x14ac:dyDescent="0.25">
      <c r="A2155" t="s">
        <v>33</v>
      </c>
      <c r="B2155">
        <v>116090</v>
      </c>
      <c r="C2155">
        <v>21</v>
      </c>
      <c r="D2155" t="s">
        <v>12</v>
      </c>
      <c r="E2155">
        <v>0.85</v>
      </c>
      <c r="F2155">
        <v>0.51</v>
      </c>
      <c r="G2155">
        <v>7.0000000000000007E-2</v>
      </c>
      <c r="H2155" t="s">
        <v>13</v>
      </c>
    </row>
    <row r="2156" spans="1:8" x14ac:dyDescent="0.25">
      <c r="A2156" t="s">
        <v>22</v>
      </c>
      <c r="B2156">
        <v>126190</v>
      </c>
      <c r="C2156">
        <v>21</v>
      </c>
      <c r="D2156" t="s">
        <v>15</v>
      </c>
      <c r="E2156">
        <v>0.32</v>
      </c>
      <c r="F2156">
        <v>1.3</v>
      </c>
      <c r="G2156">
        <v>0.69</v>
      </c>
      <c r="H2156" t="s">
        <v>17</v>
      </c>
    </row>
    <row r="2157" spans="1:8" x14ac:dyDescent="0.25">
      <c r="A2157" t="s">
        <v>20</v>
      </c>
      <c r="B2157">
        <v>132535</v>
      </c>
      <c r="C2157">
        <v>20</v>
      </c>
      <c r="D2157" t="s">
        <v>15</v>
      </c>
      <c r="E2157">
        <v>0.95</v>
      </c>
      <c r="F2157">
        <v>1.46</v>
      </c>
      <c r="G2157">
        <v>0.47</v>
      </c>
      <c r="H2157" t="s">
        <v>17</v>
      </c>
    </row>
    <row r="2158" spans="1:8" x14ac:dyDescent="0.25">
      <c r="A2158" t="s">
        <v>24</v>
      </c>
      <c r="B2158">
        <v>84026</v>
      </c>
      <c r="C2158">
        <v>19</v>
      </c>
      <c r="D2158" t="s">
        <v>9</v>
      </c>
      <c r="E2158">
        <v>0.76</v>
      </c>
      <c r="F2158">
        <v>0.82</v>
      </c>
      <c r="G2158">
        <v>0.45</v>
      </c>
      <c r="H2158" t="s">
        <v>17</v>
      </c>
    </row>
    <row r="2159" spans="1:8" x14ac:dyDescent="0.25">
      <c r="A2159" t="s">
        <v>30</v>
      </c>
      <c r="B2159">
        <v>61171</v>
      </c>
      <c r="C2159">
        <v>13</v>
      </c>
      <c r="D2159" t="s">
        <v>28</v>
      </c>
      <c r="E2159">
        <v>0.12</v>
      </c>
      <c r="F2159">
        <v>0.83</v>
      </c>
      <c r="G2159">
        <v>0.17</v>
      </c>
      <c r="H2159" t="s">
        <v>13</v>
      </c>
    </row>
    <row r="2160" spans="1:8" x14ac:dyDescent="0.25">
      <c r="A2160" t="s">
        <v>19</v>
      </c>
      <c r="B2160">
        <v>140549</v>
      </c>
      <c r="C2160">
        <v>1</v>
      </c>
      <c r="D2160" t="s">
        <v>28</v>
      </c>
      <c r="E2160">
        <v>0.87</v>
      </c>
      <c r="F2160">
        <v>1.03</v>
      </c>
      <c r="G2160">
        <v>0.17</v>
      </c>
      <c r="H2160" t="s">
        <v>13</v>
      </c>
    </row>
    <row r="2161" spans="1:8" x14ac:dyDescent="0.25">
      <c r="A2161" t="s">
        <v>23</v>
      </c>
      <c r="B2161">
        <v>120061</v>
      </c>
      <c r="C2161">
        <v>16</v>
      </c>
      <c r="D2161" t="s">
        <v>9</v>
      </c>
      <c r="E2161">
        <v>0.82</v>
      </c>
      <c r="F2161">
        <v>0.71</v>
      </c>
      <c r="G2161">
        <v>0.93</v>
      </c>
      <c r="H2161" t="s">
        <v>10</v>
      </c>
    </row>
    <row r="2162" spans="1:8" x14ac:dyDescent="0.25">
      <c r="A2162" t="s">
        <v>31</v>
      </c>
      <c r="B2162">
        <v>143357</v>
      </c>
      <c r="C2162">
        <v>22</v>
      </c>
      <c r="D2162" t="s">
        <v>9</v>
      </c>
      <c r="E2162">
        <v>0.66</v>
      </c>
      <c r="F2162">
        <v>0.51</v>
      </c>
      <c r="G2162">
        <v>0.73</v>
      </c>
      <c r="H2162" t="s">
        <v>10</v>
      </c>
    </row>
    <row r="2163" spans="1:8" x14ac:dyDescent="0.25">
      <c r="A2163" t="s">
        <v>16</v>
      </c>
      <c r="B2163">
        <v>74099</v>
      </c>
      <c r="C2163">
        <v>6</v>
      </c>
      <c r="D2163" t="s">
        <v>15</v>
      </c>
      <c r="E2163">
        <v>0.13</v>
      </c>
      <c r="F2163">
        <v>1.1399999999999999</v>
      </c>
      <c r="G2163">
        <v>0.62</v>
      </c>
      <c r="H2163" t="s">
        <v>17</v>
      </c>
    </row>
    <row r="2164" spans="1:8" x14ac:dyDescent="0.25">
      <c r="A2164" t="s">
        <v>22</v>
      </c>
      <c r="B2164">
        <v>101543</v>
      </c>
      <c r="C2164">
        <v>2</v>
      </c>
      <c r="D2164" t="s">
        <v>9</v>
      </c>
      <c r="E2164">
        <v>0.06</v>
      </c>
      <c r="F2164">
        <v>0.61</v>
      </c>
      <c r="G2164">
        <v>0.61</v>
      </c>
      <c r="H2164" t="s">
        <v>17</v>
      </c>
    </row>
    <row r="2165" spans="1:8" x14ac:dyDescent="0.25">
      <c r="A2165" t="s">
        <v>33</v>
      </c>
      <c r="B2165">
        <v>129691</v>
      </c>
      <c r="C2165">
        <v>18</v>
      </c>
      <c r="D2165" t="s">
        <v>15</v>
      </c>
      <c r="E2165">
        <v>0.33</v>
      </c>
      <c r="F2165">
        <v>0.71</v>
      </c>
      <c r="G2165">
        <v>0.3</v>
      </c>
      <c r="H2165" t="s">
        <v>13</v>
      </c>
    </row>
    <row r="2166" spans="1:8" x14ac:dyDescent="0.25">
      <c r="A2166" t="s">
        <v>21</v>
      </c>
      <c r="B2166">
        <v>111793</v>
      </c>
      <c r="C2166">
        <v>14</v>
      </c>
      <c r="D2166" t="s">
        <v>15</v>
      </c>
      <c r="E2166">
        <v>0.53</v>
      </c>
      <c r="F2166">
        <v>1.3</v>
      </c>
      <c r="G2166">
        <v>0.19</v>
      </c>
      <c r="H2166" t="s">
        <v>13</v>
      </c>
    </row>
    <row r="2167" spans="1:8" x14ac:dyDescent="0.25">
      <c r="A2167" t="s">
        <v>34</v>
      </c>
      <c r="B2167">
        <v>33814</v>
      </c>
      <c r="C2167">
        <v>28</v>
      </c>
      <c r="D2167" t="s">
        <v>15</v>
      </c>
      <c r="E2167">
        <v>0.32</v>
      </c>
      <c r="F2167">
        <v>0.63</v>
      </c>
      <c r="G2167">
        <v>0.49</v>
      </c>
      <c r="H2167" t="s">
        <v>17</v>
      </c>
    </row>
    <row r="2168" spans="1:8" x14ac:dyDescent="0.25">
      <c r="A2168" t="s">
        <v>32</v>
      </c>
      <c r="B2168">
        <v>113395</v>
      </c>
      <c r="C2168">
        <v>29</v>
      </c>
      <c r="D2168" t="s">
        <v>28</v>
      </c>
      <c r="E2168">
        <v>0.45</v>
      </c>
      <c r="F2168">
        <v>1.27</v>
      </c>
      <c r="G2168">
        <v>0.47</v>
      </c>
      <c r="H2168" t="s">
        <v>17</v>
      </c>
    </row>
    <row r="2169" spans="1:8" x14ac:dyDescent="0.25">
      <c r="A2169" t="s">
        <v>16</v>
      </c>
      <c r="B2169">
        <v>104892</v>
      </c>
      <c r="C2169">
        <v>28</v>
      </c>
      <c r="D2169" t="s">
        <v>9</v>
      </c>
      <c r="E2169">
        <v>0.78</v>
      </c>
      <c r="F2169">
        <v>0.76</v>
      </c>
      <c r="G2169">
        <v>0.41</v>
      </c>
      <c r="H2169" t="s">
        <v>17</v>
      </c>
    </row>
    <row r="2170" spans="1:8" x14ac:dyDescent="0.25">
      <c r="A2170" t="s">
        <v>34</v>
      </c>
      <c r="B2170">
        <v>134560</v>
      </c>
      <c r="C2170">
        <v>4</v>
      </c>
      <c r="D2170" t="s">
        <v>12</v>
      </c>
      <c r="E2170">
        <v>0.57999999999999996</v>
      </c>
      <c r="F2170">
        <v>1.18</v>
      </c>
      <c r="G2170">
        <v>0.55000000000000004</v>
      </c>
      <c r="H2170" t="s">
        <v>17</v>
      </c>
    </row>
    <row r="2171" spans="1:8" x14ac:dyDescent="0.25">
      <c r="A2171" t="s">
        <v>22</v>
      </c>
      <c r="B2171">
        <v>46585</v>
      </c>
      <c r="C2171">
        <v>15</v>
      </c>
      <c r="D2171" t="s">
        <v>28</v>
      </c>
      <c r="E2171">
        <v>0.89</v>
      </c>
      <c r="F2171">
        <v>1.32</v>
      </c>
      <c r="G2171">
        <v>0.4</v>
      </c>
      <c r="H2171" t="s">
        <v>17</v>
      </c>
    </row>
    <row r="2172" spans="1:8" x14ac:dyDescent="0.25">
      <c r="A2172" t="s">
        <v>27</v>
      </c>
      <c r="B2172">
        <v>65878</v>
      </c>
      <c r="C2172">
        <v>27</v>
      </c>
      <c r="D2172" t="s">
        <v>15</v>
      </c>
      <c r="E2172">
        <v>0.66</v>
      </c>
      <c r="F2172">
        <v>0.89</v>
      </c>
      <c r="G2172">
        <v>0.56999999999999995</v>
      </c>
      <c r="H2172" t="s">
        <v>17</v>
      </c>
    </row>
    <row r="2173" spans="1:8" x14ac:dyDescent="0.25">
      <c r="A2173" t="s">
        <v>29</v>
      </c>
      <c r="B2173">
        <v>144742</v>
      </c>
      <c r="C2173">
        <v>13</v>
      </c>
      <c r="D2173" t="s">
        <v>12</v>
      </c>
      <c r="E2173">
        <v>0.78</v>
      </c>
      <c r="F2173">
        <v>0.66</v>
      </c>
      <c r="G2173">
        <v>0.8</v>
      </c>
      <c r="H2173" t="s">
        <v>10</v>
      </c>
    </row>
    <row r="2174" spans="1:8" x14ac:dyDescent="0.25">
      <c r="A2174" t="s">
        <v>32</v>
      </c>
      <c r="B2174">
        <v>108074</v>
      </c>
      <c r="C2174">
        <v>18</v>
      </c>
      <c r="D2174" t="s">
        <v>28</v>
      </c>
      <c r="E2174">
        <v>0.72</v>
      </c>
      <c r="F2174">
        <v>1.23</v>
      </c>
      <c r="G2174">
        <v>0.32</v>
      </c>
      <c r="H2174" t="s">
        <v>17</v>
      </c>
    </row>
    <row r="2175" spans="1:8" x14ac:dyDescent="0.25">
      <c r="A2175" t="s">
        <v>32</v>
      </c>
      <c r="B2175">
        <v>135178</v>
      </c>
      <c r="C2175">
        <v>27</v>
      </c>
      <c r="D2175" t="s">
        <v>15</v>
      </c>
      <c r="E2175">
        <v>0.48</v>
      </c>
      <c r="F2175">
        <v>1.25</v>
      </c>
      <c r="G2175">
        <v>0.56999999999999995</v>
      </c>
      <c r="H2175" t="s">
        <v>17</v>
      </c>
    </row>
    <row r="2176" spans="1:8" x14ac:dyDescent="0.25">
      <c r="A2176" t="s">
        <v>11</v>
      </c>
      <c r="B2176">
        <v>38794</v>
      </c>
      <c r="C2176">
        <v>6</v>
      </c>
      <c r="D2176" t="s">
        <v>12</v>
      </c>
      <c r="E2176">
        <v>0.05</v>
      </c>
      <c r="F2176">
        <v>0.98</v>
      </c>
      <c r="G2176">
        <v>0.28000000000000003</v>
      </c>
      <c r="H2176" t="s">
        <v>13</v>
      </c>
    </row>
    <row r="2177" spans="1:8" x14ac:dyDescent="0.25">
      <c r="A2177" t="s">
        <v>11</v>
      </c>
      <c r="B2177">
        <v>87364</v>
      </c>
      <c r="C2177">
        <v>18</v>
      </c>
      <c r="D2177" t="s">
        <v>28</v>
      </c>
      <c r="E2177">
        <v>0.82</v>
      </c>
      <c r="F2177">
        <v>1.48</v>
      </c>
      <c r="G2177">
        <v>0.22</v>
      </c>
      <c r="H2177" t="s">
        <v>13</v>
      </c>
    </row>
    <row r="2178" spans="1:8" x14ac:dyDescent="0.25">
      <c r="A2178" t="s">
        <v>31</v>
      </c>
      <c r="B2178">
        <v>41853</v>
      </c>
      <c r="C2178">
        <v>17</v>
      </c>
      <c r="D2178" t="s">
        <v>28</v>
      </c>
      <c r="E2178">
        <v>0.33</v>
      </c>
      <c r="F2178">
        <v>1.37</v>
      </c>
      <c r="G2178">
        <v>0.81</v>
      </c>
      <c r="H2178" t="s">
        <v>10</v>
      </c>
    </row>
    <row r="2179" spans="1:8" x14ac:dyDescent="0.25">
      <c r="A2179" t="s">
        <v>24</v>
      </c>
      <c r="B2179">
        <v>73280</v>
      </c>
      <c r="C2179">
        <v>28</v>
      </c>
      <c r="D2179" t="s">
        <v>9</v>
      </c>
      <c r="E2179">
        <v>0.02</v>
      </c>
      <c r="F2179">
        <v>1.17</v>
      </c>
      <c r="G2179">
        <v>0.54</v>
      </c>
      <c r="H2179" t="s">
        <v>17</v>
      </c>
    </row>
    <row r="2180" spans="1:8" x14ac:dyDescent="0.25">
      <c r="A2180" t="s">
        <v>20</v>
      </c>
      <c r="B2180">
        <v>130854</v>
      </c>
      <c r="C2180">
        <v>10</v>
      </c>
      <c r="D2180" t="s">
        <v>9</v>
      </c>
      <c r="E2180">
        <v>0.21</v>
      </c>
      <c r="F2180">
        <v>0.91</v>
      </c>
      <c r="G2180">
        <v>0.38</v>
      </c>
      <c r="H2180" t="s">
        <v>17</v>
      </c>
    </row>
    <row r="2181" spans="1:8" x14ac:dyDescent="0.25">
      <c r="A2181" t="s">
        <v>20</v>
      </c>
      <c r="B2181">
        <v>100286</v>
      </c>
      <c r="C2181">
        <v>28</v>
      </c>
      <c r="D2181" t="s">
        <v>15</v>
      </c>
      <c r="E2181">
        <v>0.24</v>
      </c>
      <c r="F2181">
        <v>0.81</v>
      </c>
      <c r="G2181">
        <v>0.53</v>
      </c>
      <c r="H2181" t="s">
        <v>17</v>
      </c>
    </row>
    <row r="2182" spans="1:8" x14ac:dyDescent="0.25">
      <c r="A2182" t="s">
        <v>14</v>
      </c>
      <c r="B2182">
        <v>129646</v>
      </c>
      <c r="C2182">
        <v>20</v>
      </c>
      <c r="D2182" t="s">
        <v>28</v>
      </c>
      <c r="E2182">
        <v>0.42</v>
      </c>
      <c r="F2182">
        <v>0.81</v>
      </c>
      <c r="G2182">
        <v>0.94</v>
      </c>
      <c r="H2182" t="s">
        <v>10</v>
      </c>
    </row>
    <row r="2183" spans="1:8" x14ac:dyDescent="0.25">
      <c r="A2183" t="s">
        <v>16</v>
      </c>
      <c r="B2183">
        <v>82445</v>
      </c>
      <c r="C2183">
        <v>25</v>
      </c>
      <c r="D2183" t="s">
        <v>28</v>
      </c>
      <c r="E2183">
        <v>0.19</v>
      </c>
      <c r="F2183">
        <v>0.56999999999999995</v>
      </c>
      <c r="G2183">
        <v>0.56000000000000005</v>
      </c>
      <c r="H2183" t="s">
        <v>17</v>
      </c>
    </row>
    <row r="2184" spans="1:8" x14ac:dyDescent="0.25">
      <c r="A2184" t="s">
        <v>24</v>
      </c>
      <c r="B2184">
        <v>86152</v>
      </c>
      <c r="C2184">
        <v>11</v>
      </c>
      <c r="D2184" t="s">
        <v>9</v>
      </c>
      <c r="E2184">
        <v>0.21</v>
      </c>
      <c r="F2184">
        <v>1.17</v>
      </c>
      <c r="G2184">
        <v>0.61</v>
      </c>
      <c r="H2184" t="s">
        <v>17</v>
      </c>
    </row>
    <row r="2185" spans="1:8" x14ac:dyDescent="0.25">
      <c r="A2185" t="s">
        <v>31</v>
      </c>
      <c r="B2185">
        <v>45485</v>
      </c>
      <c r="C2185">
        <v>4</v>
      </c>
      <c r="D2185" t="s">
        <v>12</v>
      </c>
      <c r="E2185">
        <v>0.17</v>
      </c>
      <c r="F2185">
        <v>0.74</v>
      </c>
      <c r="G2185">
        <v>0.89</v>
      </c>
      <c r="H2185" t="s">
        <v>10</v>
      </c>
    </row>
    <row r="2186" spans="1:8" x14ac:dyDescent="0.25">
      <c r="A2186" t="s">
        <v>8</v>
      </c>
      <c r="B2186">
        <v>53953</v>
      </c>
      <c r="C2186">
        <v>29</v>
      </c>
      <c r="D2186" t="s">
        <v>9</v>
      </c>
      <c r="E2186">
        <v>0.83</v>
      </c>
      <c r="F2186">
        <v>0.8</v>
      </c>
      <c r="G2186">
        <v>0.84</v>
      </c>
      <c r="H2186" t="s">
        <v>10</v>
      </c>
    </row>
    <row r="2187" spans="1:8" x14ac:dyDescent="0.25">
      <c r="A2187" t="s">
        <v>32</v>
      </c>
      <c r="B2187">
        <v>48027</v>
      </c>
      <c r="C2187">
        <v>3</v>
      </c>
      <c r="D2187" t="s">
        <v>28</v>
      </c>
      <c r="E2187">
        <v>0.51</v>
      </c>
      <c r="F2187">
        <v>1.1299999999999999</v>
      </c>
      <c r="G2187">
        <v>0.4</v>
      </c>
      <c r="H2187" t="s">
        <v>17</v>
      </c>
    </row>
    <row r="2188" spans="1:8" x14ac:dyDescent="0.25">
      <c r="A2188" t="s">
        <v>30</v>
      </c>
      <c r="B2188">
        <v>45265</v>
      </c>
      <c r="C2188">
        <v>15</v>
      </c>
      <c r="D2188" t="s">
        <v>12</v>
      </c>
      <c r="E2188">
        <v>0.86</v>
      </c>
      <c r="F2188">
        <v>1.24</v>
      </c>
      <c r="G2188">
        <v>0.05</v>
      </c>
      <c r="H2188" t="s">
        <v>13</v>
      </c>
    </row>
    <row r="2189" spans="1:8" x14ac:dyDescent="0.25">
      <c r="A2189" t="s">
        <v>8</v>
      </c>
      <c r="B2189">
        <v>39160</v>
      </c>
      <c r="C2189">
        <v>26</v>
      </c>
      <c r="D2189" t="s">
        <v>12</v>
      </c>
      <c r="E2189">
        <v>0.1</v>
      </c>
      <c r="F2189">
        <v>0.66</v>
      </c>
      <c r="G2189">
        <v>0.92</v>
      </c>
      <c r="H2189" t="s">
        <v>10</v>
      </c>
    </row>
    <row r="2190" spans="1:8" x14ac:dyDescent="0.25">
      <c r="A2190" t="s">
        <v>8</v>
      </c>
      <c r="B2190">
        <v>100717</v>
      </c>
      <c r="C2190">
        <v>16</v>
      </c>
      <c r="D2190" t="s">
        <v>15</v>
      </c>
      <c r="E2190">
        <v>0.16</v>
      </c>
      <c r="F2190">
        <v>0.56999999999999995</v>
      </c>
      <c r="G2190">
        <v>0.9</v>
      </c>
      <c r="H2190" t="s">
        <v>10</v>
      </c>
    </row>
    <row r="2191" spans="1:8" x14ac:dyDescent="0.25">
      <c r="A2191" t="s">
        <v>22</v>
      </c>
      <c r="B2191">
        <v>117275</v>
      </c>
      <c r="C2191">
        <v>27</v>
      </c>
      <c r="D2191" t="s">
        <v>15</v>
      </c>
      <c r="E2191">
        <v>0.06</v>
      </c>
      <c r="F2191">
        <v>1.01</v>
      </c>
      <c r="G2191">
        <v>0.34</v>
      </c>
      <c r="H2191" t="s">
        <v>17</v>
      </c>
    </row>
    <row r="2192" spans="1:8" x14ac:dyDescent="0.25">
      <c r="A2192" t="s">
        <v>8</v>
      </c>
      <c r="B2192">
        <v>73496</v>
      </c>
      <c r="C2192">
        <v>25</v>
      </c>
      <c r="D2192" t="s">
        <v>12</v>
      </c>
      <c r="E2192">
        <v>0.31</v>
      </c>
      <c r="F2192">
        <v>1.49</v>
      </c>
      <c r="G2192">
        <v>0.75</v>
      </c>
      <c r="H2192" t="s">
        <v>10</v>
      </c>
    </row>
    <row r="2193" spans="1:8" x14ac:dyDescent="0.25">
      <c r="A2193" t="s">
        <v>25</v>
      </c>
      <c r="B2193">
        <v>95635</v>
      </c>
      <c r="C2193">
        <v>1</v>
      </c>
      <c r="D2193" t="s">
        <v>12</v>
      </c>
      <c r="E2193">
        <v>0.27</v>
      </c>
      <c r="F2193">
        <v>0.91</v>
      </c>
      <c r="G2193">
        <v>0.59</v>
      </c>
      <c r="H2193" t="s">
        <v>17</v>
      </c>
    </row>
    <row r="2194" spans="1:8" x14ac:dyDescent="0.25">
      <c r="A2194" t="s">
        <v>16</v>
      </c>
      <c r="B2194">
        <v>57762</v>
      </c>
      <c r="C2194">
        <v>7</v>
      </c>
      <c r="D2194" t="s">
        <v>28</v>
      </c>
      <c r="E2194">
        <v>0.89</v>
      </c>
      <c r="F2194">
        <v>0.51</v>
      </c>
      <c r="G2194">
        <v>0.61</v>
      </c>
      <c r="H2194" t="s">
        <v>17</v>
      </c>
    </row>
    <row r="2195" spans="1:8" x14ac:dyDescent="0.25">
      <c r="A2195" t="s">
        <v>21</v>
      </c>
      <c r="B2195">
        <v>95888</v>
      </c>
      <c r="C2195">
        <v>15</v>
      </c>
      <c r="D2195" t="s">
        <v>15</v>
      </c>
      <c r="E2195">
        <v>0.68</v>
      </c>
      <c r="F2195">
        <v>0.82</v>
      </c>
      <c r="G2195">
        <v>0.14000000000000001</v>
      </c>
      <c r="H2195" t="s">
        <v>13</v>
      </c>
    </row>
    <row r="2196" spans="1:8" x14ac:dyDescent="0.25">
      <c r="A2196" t="s">
        <v>29</v>
      </c>
      <c r="B2196">
        <v>84150</v>
      </c>
      <c r="C2196">
        <v>23</v>
      </c>
      <c r="D2196" t="s">
        <v>28</v>
      </c>
      <c r="E2196">
        <v>0.97</v>
      </c>
      <c r="F2196">
        <v>1.05</v>
      </c>
      <c r="G2196">
        <v>0.78</v>
      </c>
      <c r="H2196" t="s">
        <v>10</v>
      </c>
    </row>
    <row r="2197" spans="1:8" x14ac:dyDescent="0.25">
      <c r="A2197" t="s">
        <v>20</v>
      </c>
      <c r="B2197">
        <v>87026</v>
      </c>
      <c r="C2197">
        <v>4</v>
      </c>
      <c r="D2197" t="s">
        <v>9</v>
      </c>
      <c r="E2197">
        <v>0.88</v>
      </c>
      <c r="F2197">
        <v>1.29</v>
      </c>
      <c r="G2197">
        <v>0.31</v>
      </c>
      <c r="H2197" t="s">
        <v>17</v>
      </c>
    </row>
    <row r="2198" spans="1:8" x14ac:dyDescent="0.25">
      <c r="A2198" t="s">
        <v>21</v>
      </c>
      <c r="B2198">
        <v>133992</v>
      </c>
      <c r="C2198">
        <v>1</v>
      </c>
      <c r="D2198" t="s">
        <v>15</v>
      </c>
      <c r="E2198">
        <v>0.89</v>
      </c>
      <c r="F2198">
        <v>0.65</v>
      </c>
      <c r="G2198">
        <v>0.22</v>
      </c>
      <c r="H2198" t="s">
        <v>13</v>
      </c>
    </row>
    <row r="2199" spans="1:8" x14ac:dyDescent="0.25">
      <c r="A2199" t="s">
        <v>16</v>
      </c>
      <c r="B2199">
        <v>115847</v>
      </c>
      <c r="C2199">
        <v>18</v>
      </c>
      <c r="D2199" t="s">
        <v>28</v>
      </c>
      <c r="E2199">
        <v>0.77</v>
      </c>
      <c r="F2199">
        <v>1.25</v>
      </c>
      <c r="G2199">
        <v>0.56000000000000005</v>
      </c>
      <c r="H2199" t="s">
        <v>17</v>
      </c>
    </row>
    <row r="2200" spans="1:8" x14ac:dyDescent="0.25">
      <c r="A2200" t="s">
        <v>26</v>
      </c>
      <c r="B2200">
        <v>30645</v>
      </c>
      <c r="C2200">
        <v>4</v>
      </c>
      <c r="D2200" t="s">
        <v>15</v>
      </c>
      <c r="E2200">
        <v>0.9</v>
      </c>
      <c r="F2200">
        <v>0.79</v>
      </c>
      <c r="G2200">
        <v>0.4</v>
      </c>
      <c r="H2200" t="s">
        <v>17</v>
      </c>
    </row>
    <row r="2201" spans="1:8" x14ac:dyDescent="0.25">
      <c r="A2201" t="s">
        <v>21</v>
      </c>
      <c r="B2201">
        <v>40704</v>
      </c>
      <c r="C2201">
        <v>23</v>
      </c>
      <c r="D2201" t="s">
        <v>12</v>
      </c>
      <c r="E2201">
        <v>0.39</v>
      </c>
      <c r="F2201">
        <v>1.06</v>
      </c>
      <c r="G2201">
        <v>0.12</v>
      </c>
      <c r="H2201" t="s">
        <v>13</v>
      </c>
    </row>
    <row r="2202" spans="1:8" x14ac:dyDescent="0.25">
      <c r="A2202" t="s">
        <v>25</v>
      </c>
      <c r="B2202">
        <v>62256</v>
      </c>
      <c r="C2202">
        <v>7</v>
      </c>
      <c r="D2202" t="s">
        <v>28</v>
      </c>
      <c r="E2202">
        <v>0.81</v>
      </c>
      <c r="F2202">
        <v>0.73</v>
      </c>
      <c r="G2202">
        <v>0.44</v>
      </c>
      <c r="H2202" t="s">
        <v>17</v>
      </c>
    </row>
    <row r="2203" spans="1:8" x14ac:dyDescent="0.25">
      <c r="A2203" t="s">
        <v>16</v>
      </c>
      <c r="B2203">
        <v>64224</v>
      </c>
      <c r="C2203">
        <v>11</v>
      </c>
      <c r="D2203" t="s">
        <v>15</v>
      </c>
      <c r="E2203">
        <v>0.69</v>
      </c>
      <c r="F2203">
        <v>1.23</v>
      </c>
      <c r="G2203">
        <v>0.69</v>
      </c>
      <c r="H2203" t="s">
        <v>17</v>
      </c>
    </row>
    <row r="2204" spans="1:8" x14ac:dyDescent="0.25">
      <c r="A2204" t="s">
        <v>32</v>
      </c>
      <c r="B2204">
        <v>43167</v>
      </c>
      <c r="C2204">
        <v>11</v>
      </c>
      <c r="D2204" t="s">
        <v>9</v>
      </c>
      <c r="E2204">
        <v>0.88</v>
      </c>
      <c r="F2204">
        <v>1.43</v>
      </c>
      <c r="G2204">
        <v>0.6</v>
      </c>
      <c r="H2204" t="s">
        <v>17</v>
      </c>
    </row>
    <row r="2205" spans="1:8" x14ac:dyDescent="0.25">
      <c r="A2205" t="s">
        <v>32</v>
      </c>
      <c r="B2205">
        <v>99459</v>
      </c>
      <c r="C2205">
        <v>6</v>
      </c>
      <c r="D2205" t="s">
        <v>15</v>
      </c>
      <c r="E2205">
        <v>0.25</v>
      </c>
      <c r="F2205">
        <v>1.4</v>
      </c>
      <c r="G2205">
        <v>0.34</v>
      </c>
      <c r="H2205" t="s">
        <v>17</v>
      </c>
    </row>
    <row r="2206" spans="1:8" x14ac:dyDescent="0.25">
      <c r="A2206" t="s">
        <v>29</v>
      </c>
      <c r="B2206">
        <v>90628</v>
      </c>
      <c r="C2206">
        <v>24</v>
      </c>
      <c r="D2206" t="s">
        <v>9</v>
      </c>
      <c r="E2206">
        <v>0.36</v>
      </c>
      <c r="F2206">
        <v>1.1299999999999999</v>
      </c>
      <c r="G2206">
        <v>0.93</v>
      </c>
      <c r="H2206" t="s">
        <v>10</v>
      </c>
    </row>
    <row r="2207" spans="1:8" x14ac:dyDescent="0.25">
      <c r="A2207" t="s">
        <v>24</v>
      </c>
      <c r="B2207">
        <v>95162</v>
      </c>
      <c r="C2207">
        <v>25</v>
      </c>
      <c r="D2207" t="s">
        <v>12</v>
      </c>
      <c r="E2207">
        <v>0.43</v>
      </c>
      <c r="F2207">
        <v>1.05</v>
      </c>
      <c r="G2207">
        <v>0.44</v>
      </c>
      <c r="H2207" t="s">
        <v>17</v>
      </c>
    </row>
    <row r="2208" spans="1:8" x14ac:dyDescent="0.25">
      <c r="A2208" t="s">
        <v>33</v>
      </c>
      <c r="B2208">
        <v>144009</v>
      </c>
      <c r="C2208">
        <v>2</v>
      </c>
      <c r="D2208" t="s">
        <v>9</v>
      </c>
      <c r="E2208">
        <v>0.55000000000000004</v>
      </c>
      <c r="F2208">
        <v>0.69</v>
      </c>
      <c r="G2208">
        <v>0.14000000000000001</v>
      </c>
      <c r="H2208" t="s">
        <v>13</v>
      </c>
    </row>
    <row r="2209" spans="1:8" x14ac:dyDescent="0.25">
      <c r="A2209" t="s">
        <v>33</v>
      </c>
      <c r="B2209">
        <v>53978</v>
      </c>
      <c r="C2209">
        <v>11</v>
      </c>
      <c r="D2209" t="s">
        <v>12</v>
      </c>
      <c r="E2209">
        <v>0.57999999999999996</v>
      </c>
      <c r="F2209">
        <v>1.44</v>
      </c>
      <c r="G2209">
        <v>0.3</v>
      </c>
      <c r="H2209" t="s">
        <v>13</v>
      </c>
    </row>
    <row r="2210" spans="1:8" x14ac:dyDescent="0.25">
      <c r="A2210" t="s">
        <v>22</v>
      </c>
      <c r="B2210">
        <v>85419</v>
      </c>
      <c r="C2210">
        <v>21</v>
      </c>
      <c r="D2210" t="s">
        <v>15</v>
      </c>
      <c r="E2210">
        <v>0.97</v>
      </c>
      <c r="F2210">
        <v>1.21</v>
      </c>
      <c r="G2210">
        <v>0.49</v>
      </c>
      <c r="H2210" t="s">
        <v>17</v>
      </c>
    </row>
    <row r="2211" spans="1:8" x14ac:dyDescent="0.25">
      <c r="A2211" t="s">
        <v>26</v>
      </c>
      <c r="B2211">
        <v>123004</v>
      </c>
      <c r="C2211">
        <v>16</v>
      </c>
      <c r="D2211" t="s">
        <v>28</v>
      </c>
      <c r="E2211">
        <v>0.79</v>
      </c>
      <c r="F2211">
        <v>1.1200000000000001</v>
      </c>
      <c r="G2211">
        <v>0.33</v>
      </c>
      <c r="H2211" t="s">
        <v>17</v>
      </c>
    </row>
    <row r="2212" spans="1:8" x14ac:dyDescent="0.25">
      <c r="A2212" t="s">
        <v>16</v>
      </c>
      <c r="B2212">
        <v>47874</v>
      </c>
      <c r="C2212">
        <v>25</v>
      </c>
      <c r="D2212" t="s">
        <v>28</v>
      </c>
      <c r="E2212">
        <v>0.93</v>
      </c>
      <c r="F2212">
        <v>1.48</v>
      </c>
      <c r="G2212">
        <v>0.48</v>
      </c>
      <c r="H2212" t="s">
        <v>17</v>
      </c>
    </row>
    <row r="2213" spans="1:8" x14ac:dyDescent="0.25">
      <c r="A2213" t="s">
        <v>16</v>
      </c>
      <c r="B2213">
        <v>149318</v>
      </c>
      <c r="C2213">
        <v>17</v>
      </c>
      <c r="D2213" t="s">
        <v>15</v>
      </c>
      <c r="E2213">
        <v>0.27</v>
      </c>
      <c r="F2213">
        <v>1.45</v>
      </c>
      <c r="G2213">
        <v>0.61</v>
      </c>
      <c r="H2213" t="s">
        <v>17</v>
      </c>
    </row>
    <row r="2214" spans="1:8" x14ac:dyDescent="0.25">
      <c r="A2214" t="s">
        <v>20</v>
      </c>
      <c r="B2214">
        <v>39413</v>
      </c>
      <c r="C2214">
        <v>1</v>
      </c>
      <c r="D2214" t="s">
        <v>9</v>
      </c>
      <c r="E2214">
        <v>1</v>
      </c>
      <c r="F2214">
        <v>1.2</v>
      </c>
      <c r="G2214">
        <v>0.61</v>
      </c>
      <c r="H2214" t="s">
        <v>17</v>
      </c>
    </row>
    <row r="2215" spans="1:8" x14ac:dyDescent="0.25">
      <c r="A2215" t="s">
        <v>11</v>
      </c>
      <c r="B2215">
        <v>137541</v>
      </c>
      <c r="C2215">
        <v>1</v>
      </c>
      <c r="D2215" t="s">
        <v>9</v>
      </c>
      <c r="E2215">
        <v>0.98</v>
      </c>
      <c r="F2215">
        <v>0.85</v>
      </c>
      <c r="G2215">
        <v>0.08</v>
      </c>
      <c r="H2215" t="s">
        <v>13</v>
      </c>
    </row>
    <row r="2216" spans="1:8" x14ac:dyDescent="0.25">
      <c r="A2216" t="s">
        <v>26</v>
      </c>
      <c r="B2216">
        <v>45890</v>
      </c>
      <c r="C2216">
        <v>19</v>
      </c>
      <c r="D2216" t="s">
        <v>12</v>
      </c>
      <c r="E2216">
        <v>0.59</v>
      </c>
      <c r="F2216">
        <v>0.6</v>
      </c>
      <c r="G2216">
        <v>0.43</v>
      </c>
      <c r="H2216" t="s">
        <v>17</v>
      </c>
    </row>
    <row r="2217" spans="1:8" x14ac:dyDescent="0.25">
      <c r="A2217" t="s">
        <v>34</v>
      </c>
      <c r="B2217">
        <v>137747</v>
      </c>
      <c r="C2217">
        <v>8</v>
      </c>
      <c r="D2217" t="s">
        <v>15</v>
      </c>
      <c r="E2217">
        <v>0.72</v>
      </c>
      <c r="F2217">
        <v>1.21</v>
      </c>
      <c r="G2217">
        <v>0.54</v>
      </c>
      <c r="H2217" t="s">
        <v>17</v>
      </c>
    </row>
    <row r="2218" spans="1:8" x14ac:dyDescent="0.25">
      <c r="A2218" t="s">
        <v>11</v>
      </c>
      <c r="B2218">
        <v>72582</v>
      </c>
      <c r="C2218">
        <v>22</v>
      </c>
      <c r="D2218" t="s">
        <v>9</v>
      </c>
      <c r="E2218">
        <v>0.68</v>
      </c>
      <c r="F2218">
        <v>0.72</v>
      </c>
      <c r="G2218">
        <v>0.14000000000000001</v>
      </c>
      <c r="H2218" t="s">
        <v>13</v>
      </c>
    </row>
    <row r="2219" spans="1:8" x14ac:dyDescent="0.25">
      <c r="A2219" t="s">
        <v>27</v>
      </c>
      <c r="B2219">
        <v>124964</v>
      </c>
      <c r="C2219">
        <v>2</v>
      </c>
      <c r="D2219" t="s">
        <v>12</v>
      </c>
      <c r="E2219">
        <v>7.0000000000000007E-2</v>
      </c>
      <c r="F2219">
        <v>1.1399999999999999</v>
      </c>
      <c r="G2219">
        <v>0.61</v>
      </c>
      <c r="H2219" t="s">
        <v>17</v>
      </c>
    </row>
    <row r="2220" spans="1:8" x14ac:dyDescent="0.25">
      <c r="A2220" t="s">
        <v>30</v>
      </c>
      <c r="B2220">
        <v>64091</v>
      </c>
      <c r="C2220">
        <v>8</v>
      </c>
      <c r="D2220" t="s">
        <v>9</v>
      </c>
      <c r="E2220">
        <v>0.26</v>
      </c>
      <c r="F2220">
        <v>0.84</v>
      </c>
      <c r="G2220">
        <v>0.09</v>
      </c>
      <c r="H2220" t="s">
        <v>13</v>
      </c>
    </row>
    <row r="2221" spans="1:8" x14ac:dyDescent="0.25">
      <c r="A2221" t="s">
        <v>31</v>
      </c>
      <c r="B2221">
        <v>95707</v>
      </c>
      <c r="C2221">
        <v>29</v>
      </c>
      <c r="D2221" t="s">
        <v>28</v>
      </c>
      <c r="E2221">
        <v>0.14000000000000001</v>
      </c>
      <c r="F2221">
        <v>1.44</v>
      </c>
      <c r="G2221">
        <v>0.79</v>
      </c>
      <c r="H2221" t="s">
        <v>10</v>
      </c>
    </row>
    <row r="2222" spans="1:8" x14ac:dyDescent="0.25">
      <c r="A2222" t="s">
        <v>30</v>
      </c>
      <c r="B2222">
        <v>82892</v>
      </c>
      <c r="C2222">
        <v>1</v>
      </c>
      <c r="D2222" t="s">
        <v>9</v>
      </c>
      <c r="E2222">
        <v>0.92</v>
      </c>
      <c r="F2222">
        <v>1.31</v>
      </c>
      <c r="G2222">
        <v>0.22</v>
      </c>
      <c r="H2222" t="s">
        <v>13</v>
      </c>
    </row>
    <row r="2223" spans="1:8" x14ac:dyDescent="0.25">
      <c r="A2223" t="s">
        <v>26</v>
      </c>
      <c r="B2223">
        <v>51946</v>
      </c>
      <c r="C2223">
        <v>13</v>
      </c>
      <c r="D2223" t="s">
        <v>15</v>
      </c>
      <c r="E2223">
        <v>0.74</v>
      </c>
      <c r="F2223">
        <v>0.61</v>
      </c>
      <c r="G2223">
        <v>0.65</v>
      </c>
      <c r="H2223" t="s">
        <v>17</v>
      </c>
    </row>
    <row r="2224" spans="1:8" x14ac:dyDescent="0.25">
      <c r="A2224" t="s">
        <v>23</v>
      </c>
      <c r="B2224">
        <v>92294</v>
      </c>
      <c r="C2224">
        <v>11</v>
      </c>
      <c r="D2224" t="s">
        <v>9</v>
      </c>
      <c r="E2224">
        <v>0.74</v>
      </c>
      <c r="F2224">
        <v>0.67</v>
      </c>
      <c r="G2224">
        <v>0.86</v>
      </c>
      <c r="H2224" t="s">
        <v>10</v>
      </c>
    </row>
    <row r="2225" spans="1:8" x14ac:dyDescent="0.25">
      <c r="A2225" t="s">
        <v>21</v>
      </c>
      <c r="B2225">
        <v>101022</v>
      </c>
      <c r="C2225">
        <v>17</v>
      </c>
      <c r="D2225" t="s">
        <v>12</v>
      </c>
      <c r="E2225">
        <v>0.65</v>
      </c>
      <c r="F2225">
        <v>0.57999999999999996</v>
      </c>
      <c r="G2225">
        <v>0.06</v>
      </c>
      <c r="H2225" t="s">
        <v>13</v>
      </c>
    </row>
    <row r="2226" spans="1:8" x14ac:dyDescent="0.25">
      <c r="A2226" t="s">
        <v>32</v>
      </c>
      <c r="B2226">
        <v>116377</v>
      </c>
      <c r="C2226">
        <v>14</v>
      </c>
      <c r="D2226" t="s">
        <v>12</v>
      </c>
      <c r="E2226">
        <v>0.04</v>
      </c>
      <c r="F2226">
        <v>1.26</v>
      </c>
      <c r="G2226">
        <v>0.62</v>
      </c>
      <c r="H2226" t="s">
        <v>17</v>
      </c>
    </row>
    <row r="2227" spans="1:8" x14ac:dyDescent="0.25">
      <c r="A2227" t="s">
        <v>20</v>
      </c>
      <c r="B2227">
        <v>125614</v>
      </c>
      <c r="C2227">
        <v>8</v>
      </c>
      <c r="D2227" t="s">
        <v>15</v>
      </c>
      <c r="E2227">
        <v>0.12</v>
      </c>
      <c r="F2227">
        <v>1.25</v>
      </c>
      <c r="G2227">
        <v>0.38</v>
      </c>
      <c r="H2227" t="s">
        <v>17</v>
      </c>
    </row>
    <row r="2228" spans="1:8" x14ac:dyDescent="0.25">
      <c r="A2228" t="s">
        <v>24</v>
      </c>
      <c r="B2228">
        <v>70577</v>
      </c>
      <c r="C2228">
        <v>22</v>
      </c>
      <c r="D2228" t="s">
        <v>9</v>
      </c>
      <c r="E2228">
        <v>0.41</v>
      </c>
      <c r="F2228">
        <v>1.38</v>
      </c>
      <c r="G2228">
        <v>0.47</v>
      </c>
      <c r="H2228" t="s">
        <v>17</v>
      </c>
    </row>
    <row r="2229" spans="1:8" x14ac:dyDescent="0.25">
      <c r="A2229" t="s">
        <v>25</v>
      </c>
      <c r="B2229">
        <v>70214</v>
      </c>
      <c r="C2229">
        <v>21</v>
      </c>
      <c r="D2229" t="s">
        <v>9</v>
      </c>
      <c r="E2229">
        <v>0.99</v>
      </c>
      <c r="F2229">
        <v>1.24</v>
      </c>
      <c r="G2229">
        <v>0.56999999999999995</v>
      </c>
      <c r="H2229" t="s">
        <v>17</v>
      </c>
    </row>
    <row r="2230" spans="1:8" x14ac:dyDescent="0.25">
      <c r="A2230" t="s">
        <v>34</v>
      </c>
      <c r="B2230">
        <v>115416</v>
      </c>
      <c r="C2230">
        <v>29</v>
      </c>
      <c r="D2230" t="s">
        <v>28</v>
      </c>
      <c r="E2230">
        <v>0.5</v>
      </c>
      <c r="F2230">
        <v>1.39</v>
      </c>
      <c r="G2230">
        <v>0.64</v>
      </c>
      <c r="H2230" t="s">
        <v>17</v>
      </c>
    </row>
    <row r="2231" spans="1:8" x14ac:dyDescent="0.25">
      <c r="A2231" t="s">
        <v>22</v>
      </c>
      <c r="B2231">
        <v>138176</v>
      </c>
      <c r="C2231">
        <v>7</v>
      </c>
      <c r="D2231" t="s">
        <v>9</v>
      </c>
      <c r="E2231">
        <v>0.56000000000000005</v>
      </c>
      <c r="F2231">
        <v>0.56000000000000005</v>
      </c>
      <c r="G2231">
        <v>0.53</v>
      </c>
      <c r="H2231" t="s">
        <v>17</v>
      </c>
    </row>
    <row r="2232" spans="1:8" x14ac:dyDescent="0.25">
      <c r="A2232" t="s">
        <v>31</v>
      </c>
      <c r="B2232">
        <v>88744</v>
      </c>
      <c r="C2232">
        <v>15</v>
      </c>
      <c r="D2232" t="s">
        <v>15</v>
      </c>
      <c r="E2232">
        <v>0.11</v>
      </c>
      <c r="F2232">
        <v>1.33</v>
      </c>
      <c r="G2232">
        <v>0.89</v>
      </c>
      <c r="H2232" t="s">
        <v>10</v>
      </c>
    </row>
    <row r="2233" spans="1:8" x14ac:dyDescent="0.25">
      <c r="A2233" t="s">
        <v>32</v>
      </c>
      <c r="B2233">
        <v>55759</v>
      </c>
      <c r="C2233">
        <v>24</v>
      </c>
      <c r="D2233" t="s">
        <v>9</v>
      </c>
      <c r="E2233">
        <v>0.51</v>
      </c>
      <c r="F2233">
        <v>0.8</v>
      </c>
      <c r="G2233">
        <v>0.63</v>
      </c>
      <c r="H2233" t="s">
        <v>17</v>
      </c>
    </row>
    <row r="2234" spans="1:8" x14ac:dyDescent="0.25">
      <c r="A2234" t="s">
        <v>8</v>
      </c>
      <c r="B2234">
        <v>37589</v>
      </c>
      <c r="C2234">
        <v>18</v>
      </c>
      <c r="D2234" t="s">
        <v>28</v>
      </c>
      <c r="E2234">
        <v>0.5</v>
      </c>
      <c r="F2234">
        <v>0.95</v>
      </c>
      <c r="G2234">
        <v>0.9</v>
      </c>
      <c r="H2234" t="s">
        <v>10</v>
      </c>
    </row>
    <row r="2235" spans="1:8" x14ac:dyDescent="0.25">
      <c r="A2235" t="s">
        <v>31</v>
      </c>
      <c r="B2235">
        <v>119485</v>
      </c>
      <c r="C2235">
        <v>21</v>
      </c>
      <c r="D2235" t="s">
        <v>15</v>
      </c>
      <c r="E2235">
        <v>0.25</v>
      </c>
      <c r="F2235">
        <v>0.67</v>
      </c>
      <c r="G2235">
        <v>0.82</v>
      </c>
      <c r="H2235" t="s">
        <v>10</v>
      </c>
    </row>
    <row r="2236" spans="1:8" x14ac:dyDescent="0.25">
      <c r="A2236" t="s">
        <v>8</v>
      </c>
      <c r="B2236">
        <v>55090</v>
      </c>
      <c r="C2236">
        <v>8</v>
      </c>
      <c r="D2236" t="s">
        <v>28</v>
      </c>
      <c r="E2236">
        <v>0.68</v>
      </c>
      <c r="F2236">
        <v>0.89</v>
      </c>
      <c r="G2236">
        <v>0.73</v>
      </c>
      <c r="H2236" t="s">
        <v>10</v>
      </c>
    </row>
    <row r="2237" spans="1:8" x14ac:dyDescent="0.25">
      <c r="A2237" t="s">
        <v>32</v>
      </c>
      <c r="B2237">
        <v>102889</v>
      </c>
      <c r="C2237">
        <v>19</v>
      </c>
      <c r="D2237" t="s">
        <v>15</v>
      </c>
      <c r="E2237">
        <v>0.54</v>
      </c>
      <c r="F2237">
        <v>1.21</v>
      </c>
      <c r="G2237">
        <v>0.46</v>
      </c>
      <c r="H2237" t="s">
        <v>17</v>
      </c>
    </row>
    <row r="2238" spans="1:8" x14ac:dyDescent="0.25">
      <c r="A2238" t="s">
        <v>32</v>
      </c>
      <c r="B2238">
        <v>93282</v>
      </c>
      <c r="C2238">
        <v>29</v>
      </c>
      <c r="D2238" t="s">
        <v>9</v>
      </c>
      <c r="E2238">
        <v>0.67</v>
      </c>
      <c r="F2238">
        <v>1</v>
      </c>
      <c r="G2238">
        <v>0.63</v>
      </c>
      <c r="H2238" t="s">
        <v>17</v>
      </c>
    </row>
    <row r="2239" spans="1:8" x14ac:dyDescent="0.25">
      <c r="A2239" t="s">
        <v>21</v>
      </c>
      <c r="B2239">
        <v>40892</v>
      </c>
      <c r="C2239">
        <v>19</v>
      </c>
      <c r="D2239" t="s">
        <v>12</v>
      </c>
      <c r="E2239">
        <v>0.5</v>
      </c>
      <c r="F2239">
        <v>0.83</v>
      </c>
      <c r="G2239">
        <v>0.14000000000000001</v>
      </c>
      <c r="H2239" t="s">
        <v>13</v>
      </c>
    </row>
    <row r="2240" spans="1:8" x14ac:dyDescent="0.25">
      <c r="A2240" t="s">
        <v>26</v>
      </c>
      <c r="B2240">
        <v>132524</v>
      </c>
      <c r="C2240">
        <v>8</v>
      </c>
      <c r="D2240" t="s">
        <v>15</v>
      </c>
      <c r="E2240">
        <v>0.78</v>
      </c>
      <c r="F2240">
        <v>1.41</v>
      </c>
      <c r="G2240">
        <v>0.56000000000000005</v>
      </c>
      <c r="H2240" t="s">
        <v>17</v>
      </c>
    </row>
    <row r="2241" spans="1:8" x14ac:dyDescent="0.25">
      <c r="A2241" t="s">
        <v>21</v>
      </c>
      <c r="B2241">
        <v>56006</v>
      </c>
      <c r="C2241">
        <v>13</v>
      </c>
      <c r="D2241" t="s">
        <v>9</v>
      </c>
      <c r="E2241">
        <v>0.47</v>
      </c>
      <c r="F2241">
        <v>0.52</v>
      </c>
      <c r="G2241">
        <v>0.25</v>
      </c>
      <c r="H2241" t="s">
        <v>13</v>
      </c>
    </row>
    <row r="2242" spans="1:8" x14ac:dyDescent="0.25">
      <c r="A2242" t="s">
        <v>31</v>
      </c>
      <c r="B2242">
        <v>60805</v>
      </c>
      <c r="C2242">
        <v>20</v>
      </c>
      <c r="D2242" t="s">
        <v>28</v>
      </c>
      <c r="E2242">
        <v>0.31</v>
      </c>
      <c r="F2242">
        <v>0.66</v>
      </c>
      <c r="G2242">
        <v>0.79</v>
      </c>
      <c r="H2242" t="s">
        <v>10</v>
      </c>
    </row>
    <row r="2243" spans="1:8" x14ac:dyDescent="0.25">
      <c r="A2243" t="s">
        <v>25</v>
      </c>
      <c r="B2243">
        <v>86121</v>
      </c>
      <c r="C2243">
        <v>28</v>
      </c>
      <c r="D2243" t="s">
        <v>9</v>
      </c>
      <c r="E2243">
        <v>0.61</v>
      </c>
      <c r="F2243">
        <v>1.49</v>
      </c>
      <c r="G2243">
        <v>0.45</v>
      </c>
      <c r="H2243" t="s">
        <v>17</v>
      </c>
    </row>
    <row r="2244" spans="1:8" x14ac:dyDescent="0.25">
      <c r="A2244" t="s">
        <v>26</v>
      </c>
      <c r="B2244">
        <v>70344</v>
      </c>
      <c r="C2244">
        <v>14</v>
      </c>
      <c r="D2244" t="s">
        <v>15</v>
      </c>
      <c r="E2244">
        <v>0.65</v>
      </c>
      <c r="F2244">
        <v>0.55000000000000004</v>
      </c>
      <c r="G2244">
        <v>0.42</v>
      </c>
      <c r="H2244" t="s">
        <v>17</v>
      </c>
    </row>
    <row r="2245" spans="1:8" x14ac:dyDescent="0.25">
      <c r="A2245" t="s">
        <v>31</v>
      </c>
      <c r="B2245">
        <v>62185</v>
      </c>
      <c r="C2245">
        <v>5</v>
      </c>
      <c r="D2245" t="s">
        <v>15</v>
      </c>
      <c r="E2245">
        <v>0.87</v>
      </c>
      <c r="F2245">
        <v>0.59</v>
      </c>
      <c r="G2245">
        <v>0.76</v>
      </c>
      <c r="H2245" t="s">
        <v>10</v>
      </c>
    </row>
    <row r="2246" spans="1:8" x14ac:dyDescent="0.25">
      <c r="A2246" t="s">
        <v>22</v>
      </c>
      <c r="B2246">
        <v>133060</v>
      </c>
      <c r="C2246">
        <v>9</v>
      </c>
      <c r="D2246" t="s">
        <v>15</v>
      </c>
      <c r="E2246">
        <v>0.52</v>
      </c>
      <c r="F2246">
        <v>0.8</v>
      </c>
      <c r="G2246">
        <v>0.4</v>
      </c>
      <c r="H2246" t="s">
        <v>17</v>
      </c>
    </row>
    <row r="2247" spans="1:8" x14ac:dyDescent="0.25">
      <c r="A2247" t="s">
        <v>30</v>
      </c>
      <c r="B2247">
        <v>149756</v>
      </c>
      <c r="C2247">
        <v>8</v>
      </c>
      <c r="D2247" t="s">
        <v>15</v>
      </c>
      <c r="E2247">
        <v>0.64</v>
      </c>
      <c r="F2247">
        <v>0.67</v>
      </c>
      <c r="G2247">
        <v>7.0000000000000007E-2</v>
      </c>
      <c r="H2247" t="s">
        <v>13</v>
      </c>
    </row>
    <row r="2248" spans="1:8" x14ac:dyDescent="0.25">
      <c r="A2248" t="s">
        <v>29</v>
      </c>
      <c r="B2248">
        <v>31981</v>
      </c>
      <c r="C2248">
        <v>7</v>
      </c>
      <c r="D2248" t="s">
        <v>9</v>
      </c>
      <c r="E2248">
        <v>0.95</v>
      </c>
      <c r="F2248">
        <v>0.94</v>
      </c>
      <c r="G2248">
        <v>0.71</v>
      </c>
      <c r="H2248" t="s">
        <v>10</v>
      </c>
    </row>
    <row r="2249" spans="1:8" x14ac:dyDescent="0.25">
      <c r="A2249" t="s">
        <v>24</v>
      </c>
      <c r="B2249">
        <v>66443</v>
      </c>
      <c r="C2249">
        <v>3</v>
      </c>
      <c r="D2249" t="s">
        <v>15</v>
      </c>
      <c r="E2249">
        <v>0.53</v>
      </c>
      <c r="F2249">
        <v>1.3</v>
      </c>
      <c r="G2249">
        <v>0.62</v>
      </c>
      <c r="H2249" t="s">
        <v>17</v>
      </c>
    </row>
    <row r="2250" spans="1:8" x14ac:dyDescent="0.25">
      <c r="A2250" t="s">
        <v>14</v>
      </c>
      <c r="B2250">
        <v>89434</v>
      </c>
      <c r="C2250">
        <v>5</v>
      </c>
      <c r="D2250" t="s">
        <v>12</v>
      </c>
      <c r="E2250">
        <v>0.82</v>
      </c>
      <c r="F2250">
        <v>0.51</v>
      </c>
      <c r="G2250">
        <v>0.84</v>
      </c>
      <c r="H2250" t="s">
        <v>10</v>
      </c>
    </row>
    <row r="2251" spans="1:8" x14ac:dyDescent="0.25">
      <c r="A2251" t="s">
        <v>33</v>
      </c>
      <c r="B2251">
        <v>73159</v>
      </c>
      <c r="C2251">
        <v>20</v>
      </c>
      <c r="D2251" t="s">
        <v>28</v>
      </c>
      <c r="E2251">
        <v>0.02</v>
      </c>
      <c r="F2251">
        <v>0.56000000000000005</v>
      </c>
      <c r="G2251">
        <v>0.08</v>
      </c>
      <c r="H2251" t="s">
        <v>13</v>
      </c>
    </row>
    <row r="2252" spans="1:8" x14ac:dyDescent="0.25">
      <c r="A2252" t="s">
        <v>26</v>
      </c>
      <c r="B2252">
        <v>103298</v>
      </c>
      <c r="C2252">
        <v>14</v>
      </c>
      <c r="D2252" t="s">
        <v>9</v>
      </c>
      <c r="E2252">
        <v>0.14000000000000001</v>
      </c>
      <c r="F2252">
        <v>1.36</v>
      </c>
      <c r="G2252">
        <v>0.5</v>
      </c>
      <c r="H2252" t="s">
        <v>17</v>
      </c>
    </row>
    <row r="2253" spans="1:8" x14ac:dyDescent="0.25">
      <c r="A2253" t="s">
        <v>21</v>
      </c>
      <c r="B2253">
        <v>65357</v>
      </c>
      <c r="C2253">
        <v>3</v>
      </c>
      <c r="D2253" t="s">
        <v>28</v>
      </c>
      <c r="E2253">
        <v>0.01</v>
      </c>
      <c r="F2253">
        <v>0.91</v>
      </c>
      <c r="G2253">
        <v>0.11</v>
      </c>
      <c r="H2253" t="s">
        <v>13</v>
      </c>
    </row>
    <row r="2254" spans="1:8" x14ac:dyDescent="0.25">
      <c r="A2254" t="s">
        <v>21</v>
      </c>
      <c r="B2254">
        <v>86735</v>
      </c>
      <c r="C2254">
        <v>6</v>
      </c>
      <c r="D2254" t="s">
        <v>15</v>
      </c>
      <c r="E2254">
        <v>7.0000000000000007E-2</v>
      </c>
      <c r="F2254">
        <v>1.33</v>
      </c>
      <c r="G2254">
        <v>0.09</v>
      </c>
      <c r="H2254" t="s">
        <v>13</v>
      </c>
    </row>
    <row r="2255" spans="1:8" x14ac:dyDescent="0.25">
      <c r="A2255" t="s">
        <v>25</v>
      </c>
      <c r="B2255">
        <v>131977</v>
      </c>
      <c r="C2255">
        <v>0</v>
      </c>
      <c r="D2255" t="s">
        <v>9</v>
      </c>
      <c r="E2255">
        <v>0.02</v>
      </c>
      <c r="F2255">
        <v>1.27</v>
      </c>
      <c r="G2255">
        <v>0.4</v>
      </c>
      <c r="H2255" t="s">
        <v>17</v>
      </c>
    </row>
    <row r="2256" spans="1:8" x14ac:dyDescent="0.25">
      <c r="A2256" t="s">
        <v>33</v>
      </c>
      <c r="B2256">
        <v>79684</v>
      </c>
      <c r="C2256">
        <v>7</v>
      </c>
      <c r="D2256" t="s">
        <v>9</v>
      </c>
      <c r="E2256">
        <v>0.43</v>
      </c>
      <c r="F2256">
        <v>0.67</v>
      </c>
      <c r="G2256">
        <v>0.3</v>
      </c>
      <c r="H2256" t="s">
        <v>13</v>
      </c>
    </row>
    <row r="2257" spans="1:8" x14ac:dyDescent="0.25">
      <c r="A2257" t="s">
        <v>11</v>
      </c>
      <c r="B2257">
        <v>90273</v>
      </c>
      <c r="C2257">
        <v>25</v>
      </c>
      <c r="D2257" t="s">
        <v>28</v>
      </c>
      <c r="E2257">
        <v>0.38</v>
      </c>
      <c r="F2257">
        <v>0.69</v>
      </c>
      <c r="G2257">
        <v>0.17</v>
      </c>
      <c r="H2257" t="s">
        <v>13</v>
      </c>
    </row>
    <row r="2258" spans="1:8" x14ac:dyDescent="0.25">
      <c r="A2258" t="s">
        <v>23</v>
      </c>
      <c r="B2258">
        <v>85547</v>
      </c>
      <c r="C2258">
        <v>1</v>
      </c>
      <c r="D2258" t="s">
        <v>12</v>
      </c>
      <c r="E2258">
        <v>0.01</v>
      </c>
      <c r="F2258">
        <v>0.72</v>
      </c>
      <c r="G2258">
        <v>0.88</v>
      </c>
      <c r="H2258" t="s">
        <v>10</v>
      </c>
    </row>
    <row r="2259" spans="1:8" x14ac:dyDescent="0.25">
      <c r="A2259" t="s">
        <v>25</v>
      </c>
      <c r="B2259">
        <v>117429</v>
      </c>
      <c r="C2259">
        <v>26</v>
      </c>
      <c r="D2259" t="s">
        <v>12</v>
      </c>
      <c r="E2259">
        <v>0.63</v>
      </c>
      <c r="F2259">
        <v>0.72</v>
      </c>
      <c r="G2259">
        <v>0.4</v>
      </c>
      <c r="H2259" t="s">
        <v>17</v>
      </c>
    </row>
    <row r="2260" spans="1:8" x14ac:dyDescent="0.25">
      <c r="A2260" t="s">
        <v>11</v>
      </c>
      <c r="B2260">
        <v>40208</v>
      </c>
      <c r="C2260">
        <v>23</v>
      </c>
      <c r="D2260" t="s">
        <v>28</v>
      </c>
      <c r="E2260">
        <v>0.01</v>
      </c>
      <c r="F2260">
        <v>1.2</v>
      </c>
      <c r="G2260">
        <v>0.11</v>
      </c>
      <c r="H2260" t="s">
        <v>13</v>
      </c>
    </row>
    <row r="2261" spans="1:8" x14ac:dyDescent="0.25">
      <c r="A2261" t="s">
        <v>14</v>
      </c>
      <c r="B2261">
        <v>74056</v>
      </c>
      <c r="C2261">
        <v>23</v>
      </c>
      <c r="D2261" t="s">
        <v>28</v>
      </c>
      <c r="E2261">
        <v>0.39</v>
      </c>
      <c r="F2261">
        <v>0.6</v>
      </c>
      <c r="G2261">
        <v>0.78</v>
      </c>
      <c r="H2261" t="s">
        <v>10</v>
      </c>
    </row>
    <row r="2262" spans="1:8" x14ac:dyDescent="0.25">
      <c r="A2262" t="s">
        <v>19</v>
      </c>
      <c r="B2262">
        <v>53553</v>
      </c>
      <c r="C2262">
        <v>8</v>
      </c>
      <c r="D2262" t="s">
        <v>28</v>
      </c>
      <c r="E2262">
        <v>0.67</v>
      </c>
      <c r="F2262">
        <v>1.08</v>
      </c>
      <c r="G2262">
        <v>0.28000000000000003</v>
      </c>
      <c r="H2262" t="s">
        <v>13</v>
      </c>
    </row>
    <row r="2263" spans="1:8" x14ac:dyDescent="0.25">
      <c r="A2263" t="s">
        <v>29</v>
      </c>
      <c r="B2263">
        <v>54287</v>
      </c>
      <c r="C2263">
        <v>4</v>
      </c>
      <c r="D2263" t="s">
        <v>15</v>
      </c>
      <c r="E2263">
        <v>0.3</v>
      </c>
      <c r="F2263">
        <v>0.56999999999999995</v>
      </c>
      <c r="G2263">
        <v>0.95</v>
      </c>
      <c r="H2263" t="s">
        <v>10</v>
      </c>
    </row>
    <row r="2264" spans="1:8" x14ac:dyDescent="0.25">
      <c r="A2264" t="s">
        <v>22</v>
      </c>
      <c r="B2264">
        <v>48803</v>
      </c>
      <c r="C2264">
        <v>27</v>
      </c>
      <c r="D2264" t="s">
        <v>12</v>
      </c>
      <c r="E2264">
        <v>0.52</v>
      </c>
      <c r="F2264">
        <v>1.07</v>
      </c>
      <c r="G2264">
        <v>0.3</v>
      </c>
      <c r="H2264" t="s">
        <v>13</v>
      </c>
    </row>
    <row r="2265" spans="1:8" x14ac:dyDescent="0.25">
      <c r="A2265" t="s">
        <v>21</v>
      </c>
      <c r="B2265">
        <v>113192</v>
      </c>
      <c r="C2265">
        <v>28</v>
      </c>
      <c r="D2265" t="s">
        <v>15</v>
      </c>
      <c r="E2265">
        <v>0.83</v>
      </c>
      <c r="F2265">
        <v>0.74</v>
      </c>
      <c r="G2265">
        <v>0.28000000000000003</v>
      </c>
      <c r="H2265" t="s">
        <v>13</v>
      </c>
    </row>
    <row r="2266" spans="1:8" x14ac:dyDescent="0.25">
      <c r="A2266" t="s">
        <v>21</v>
      </c>
      <c r="B2266">
        <v>128740</v>
      </c>
      <c r="C2266">
        <v>9</v>
      </c>
      <c r="D2266" t="s">
        <v>28</v>
      </c>
      <c r="E2266">
        <v>0.23</v>
      </c>
      <c r="F2266">
        <v>0.63</v>
      </c>
      <c r="G2266">
        <v>0.27</v>
      </c>
      <c r="H2266" t="s">
        <v>13</v>
      </c>
    </row>
    <row r="2267" spans="1:8" x14ac:dyDescent="0.25">
      <c r="A2267" t="s">
        <v>20</v>
      </c>
      <c r="B2267">
        <v>38996</v>
      </c>
      <c r="C2267">
        <v>20</v>
      </c>
      <c r="D2267" t="s">
        <v>9</v>
      </c>
      <c r="E2267">
        <v>0.2</v>
      </c>
      <c r="F2267">
        <v>1.05</v>
      </c>
      <c r="G2267">
        <v>0.52</v>
      </c>
      <c r="H2267" t="s">
        <v>17</v>
      </c>
    </row>
    <row r="2268" spans="1:8" x14ac:dyDescent="0.25">
      <c r="A2268" t="s">
        <v>27</v>
      </c>
      <c r="B2268">
        <v>79210</v>
      </c>
      <c r="C2268">
        <v>8</v>
      </c>
      <c r="D2268" t="s">
        <v>15</v>
      </c>
      <c r="E2268">
        <v>0.68</v>
      </c>
      <c r="F2268">
        <v>1.03</v>
      </c>
      <c r="G2268">
        <v>0.67</v>
      </c>
      <c r="H2268" t="s">
        <v>17</v>
      </c>
    </row>
    <row r="2269" spans="1:8" x14ac:dyDescent="0.25">
      <c r="A2269" t="s">
        <v>33</v>
      </c>
      <c r="B2269">
        <v>134439</v>
      </c>
      <c r="C2269">
        <v>13</v>
      </c>
      <c r="D2269" t="s">
        <v>28</v>
      </c>
      <c r="E2269">
        <v>0.09</v>
      </c>
      <c r="F2269">
        <v>1.1399999999999999</v>
      </c>
      <c r="G2269">
        <v>0.2</v>
      </c>
      <c r="H2269" t="s">
        <v>13</v>
      </c>
    </row>
    <row r="2270" spans="1:8" x14ac:dyDescent="0.25">
      <c r="A2270" t="s">
        <v>20</v>
      </c>
      <c r="B2270">
        <v>41135</v>
      </c>
      <c r="C2270">
        <v>22</v>
      </c>
      <c r="D2270" t="s">
        <v>28</v>
      </c>
      <c r="E2270">
        <v>0.01</v>
      </c>
      <c r="F2270">
        <v>1.1000000000000001</v>
      </c>
      <c r="G2270">
        <v>0.56000000000000005</v>
      </c>
      <c r="H2270" t="s">
        <v>17</v>
      </c>
    </row>
    <row r="2271" spans="1:8" x14ac:dyDescent="0.25">
      <c r="A2271" t="s">
        <v>27</v>
      </c>
      <c r="B2271">
        <v>110709</v>
      </c>
      <c r="C2271">
        <v>6</v>
      </c>
      <c r="D2271" t="s">
        <v>15</v>
      </c>
      <c r="E2271">
        <v>0.96</v>
      </c>
      <c r="F2271">
        <v>1.44</v>
      </c>
      <c r="G2271">
        <v>0.68</v>
      </c>
      <c r="H2271" t="s">
        <v>17</v>
      </c>
    </row>
    <row r="2272" spans="1:8" x14ac:dyDescent="0.25">
      <c r="A2272" t="s">
        <v>24</v>
      </c>
      <c r="B2272">
        <v>78416</v>
      </c>
      <c r="C2272">
        <v>13</v>
      </c>
      <c r="D2272" t="s">
        <v>28</v>
      </c>
      <c r="E2272">
        <v>0.18</v>
      </c>
      <c r="F2272">
        <v>0.96</v>
      </c>
      <c r="G2272">
        <v>0.48</v>
      </c>
      <c r="H2272" t="s">
        <v>17</v>
      </c>
    </row>
    <row r="2273" spans="1:8" x14ac:dyDescent="0.25">
      <c r="A2273" t="s">
        <v>19</v>
      </c>
      <c r="B2273">
        <v>57309</v>
      </c>
      <c r="C2273">
        <v>7</v>
      </c>
      <c r="D2273" t="s">
        <v>28</v>
      </c>
      <c r="E2273">
        <v>0.23</v>
      </c>
      <c r="F2273">
        <v>1.45</v>
      </c>
      <c r="G2273">
        <v>0.09</v>
      </c>
      <c r="H2273" t="s">
        <v>13</v>
      </c>
    </row>
    <row r="2274" spans="1:8" x14ac:dyDescent="0.25">
      <c r="A2274" t="s">
        <v>19</v>
      </c>
      <c r="B2274">
        <v>67542</v>
      </c>
      <c r="C2274">
        <v>17</v>
      </c>
      <c r="D2274" t="s">
        <v>12</v>
      </c>
      <c r="E2274">
        <v>0.98</v>
      </c>
      <c r="F2274">
        <v>1.34</v>
      </c>
      <c r="G2274">
        <v>0.16</v>
      </c>
      <c r="H2274" t="s">
        <v>13</v>
      </c>
    </row>
    <row r="2275" spans="1:8" x14ac:dyDescent="0.25">
      <c r="A2275" t="s">
        <v>25</v>
      </c>
      <c r="B2275">
        <v>50723</v>
      </c>
      <c r="C2275">
        <v>7</v>
      </c>
      <c r="D2275" t="s">
        <v>28</v>
      </c>
      <c r="E2275">
        <v>0.44</v>
      </c>
      <c r="F2275">
        <v>1.45</v>
      </c>
      <c r="G2275">
        <v>0.52</v>
      </c>
      <c r="H2275" t="s">
        <v>17</v>
      </c>
    </row>
    <row r="2276" spans="1:8" x14ac:dyDescent="0.25">
      <c r="A2276" t="s">
        <v>18</v>
      </c>
      <c r="B2276">
        <v>62081</v>
      </c>
      <c r="C2276">
        <v>26</v>
      </c>
      <c r="D2276" t="s">
        <v>12</v>
      </c>
      <c r="E2276">
        <v>0.05</v>
      </c>
      <c r="F2276">
        <v>0.57999999999999996</v>
      </c>
      <c r="G2276">
        <v>0.57999999999999996</v>
      </c>
      <c r="H2276" t="s">
        <v>17</v>
      </c>
    </row>
    <row r="2277" spans="1:8" x14ac:dyDescent="0.25">
      <c r="A2277" t="s">
        <v>25</v>
      </c>
      <c r="B2277">
        <v>129443</v>
      </c>
      <c r="C2277">
        <v>7</v>
      </c>
      <c r="D2277" t="s">
        <v>12</v>
      </c>
      <c r="E2277">
        <v>0.3</v>
      </c>
      <c r="F2277">
        <v>0.53</v>
      </c>
      <c r="G2277">
        <v>0.61</v>
      </c>
      <c r="H2277" t="s">
        <v>17</v>
      </c>
    </row>
    <row r="2278" spans="1:8" x14ac:dyDescent="0.25">
      <c r="A2278" t="s">
        <v>26</v>
      </c>
      <c r="B2278">
        <v>55482</v>
      </c>
      <c r="C2278">
        <v>13</v>
      </c>
      <c r="D2278" t="s">
        <v>15</v>
      </c>
      <c r="E2278">
        <v>0.3</v>
      </c>
      <c r="F2278">
        <v>0.77</v>
      </c>
      <c r="G2278">
        <v>0.56000000000000005</v>
      </c>
      <c r="H2278" t="s">
        <v>17</v>
      </c>
    </row>
    <row r="2279" spans="1:8" x14ac:dyDescent="0.25">
      <c r="A2279" t="s">
        <v>27</v>
      </c>
      <c r="B2279">
        <v>103933</v>
      </c>
      <c r="C2279">
        <v>8</v>
      </c>
      <c r="D2279" t="s">
        <v>12</v>
      </c>
      <c r="E2279">
        <v>0.51</v>
      </c>
      <c r="F2279">
        <v>1.18</v>
      </c>
      <c r="G2279">
        <v>0.47</v>
      </c>
      <c r="H2279" t="s">
        <v>17</v>
      </c>
    </row>
    <row r="2280" spans="1:8" x14ac:dyDescent="0.25">
      <c r="A2280" t="s">
        <v>24</v>
      </c>
      <c r="B2280">
        <v>43997</v>
      </c>
      <c r="C2280">
        <v>29</v>
      </c>
      <c r="D2280" t="s">
        <v>12</v>
      </c>
      <c r="E2280">
        <v>0.34</v>
      </c>
      <c r="F2280">
        <v>0.63</v>
      </c>
      <c r="G2280">
        <v>0.55000000000000004</v>
      </c>
      <c r="H2280" t="s">
        <v>17</v>
      </c>
    </row>
    <row r="2281" spans="1:8" x14ac:dyDescent="0.25">
      <c r="A2281" t="s">
        <v>25</v>
      </c>
      <c r="B2281">
        <v>66258</v>
      </c>
      <c r="C2281">
        <v>11</v>
      </c>
      <c r="D2281" t="s">
        <v>12</v>
      </c>
      <c r="E2281">
        <v>0.43</v>
      </c>
      <c r="F2281">
        <v>0.72</v>
      </c>
      <c r="G2281">
        <v>0.47</v>
      </c>
      <c r="H2281" t="s">
        <v>17</v>
      </c>
    </row>
    <row r="2282" spans="1:8" x14ac:dyDescent="0.25">
      <c r="A2282" t="s">
        <v>32</v>
      </c>
      <c r="B2282">
        <v>132495</v>
      </c>
      <c r="C2282">
        <v>23</v>
      </c>
      <c r="D2282" t="s">
        <v>12</v>
      </c>
      <c r="E2282">
        <v>0.92</v>
      </c>
      <c r="F2282">
        <v>1.2</v>
      </c>
      <c r="G2282">
        <v>0.55000000000000004</v>
      </c>
      <c r="H2282" t="s">
        <v>17</v>
      </c>
    </row>
    <row r="2283" spans="1:8" x14ac:dyDescent="0.25">
      <c r="A2283" t="s">
        <v>26</v>
      </c>
      <c r="B2283">
        <v>135071</v>
      </c>
      <c r="C2283">
        <v>26</v>
      </c>
      <c r="D2283" t="s">
        <v>15</v>
      </c>
      <c r="E2283">
        <v>0.86</v>
      </c>
      <c r="F2283">
        <v>0.91</v>
      </c>
      <c r="G2283">
        <v>0.49</v>
      </c>
      <c r="H2283" t="s">
        <v>17</v>
      </c>
    </row>
    <row r="2284" spans="1:8" x14ac:dyDescent="0.25">
      <c r="A2284" t="s">
        <v>34</v>
      </c>
      <c r="B2284">
        <v>50954</v>
      </c>
      <c r="C2284">
        <v>29</v>
      </c>
      <c r="D2284" t="s">
        <v>28</v>
      </c>
      <c r="E2284">
        <v>0.49</v>
      </c>
      <c r="F2284">
        <v>0.51</v>
      </c>
      <c r="G2284">
        <v>0.56999999999999995</v>
      </c>
      <c r="H2284" t="s">
        <v>17</v>
      </c>
    </row>
    <row r="2285" spans="1:8" x14ac:dyDescent="0.25">
      <c r="A2285" t="s">
        <v>8</v>
      </c>
      <c r="B2285">
        <v>45590</v>
      </c>
      <c r="C2285">
        <v>11</v>
      </c>
      <c r="D2285" t="s">
        <v>12</v>
      </c>
      <c r="E2285">
        <v>0.11</v>
      </c>
      <c r="F2285">
        <v>1.06</v>
      </c>
      <c r="G2285">
        <v>0.82</v>
      </c>
      <c r="H2285" t="s">
        <v>10</v>
      </c>
    </row>
    <row r="2286" spans="1:8" x14ac:dyDescent="0.25">
      <c r="A2286" t="s">
        <v>22</v>
      </c>
      <c r="B2286">
        <v>118035</v>
      </c>
      <c r="C2286">
        <v>16</v>
      </c>
      <c r="D2286" t="s">
        <v>28</v>
      </c>
      <c r="E2286">
        <v>0.78</v>
      </c>
      <c r="F2286">
        <v>0.69</v>
      </c>
      <c r="G2286">
        <v>0.57999999999999996</v>
      </c>
      <c r="H2286" t="s">
        <v>17</v>
      </c>
    </row>
    <row r="2287" spans="1:8" x14ac:dyDescent="0.25">
      <c r="A2287" t="s">
        <v>31</v>
      </c>
      <c r="B2287">
        <v>147488</v>
      </c>
      <c r="C2287">
        <v>2</v>
      </c>
      <c r="D2287" t="s">
        <v>28</v>
      </c>
      <c r="E2287">
        <v>0.52</v>
      </c>
      <c r="F2287">
        <v>1.45</v>
      </c>
      <c r="G2287">
        <v>0.82</v>
      </c>
      <c r="H2287" t="s">
        <v>10</v>
      </c>
    </row>
    <row r="2288" spans="1:8" x14ac:dyDescent="0.25">
      <c r="A2288" t="s">
        <v>22</v>
      </c>
      <c r="B2288">
        <v>111506</v>
      </c>
      <c r="C2288">
        <v>23</v>
      </c>
      <c r="D2288" t="s">
        <v>28</v>
      </c>
      <c r="E2288">
        <v>0.52</v>
      </c>
      <c r="F2288">
        <v>0.8</v>
      </c>
      <c r="G2288">
        <v>0.59</v>
      </c>
      <c r="H2288" t="s">
        <v>17</v>
      </c>
    </row>
    <row r="2289" spans="1:8" x14ac:dyDescent="0.25">
      <c r="A2289" t="s">
        <v>34</v>
      </c>
      <c r="B2289">
        <v>104644</v>
      </c>
      <c r="C2289">
        <v>7</v>
      </c>
      <c r="D2289" t="s">
        <v>9</v>
      </c>
      <c r="E2289">
        <v>0.86</v>
      </c>
      <c r="F2289">
        <v>0.5</v>
      </c>
      <c r="G2289">
        <v>0.54</v>
      </c>
      <c r="H2289" t="s">
        <v>17</v>
      </c>
    </row>
    <row r="2290" spans="1:8" x14ac:dyDescent="0.25">
      <c r="A2290" t="s">
        <v>29</v>
      </c>
      <c r="B2290">
        <v>85197</v>
      </c>
      <c r="C2290">
        <v>4</v>
      </c>
      <c r="D2290" t="s">
        <v>9</v>
      </c>
      <c r="E2290">
        <v>0.02</v>
      </c>
      <c r="F2290">
        <v>1.34</v>
      </c>
      <c r="G2290">
        <v>0.94</v>
      </c>
      <c r="H2290" t="s">
        <v>10</v>
      </c>
    </row>
    <row r="2291" spans="1:8" x14ac:dyDescent="0.25">
      <c r="A2291" t="s">
        <v>32</v>
      </c>
      <c r="B2291">
        <v>145435</v>
      </c>
      <c r="C2291">
        <v>22</v>
      </c>
      <c r="D2291" t="s">
        <v>12</v>
      </c>
      <c r="E2291">
        <v>0.87</v>
      </c>
      <c r="F2291">
        <v>1.33</v>
      </c>
      <c r="G2291">
        <v>0.61</v>
      </c>
      <c r="H2291" t="s">
        <v>17</v>
      </c>
    </row>
    <row r="2292" spans="1:8" x14ac:dyDescent="0.25">
      <c r="A2292" t="s">
        <v>24</v>
      </c>
      <c r="B2292">
        <v>31113</v>
      </c>
      <c r="C2292">
        <v>3</v>
      </c>
      <c r="D2292" t="s">
        <v>15</v>
      </c>
      <c r="E2292">
        <v>0.62</v>
      </c>
      <c r="F2292">
        <v>1.47</v>
      </c>
      <c r="G2292">
        <v>0.42</v>
      </c>
      <c r="H2292" t="s">
        <v>17</v>
      </c>
    </row>
    <row r="2293" spans="1:8" x14ac:dyDescent="0.25">
      <c r="A2293" t="s">
        <v>29</v>
      </c>
      <c r="B2293">
        <v>119374</v>
      </c>
      <c r="C2293">
        <v>27</v>
      </c>
      <c r="D2293" t="s">
        <v>28</v>
      </c>
      <c r="E2293">
        <v>0.47</v>
      </c>
      <c r="F2293">
        <v>0.8</v>
      </c>
      <c r="G2293">
        <v>0.88</v>
      </c>
      <c r="H2293" t="s">
        <v>10</v>
      </c>
    </row>
    <row r="2294" spans="1:8" x14ac:dyDescent="0.25">
      <c r="A2294" t="s">
        <v>29</v>
      </c>
      <c r="B2294">
        <v>105450</v>
      </c>
      <c r="C2294">
        <v>27</v>
      </c>
      <c r="D2294" t="s">
        <v>12</v>
      </c>
      <c r="E2294">
        <v>0.61</v>
      </c>
      <c r="F2294">
        <v>1.3</v>
      </c>
      <c r="G2294">
        <v>0.95</v>
      </c>
      <c r="H2294" t="s">
        <v>10</v>
      </c>
    </row>
    <row r="2295" spans="1:8" x14ac:dyDescent="0.25">
      <c r="A2295" t="s">
        <v>11</v>
      </c>
      <c r="B2295">
        <v>113453</v>
      </c>
      <c r="C2295">
        <v>18</v>
      </c>
      <c r="D2295" t="s">
        <v>12</v>
      </c>
      <c r="E2295">
        <v>0.42</v>
      </c>
      <c r="F2295">
        <v>0.85</v>
      </c>
      <c r="G2295">
        <v>7.0000000000000007E-2</v>
      </c>
      <c r="H2295" t="s">
        <v>13</v>
      </c>
    </row>
    <row r="2296" spans="1:8" x14ac:dyDescent="0.25">
      <c r="A2296" t="s">
        <v>20</v>
      </c>
      <c r="B2296">
        <v>62656</v>
      </c>
      <c r="C2296">
        <v>1</v>
      </c>
      <c r="D2296" t="s">
        <v>15</v>
      </c>
      <c r="E2296">
        <v>0.73</v>
      </c>
      <c r="F2296">
        <v>1.02</v>
      </c>
      <c r="G2296">
        <v>0.62</v>
      </c>
      <c r="H2296" t="s">
        <v>17</v>
      </c>
    </row>
    <row r="2297" spans="1:8" x14ac:dyDescent="0.25">
      <c r="A2297" t="s">
        <v>29</v>
      </c>
      <c r="B2297">
        <v>50823</v>
      </c>
      <c r="C2297">
        <v>4</v>
      </c>
      <c r="D2297" t="s">
        <v>12</v>
      </c>
      <c r="E2297">
        <v>0.31</v>
      </c>
      <c r="F2297">
        <v>1.1499999999999999</v>
      </c>
      <c r="G2297">
        <v>0.84</v>
      </c>
      <c r="H2297" t="s">
        <v>10</v>
      </c>
    </row>
    <row r="2298" spans="1:8" x14ac:dyDescent="0.25">
      <c r="A2298" t="s">
        <v>8</v>
      </c>
      <c r="B2298">
        <v>52879</v>
      </c>
      <c r="C2298">
        <v>25</v>
      </c>
      <c r="D2298" t="s">
        <v>12</v>
      </c>
      <c r="E2298">
        <v>0.38</v>
      </c>
      <c r="F2298">
        <v>0.71</v>
      </c>
      <c r="G2298">
        <v>0.82</v>
      </c>
      <c r="H2298" t="s">
        <v>10</v>
      </c>
    </row>
    <row r="2299" spans="1:8" x14ac:dyDescent="0.25">
      <c r="A2299" t="s">
        <v>21</v>
      </c>
      <c r="B2299">
        <v>132132</v>
      </c>
      <c r="C2299">
        <v>29</v>
      </c>
      <c r="D2299" t="s">
        <v>12</v>
      </c>
      <c r="E2299">
        <v>0.28999999999999998</v>
      </c>
      <c r="F2299">
        <v>1.4</v>
      </c>
      <c r="G2299">
        <v>0.09</v>
      </c>
      <c r="H2299" t="s">
        <v>13</v>
      </c>
    </row>
    <row r="2300" spans="1:8" x14ac:dyDescent="0.25">
      <c r="A2300" t="s">
        <v>11</v>
      </c>
      <c r="B2300">
        <v>32693</v>
      </c>
      <c r="C2300">
        <v>27</v>
      </c>
      <c r="D2300" t="s">
        <v>28</v>
      </c>
      <c r="E2300">
        <v>0.14000000000000001</v>
      </c>
      <c r="F2300">
        <v>1.25</v>
      </c>
      <c r="G2300">
        <v>0.13</v>
      </c>
      <c r="H2300" t="s">
        <v>13</v>
      </c>
    </row>
    <row r="2301" spans="1:8" x14ac:dyDescent="0.25">
      <c r="A2301" t="s">
        <v>30</v>
      </c>
      <c r="B2301">
        <v>69812</v>
      </c>
      <c r="C2301">
        <v>26</v>
      </c>
      <c r="D2301" t="s">
        <v>12</v>
      </c>
      <c r="E2301">
        <v>0.67</v>
      </c>
      <c r="F2301">
        <v>0.51</v>
      </c>
      <c r="G2301">
        <v>0.27</v>
      </c>
      <c r="H2301" t="s">
        <v>13</v>
      </c>
    </row>
    <row r="2302" spans="1:8" x14ac:dyDescent="0.25">
      <c r="A2302" t="s">
        <v>33</v>
      </c>
      <c r="B2302">
        <v>58353</v>
      </c>
      <c r="C2302">
        <v>24</v>
      </c>
      <c r="D2302" t="s">
        <v>12</v>
      </c>
      <c r="E2302">
        <v>0.45</v>
      </c>
      <c r="F2302">
        <v>1.1200000000000001</v>
      </c>
      <c r="G2302">
        <v>0.2</v>
      </c>
      <c r="H2302" t="s">
        <v>13</v>
      </c>
    </row>
    <row r="2303" spans="1:8" x14ac:dyDescent="0.25">
      <c r="A2303" t="s">
        <v>14</v>
      </c>
      <c r="B2303">
        <v>103969</v>
      </c>
      <c r="C2303">
        <v>16</v>
      </c>
      <c r="D2303" t="s">
        <v>12</v>
      </c>
      <c r="E2303">
        <v>0.94</v>
      </c>
      <c r="F2303">
        <v>1.18</v>
      </c>
      <c r="G2303">
        <v>0.94</v>
      </c>
      <c r="H2303" t="s">
        <v>10</v>
      </c>
    </row>
    <row r="2304" spans="1:8" x14ac:dyDescent="0.25">
      <c r="A2304" t="s">
        <v>24</v>
      </c>
      <c r="B2304">
        <v>34110</v>
      </c>
      <c r="C2304">
        <v>14</v>
      </c>
      <c r="D2304" t="s">
        <v>28</v>
      </c>
      <c r="E2304">
        <v>0.65</v>
      </c>
      <c r="F2304">
        <v>1.48</v>
      </c>
      <c r="G2304">
        <v>0.54</v>
      </c>
      <c r="H2304" t="s">
        <v>17</v>
      </c>
    </row>
    <row r="2305" spans="1:8" x14ac:dyDescent="0.25">
      <c r="A2305" t="s">
        <v>29</v>
      </c>
      <c r="B2305">
        <v>73105</v>
      </c>
      <c r="C2305">
        <v>23</v>
      </c>
      <c r="D2305" t="s">
        <v>12</v>
      </c>
      <c r="E2305">
        <v>0.53</v>
      </c>
      <c r="F2305">
        <v>0.91</v>
      </c>
      <c r="G2305">
        <v>0.86</v>
      </c>
      <c r="H2305" t="s">
        <v>10</v>
      </c>
    </row>
    <row r="2306" spans="1:8" x14ac:dyDescent="0.25">
      <c r="A2306" t="s">
        <v>8</v>
      </c>
      <c r="B2306">
        <v>147323</v>
      </c>
      <c r="C2306">
        <v>9</v>
      </c>
      <c r="D2306" t="s">
        <v>9</v>
      </c>
      <c r="E2306">
        <v>0.62</v>
      </c>
      <c r="F2306">
        <v>0.67</v>
      </c>
      <c r="G2306">
        <v>0.77</v>
      </c>
      <c r="H2306" t="s">
        <v>10</v>
      </c>
    </row>
    <row r="2307" spans="1:8" x14ac:dyDescent="0.25">
      <c r="A2307" t="s">
        <v>16</v>
      </c>
      <c r="B2307">
        <v>97720</v>
      </c>
      <c r="C2307">
        <v>13</v>
      </c>
      <c r="D2307" t="s">
        <v>9</v>
      </c>
      <c r="E2307">
        <v>0.27</v>
      </c>
      <c r="F2307">
        <v>0.72</v>
      </c>
      <c r="G2307">
        <v>0.44</v>
      </c>
      <c r="H2307" t="s">
        <v>17</v>
      </c>
    </row>
    <row r="2308" spans="1:8" x14ac:dyDescent="0.25">
      <c r="A2308" t="s">
        <v>18</v>
      </c>
      <c r="B2308">
        <v>30877</v>
      </c>
      <c r="C2308">
        <v>20</v>
      </c>
      <c r="D2308" t="s">
        <v>15</v>
      </c>
      <c r="E2308">
        <v>0.05</v>
      </c>
      <c r="F2308">
        <v>0.61</v>
      </c>
      <c r="G2308">
        <v>0.48</v>
      </c>
      <c r="H2308" t="s">
        <v>17</v>
      </c>
    </row>
    <row r="2309" spans="1:8" x14ac:dyDescent="0.25">
      <c r="A2309" t="s">
        <v>19</v>
      </c>
      <c r="B2309">
        <v>38499</v>
      </c>
      <c r="C2309">
        <v>9</v>
      </c>
      <c r="D2309" t="s">
        <v>9</v>
      </c>
      <c r="E2309">
        <v>0.47</v>
      </c>
      <c r="F2309">
        <v>0.82</v>
      </c>
      <c r="G2309">
        <v>0.15</v>
      </c>
      <c r="H2309" t="s">
        <v>13</v>
      </c>
    </row>
    <row r="2310" spans="1:8" x14ac:dyDescent="0.25">
      <c r="A2310" t="s">
        <v>16</v>
      </c>
      <c r="B2310">
        <v>135634</v>
      </c>
      <c r="C2310">
        <v>0</v>
      </c>
      <c r="D2310" t="s">
        <v>15</v>
      </c>
      <c r="E2310">
        <v>0.24</v>
      </c>
      <c r="F2310">
        <v>1.28</v>
      </c>
      <c r="G2310">
        <v>0.66</v>
      </c>
      <c r="H2310" t="s">
        <v>17</v>
      </c>
    </row>
    <row r="2311" spans="1:8" x14ac:dyDescent="0.25">
      <c r="A2311" t="s">
        <v>21</v>
      </c>
      <c r="B2311">
        <v>88843</v>
      </c>
      <c r="C2311">
        <v>24</v>
      </c>
      <c r="D2311" t="s">
        <v>12</v>
      </c>
      <c r="E2311">
        <v>0.06</v>
      </c>
      <c r="F2311">
        <v>1.37</v>
      </c>
      <c r="G2311">
        <v>0.13</v>
      </c>
      <c r="H2311" t="s">
        <v>13</v>
      </c>
    </row>
    <row r="2312" spans="1:8" x14ac:dyDescent="0.25">
      <c r="A2312" t="s">
        <v>33</v>
      </c>
      <c r="B2312">
        <v>68966</v>
      </c>
      <c r="C2312">
        <v>22</v>
      </c>
      <c r="D2312" t="s">
        <v>28</v>
      </c>
      <c r="E2312">
        <v>0.79</v>
      </c>
      <c r="F2312">
        <v>1.1299999999999999</v>
      </c>
      <c r="G2312">
        <v>0.15</v>
      </c>
      <c r="H2312" t="s">
        <v>13</v>
      </c>
    </row>
    <row r="2313" spans="1:8" x14ac:dyDescent="0.25">
      <c r="A2313" t="s">
        <v>27</v>
      </c>
      <c r="B2313">
        <v>95490</v>
      </c>
      <c r="C2313">
        <v>17</v>
      </c>
      <c r="D2313" t="s">
        <v>15</v>
      </c>
      <c r="E2313">
        <v>0.09</v>
      </c>
      <c r="F2313">
        <v>0.96</v>
      </c>
      <c r="G2313">
        <v>0.7</v>
      </c>
      <c r="H2313" t="s">
        <v>17</v>
      </c>
    </row>
    <row r="2314" spans="1:8" x14ac:dyDescent="0.25">
      <c r="A2314" t="s">
        <v>27</v>
      </c>
      <c r="B2314">
        <v>101786</v>
      </c>
      <c r="C2314">
        <v>2</v>
      </c>
      <c r="D2314" t="s">
        <v>12</v>
      </c>
      <c r="E2314">
        <v>0.21</v>
      </c>
      <c r="F2314">
        <v>1.2</v>
      </c>
      <c r="G2314">
        <v>0.52</v>
      </c>
      <c r="H2314" t="s">
        <v>17</v>
      </c>
    </row>
    <row r="2315" spans="1:8" x14ac:dyDescent="0.25">
      <c r="A2315" t="s">
        <v>11</v>
      </c>
      <c r="B2315">
        <v>41808</v>
      </c>
      <c r="C2315">
        <v>24</v>
      </c>
      <c r="D2315" t="s">
        <v>28</v>
      </c>
      <c r="E2315">
        <v>0.7</v>
      </c>
      <c r="F2315">
        <v>0.78</v>
      </c>
      <c r="G2315">
        <v>0.3</v>
      </c>
      <c r="H2315" t="s">
        <v>13</v>
      </c>
    </row>
    <row r="2316" spans="1:8" x14ac:dyDescent="0.25">
      <c r="A2316" t="s">
        <v>16</v>
      </c>
      <c r="B2316">
        <v>44903</v>
      </c>
      <c r="C2316">
        <v>18</v>
      </c>
      <c r="D2316" t="s">
        <v>9</v>
      </c>
      <c r="E2316">
        <v>0.38</v>
      </c>
      <c r="F2316">
        <v>0.52</v>
      </c>
      <c r="G2316">
        <v>0.3</v>
      </c>
      <c r="H2316" t="s">
        <v>13</v>
      </c>
    </row>
    <row r="2317" spans="1:8" x14ac:dyDescent="0.25">
      <c r="A2317" t="s">
        <v>24</v>
      </c>
      <c r="B2317">
        <v>93615</v>
      </c>
      <c r="C2317">
        <v>16</v>
      </c>
      <c r="D2317" t="s">
        <v>15</v>
      </c>
      <c r="E2317">
        <v>0.01</v>
      </c>
      <c r="F2317">
        <v>0.98</v>
      </c>
      <c r="G2317">
        <v>0.35</v>
      </c>
      <c r="H2317" t="s">
        <v>17</v>
      </c>
    </row>
    <row r="2318" spans="1:8" x14ac:dyDescent="0.25">
      <c r="A2318" t="s">
        <v>19</v>
      </c>
      <c r="B2318">
        <v>81141</v>
      </c>
      <c r="C2318">
        <v>10</v>
      </c>
      <c r="D2318" t="s">
        <v>28</v>
      </c>
      <c r="E2318">
        <v>0.13</v>
      </c>
      <c r="F2318">
        <v>0.67</v>
      </c>
      <c r="G2318">
        <v>0.27</v>
      </c>
      <c r="H2318" t="s">
        <v>13</v>
      </c>
    </row>
    <row r="2319" spans="1:8" x14ac:dyDescent="0.25">
      <c r="A2319" t="s">
        <v>31</v>
      </c>
      <c r="B2319">
        <v>126705</v>
      </c>
      <c r="C2319">
        <v>27</v>
      </c>
      <c r="D2319" t="s">
        <v>9</v>
      </c>
      <c r="E2319">
        <v>0.67</v>
      </c>
      <c r="F2319">
        <v>0.66</v>
      </c>
      <c r="G2319">
        <v>0.76</v>
      </c>
      <c r="H2319" t="s">
        <v>10</v>
      </c>
    </row>
    <row r="2320" spans="1:8" x14ac:dyDescent="0.25">
      <c r="A2320" t="s">
        <v>23</v>
      </c>
      <c r="B2320">
        <v>57254</v>
      </c>
      <c r="C2320">
        <v>8</v>
      </c>
      <c r="D2320" t="s">
        <v>28</v>
      </c>
      <c r="E2320">
        <v>0.57999999999999996</v>
      </c>
      <c r="F2320">
        <v>0.83</v>
      </c>
      <c r="G2320">
        <v>0.84</v>
      </c>
      <c r="H2320" t="s">
        <v>10</v>
      </c>
    </row>
    <row r="2321" spans="1:8" x14ac:dyDescent="0.25">
      <c r="A2321" t="s">
        <v>20</v>
      </c>
      <c r="B2321">
        <v>126923</v>
      </c>
      <c r="C2321">
        <v>28</v>
      </c>
      <c r="D2321" t="s">
        <v>12</v>
      </c>
      <c r="E2321">
        <v>0.64</v>
      </c>
      <c r="F2321">
        <v>1.08</v>
      </c>
      <c r="G2321">
        <v>0.39</v>
      </c>
      <c r="H2321" t="s">
        <v>17</v>
      </c>
    </row>
    <row r="2322" spans="1:8" x14ac:dyDescent="0.25">
      <c r="A2322" t="s">
        <v>31</v>
      </c>
      <c r="B2322">
        <v>71689</v>
      </c>
      <c r="C2322">
        <v>28</v>
      </c>
      <c r="D2322" t="s">
        <v>28</v>
      </c>
      <c r="E2322">
        <v>0.96</v>
      </c>
      <c r="F2322">
        <v>0.56000000000000005</v>
      </c>
      <c r="G2322">
        <v>0.71</v>
      </c>
      <c r="H2322" t="s">
        <v>10</v>
      </c>
    </row>
    <row r="2323" spans="1:8" x14ac:dyDescent="0.25">
      <c r="A2323" t="s">
        <v>19</v>
      </c>
      <c r="B2323">
        <v>49546</v>
      </c>
      <c r="C2323">
        <v>5</v>
      </c>
      <c r="D2323" t="s">
        <v>15</v>
      </c>
      <c r="E2323">
        <v>0.22</v>
      </c>
      <c r="F2323">
        <v>0.89</v>
      </c>
      <c r="G2323">
        <v>0.26</v>
      </c>
      <c r="H2323" t="s">
        <v>13</v>
      </c>
    </row>
    <row r="2324" spans="1:8" x14ac:dyDescent="0.25">
      <c r="A2324" t="s">
        <v>31</v>
      </c>
      <c r="B2324">
        <v>41398</v>
      </c>
      <c r="C2324">
        <v>22</v>
      </c>
      <c r="D2324" t="s">
        <v>15</v>
      </c>
      <c r="E2324">
        <v>0.32</v>
      </c>
      <c r="F2324">
        <v>0.9</v>
      </c>
      <c r="G2324">
        <v>0.91</v>
      </c>
      <c r="H2324" t="s">
        <v>10</v>
      </c>
    </row>
    <row r="2325" spans="1:8" x14ac:dyDescent="0.25">
      <c r="A2325" t="s">
        <v>34</v>
      </c>
      <c r="B2325">
        <v>142301</v>
      </c>
      <c r="C2325">
        <v>27</v>
      </c>
      <c r="D2325" t="s">
        <v>28</v>
      </c>
      <c r="E2325">
        <v>0.46</v>
      </c>
      <c r="F2325">
        <v>1.25</v>
      </c>
      <c r="G2325">
        <v>0.46</v>
      </c>
      <c r="H2325" t="s">
        <v>17</v>
      </c>
    </row>
    <row r="2326" spans="1:8" x14ac:dyDescent="0.25">
      <c r="A2326" t="s">
        <v>24</v>
      </c>
      <c r="B2326">
        <v>73042</v>
      </c>
      <c r="C2326">
        <v>28</v>
      </c>
      <c r="D2326" t="s">
        <v>9</v>
      </c>
      <c r="E2326">
        <v>0.41</v>
      </c>
      <c r="F2326">
        <v>0.57999999999999996</v>
      </c>
      <c r="G2326">
        <v>0.55000000000000004</v>
      </c>
      <c r="H2326" t="s">
        <v>17</v>
      </c>
    </row>
    <row r="2327" spans="1:8" x14ac:dyDescent="0.25">
      <c r="A2327" t="s">
        <v>20</v>
      </c>
      <c r="B2327">
        <v>110094</v>
      </c>
      <c r="C2327">
        <v>10</v>
      </c>
      <c r="D2327" t="s">
        <v>12</v>
      </c>
      <c r="E2327">
        <v>0.13</v>
      </c>
      <c r="F2327">
        <v>0.74</v>
      </c>
      <c r="G2327">
        <v>0.56999999999999995</v>
      </c>
      <c r="H2327" t="s">
        <v>17</v>
      </c>
    </row>
    <row r="2328" spans="1:8" x14ac:dyDescent="0.25">
      <c r="A2328" t="s">
        <v>24</v>
      </c>
      <c r="B2328">
        <v>126155</v>
      </c>
      <c r="C2328">
        <v>9</v>
      </c>
      <c r="D2328" t="s">
        <v>15</v>
      </c>
      <c r="E2328">
        <v>0.41</v>
      </c>
      <c r="F2328">
        <v>0.71</v>
      </c>
      <c r="G2328">
        <v>0.57999999999999996</v>
      </c>
      <c r="H2328" t="s">
        <v>17</v>
      </c>
    </row>
    <row r="2329" spans="1:8" x14ac:dyDescent="0.25">
      <c r="A2329" t="s">
        <v>33</v>
      </c>
      <c r="B2329">
        <v>128464</v>
      </c>
      <c r="C2329">
        <v>15</v>
      </c>
      <c r="D2329" t="s">
        <v>9</v>
      </c>
      <c r="E2329">
        <v>0.62</v>
      </c>
      <c r="F2329">
        <v>1.37</v>
      </c>
      <c r="G2329">
        <v>0.22</v>
      </c>
      <c r="H2329" t="s">
        <v>13</v>
      </c>
    </row>
    <row r="2330" spans="1:8" x14ac:dyDescent="0.25">
      <c r="A2330" t="s">
        <v>25</v>
      </c>
      <c r="B2330">
        <v>139791</v>
      </c>
      <c r="C2330">
        <v>4</v>
      </c>
      <c r="D2330" t="s">
        <v>12</v>
      </c>
      <c r="E2330">
        <v>0.66</v>
      </c>
      <c r="F2330">
        <v>0.61</v>
      </c>
      <c r="G2330">
        <v>0.66</v>
      </c>
      <c r="H2330" t="s">
        <v>17</v>
      </c>
    </row>
    <row r="2331" spans="1:8" x14ac:dyDescent="0.25">
      <c r="A2331" t="s">
        <v>8</v>
      </c>
      <c r="B2331">
        <v>56745</v>
      </c>
      <c r="C2331">
        <v>1</v>
      </c>
      <c r="D2331" t="s">
        <v>12</v>
      </c>
      <c r="E2331">
        <v>0.62</v>
      </c>
      <c r="F2331">
        <v>1.01</v>
      </c>
      <c r="G2331">
        <v>0.78</v>
      </c>
      <c r="H2331" t="s">
        <v>10</v>
      </c>
    </row>
    <row r="2332" spans="1:8" x14ac:dyDescent="0.25">
      <c r="A2332" t="s">
        <v>24</v>
      </c>
      <c r="B2332">
        <v>94558</v>
      </c>
      <c r="C2332">
        <v>25</v>
      </c>
      <c r="D2332" t="s">
        <v>15</v>
      </c>
      <c r="E2332">
        <v>0.16</v>
      </c>
      <c r="F2332">
        <v>0.88</v>
      </c>
      <c r="G2332">
        <v>0.49</v>
      </c>
      <c r="H2332" t="s">
        <v>17</v>
      </c>
    </row>
    <row r="2333" spans="1:8" x14ac:dyDescent="0.25">
      <c r="A2333" t="s">
        <v>20</v>
      </c>
      <c r="B2333">
        <v>91478</v>
      </c>
      <c r="C2333">
        <v>11</v>
      </c>
      <c r="D2333" t="s">
        <v>9</v>
      </c>
      <c r="E2333">
        <v>0.87</v>
      </c>
      <c r="F2333">
        <v>1.32</v>
      </c>
      <c r="G2333">
        <v>0.41</v>
      </c>
      <c r="H2333" t="s">
        <v>17</v>
      </c>
    </row>
    <row r="2334" spans="1:8" x14ac:dyDescent="0.25">
      <c r="A2334" t="s">
        <v>34</v>
      </c>
      <c r="B2334">
        <v>125980</v>
      </c>
      <c r="C2334">
        <v>1</v>
      </c>
      <c r="D2334" t="s">
        <v>15</v>
      </c>
      <c r="E2334">
        <v>0.46</v>
      </c>
      <c r="F2334">
        <v>0.76</v>
      </c>
      <c r="G2334">
        <v>0.54</v>
      </c>
      <c r="H2334" t="s">
        <v>17</v>
      </c>
    </row>
    <row r="2335" spans="1:8" x14ac:dyDescent="0.25">
      <c r="A2335" t="s">
        <v>29</v>
      </c>
      <c r="B2335">
        <v>128708</v>
      </c>
      <c r="C2335">
        <v>15</v>
      </c>
      <c r="D2335" t="s">
        <v>12</v>
      </c>
      <c r="E2335">
        <v>0.06</v>
      </c>
      <c r="F2335">
        <v>1.22</v>
      </c>
      <c r="G2335">
        <v>0.86</v>
      </c>
      <c r="H2335" t="s">
        <v>10</v>
      </c>
    </row>
    <row r="2336" spans="1:8" x14ac:dyDescent="0.25">
      <c r="A2336" t="s">
        <v>8</v>
      </c>
      <c r="B2336">
        <v>41638</v>
      </c>
      <c r="C2336">
        <v>26</v>
      </c>
      <c r="D2336" t="s">
        <v>15</v>
      </c>
      <c r="E2336">
        <v>0.94</v>
      </c>
      <c r="F2336">
        <v>1.5</v>
      </c>
      <c r="G2336">
        <v>0.81</v>
      </c>
      <c r="H2336" t="s">
        <v>10</v>
      </c>
    </row>
    <row r="2337" spans="1:8" x14ac:dyDescent="0.25">
      <c r="A2337" t="s">
        <v>11</v>
      </c>
      <c r="B2337">
        <v>54829</v>
      </c>
      <c r="C2337">
        <v>26</v>
      </c>
      <c r="D2337" t="s">
        <v>12</v>
      </c>
      <c r="E2337">
        <v>0.97</v>
      </c>
      <c r="F2337">
        <v>0.51</v>
      </c>
      <c r="G2337">
        <v>0.28999999999999998</v>
      </c>
      <c r="H2337" t="s">
        <v>13</v>
      </c>
    </row>
    <row r="2338" spans="1:8" x14ac:dyDescent="0.25">
      <c r="A2338" t="s">
        <v>27</v>
      </c>
      <c r="B2338">
        <v>50720</v>
      </c>
      <c r="C2338">
        <v>28</v>
      </c>
      <c r="D2338" t="s">
        <v>9</v>
      </c>
      <c r="E2338">
        <v>0.21</v>
      </c>
      <c r="F2338">
        <v>1.17</v>
      </c>
      <c r="G2338">
        <v>0.64</v>
      </c>
      <c r="H2338" t="s">
        <v>17</v>
      </c>
    </row>
    <row r="2339" spans="1:8" x14ac:dyDescent="0.25">
      <c r="A2339" t="s">
        <v>21</v>
      </c>
      <c r="B2339">
        <v>99981</v>
      </c>
      <c r="C2339">
        <v>2</v>
      </c>
      <c r="D2339" t="s">
        <v>15</v>
      </c>
      <c r="E2339">
        <v>0.43</v>
      </c>
      <c r="F2339">
        <v>1.17</v>
      </c>
      <c r="G2339">
        <v>0.09</v>
      </c>
      <c r="H2339" t="s">
        <v>13</v>
      </c>
    </row>
    <row r="2340" spans="1:8" x14ac:dyDescent="0.25">
      <c r="A2340" t="s">
        <v>31</v>
      </c>
      <c r="B2340">
        <v>104541</v>
      </c>
      <c r="C2340">
        <v>22</v>
      </c>
      <c r="D2340" t="s">
        <v>9</v>
      </c>
      <c r="E2340">
        <v>0.38</v>
      </c>
      <c r="F2340">
        <v>1.25</v>
      </c>
      <c r="G2340">
        <v>0.88</v>
      </c>
      <c r="H2340" t="s">
        <v>10</v>
      </c>
    </row>
    <row r="2341" spans="1:8" x14ac:dyDescent="0.25">
      <c r="A2341" t="s">
        <v>33</v>
      </c>
      <c r="B2341">
        <v>30733</v>
      </c>
      <c r="C2341">
        <v>7</v>
      </c>
      <c r="D2341" t="s">
        <v>28</v>
      </c>
      <c r="E2341">
        <v>0.89</v>
      </c>
      <c r="F2341">
        <v>0.69</v>
      </c>
      <c r="G2341">
        <v>0.19</v>
      </c>
      <c r="H2341" t="s">
        <v>13</v>
      </c>
    </row>
    <row r="2342" spans="1:8" x14ac:dyDescent="0.25">
      <c r="A2342" t="s">
        <v>22</v>
      </c>
      <c r="B2342">
        <v>127760</v>
      </c>
      <c r="C2342">
        <v>27</v>
      </c>
      <c r="D2342" t="s">
        <v>15</v>
      </c>
      <c r="E2342">
        <v>0.61</v>
      </c>
      <c r="F2342">
        <v>1.1100000000000001</v>
      </c>
      <c r="G2342">
        <v>0.61</v>
      </c>
      <c r="H2342" t="s">
        <v>17</v>
      </c>
    </row>
    <row r="2343" spans="1:8" x14ac:dyDescent="0.25">
      <c r="A2343" t="s">
        <v>31</v>
      </c>
      <c r="B2343">
        <v>56819</v>
      </c>
      <c r="C2343">
        <v>1</v>
      </c>
      <c r="D2343" t="s">
        <v>12</v>
      </c>
      <c r="E2343">
        <v>0.57999999999999996</v>
      </c>
      <c r="F2343">
        <v>1.3</v>
      </c>
      <c r="G2343">
        <v>0.89</v>
      </c>
      <c r="H2343" t="s">
        <v>10</v>
      </c>
    </row>
    <row r="2344" spans="1:8" x14ac:dyDescent="0.25">
      <c r="A2344" t="s">
        <v>23</v>
      </c>
      <c r="B2344">
        <v>105954</v>
      </c>
      <c r="C2344">
        <v>27</v>
      </c>
      <c r="D2344" t="s">
        <v>9</v>
      </c>
      <c r="E2344">
        <v>0.91</v>
      </c>
      <c r="F2344">
        <v>1.31</v>
      </c>
      <c r="G2344">
        <v>0.84</v>
      </c>
      <c r="H2344" t="s">
        <v>10</v>
      </c>
    </row>
    <row r="2345" spans="1:8" x14ac:dyDescent="0.25">
      <c r="A2345" t="s">
        <v>11</v>
      </c>
      <c r="B2345">
        <v>145386</v>
      </c>
      <c r="C2345">
        <v>21</v>
      </c>
      <c r="D2345" t="s">
        <v>9</v>
      </c>
      <c r="E2345">
        <v>0.88</v>
      </c>
      <c r="F2345">
        <v>0.82</v>
      </c>
      <c r="G2345">
        <v>0.21</v>
      </c>
      <c r="H2345" t="s">
        <v>13</v>
      </c>
    </row>
    <row r="2346" spans="1:8" x14ac:dyDescent="0.25">
      <c r="A2346" t="s">
        <v>33</v>
      </c>
      <c r="B2346">
        <v>101360</v>
      </c>
      <c r="C2346">
        <v>9</v>
      </c>
      <c r="D2346" t="s">
        <v>15</v>
      </c>
      <c r="E2346">
        <v>0.42</v>
      </c>
      <c r="F2346">
        <v>0.63</v>
      </c>
      <c r="G2346">
        <v>0.22</v>
      </c>
      <c r="H2346" t="s">
        <v>13</v>
      </c>
    </row>
    <row r="2347" spans="1:8" x14ac:dyDescent="0.25">
      <c r="A2347" t="s">
        <v>14</v>
      </c>
      <c r="B2347">
        <v>108349</v>
      </c>
      <c r="C2347">
        <v>1</v>
      </c>
      <c r="D2347" t="s">
        <v>15</v>
      </c>
      <c r="E2347">
        <v>0.63</v>
      </c>
      <c r="F2347">
        <v>1.42</v>
      </c>
      <c r="G2347">
        <v>0.81</v>
      </c>
      <c r="H2347" t="s">
        <v>10</v>
      </c>
    </row>
    <row r="2348" spans="1:8" x14ac:dyDescent="0.25">
      <c r="A2348" t="s">
        <v>31</v>
      </c>
      <c r="B2348">
        <v>137102</v>
      </c>
      <c r="C2348">
        <v>19</v>
      </c>
      <c r="D2348" t="s">
        <v>9</v>
      </c>
      <c r="E2348">
        <v>0.25</v>
      </c>
      <c r="F2348">
        <v>1.1499999999999999</v>
      </c>
      <c r="G2348">
        <v>0.89</v>
      </c>
      <c r="H2348" t="s">
        <v>10</v>
      </c>
    </row>
    <row r="2349" spans="1:8" x14ac:dyDescent="0.25">
      <c r="A2349" t="s">
        <v>23</v>
      </c>
      <c r="B2349">
        <v>97310</v>
      </c>
      <c r="C2349">
        <v>29</v>
      </c>
      <c r="D2349" t="s">
        <v>12</v>
      </c>
      <c r="E2349">
        <v>0.39</v>
      </c>
      <c r="F2349">
        <v>0.53</v>
      </c>
      <c r="G2349">
        <v>0.93</v>
      </c>
      <c r="H2349" t="s">
        <v>10</v>
      </c>
    </row>
    <row r="2350" spans="1:8" x14ac:dyDescent="0.25">
      <c r="A2350" t="s">
        <v>23</v>
      </c>
      <c r="B2350">
        <v>121111</v>
      </c>
      <c r="C2350">
        <v>6</v>
      </c>
      <c r="D2350" t="s">
        <v>28</v>
      </c>
      <c r="E2350">
        <v>0.32</v>
      </c>
      <c r="F2350">
        <v>1</v>
      </c>
      <c r="G2350">
        <v>0.89</v>
      </c>
      <c r="H2350" t="s">
        <v>10</v>
      </c>
    </row>
    <row r="2351" spans="1:8" x14ac:dyDescent="0.25">
      <c r="A2351" t="s">
        <v>11</v>
      </c>
      <c r="B2351">
        <v>85983</v>
      </c>
      <c r="C2351">
        <v>11</v>
      </c>
      <c r="D2351" t="s">
        <v>28</v>
      </c>
      <c r="E2351">
        <v>0.63</v>
      </c>
      <c r="F2351">
        <v>1.1100000000000001</v>
      </c>
      <c r="G2351">
        <v>0.12</v>
      </c>
      <c r="H2351" t="s">
        <v>13</v>
      </c>
    </row>
    <row r="2352" spans="1:8" x14ac:dyDescent="0.25">
      <c r="A2352" t="s">
        <v>27</v>
      </c>
      <c r="B2352">
        <v>98407</v>
      </c>
      <c r="C2352">
        <v>13</v>
      </c>
      <c r="D2352" t="s">
        <v>9</v>
      </c>
      <c r="E2352">
        <v>0.71</v>
      </c>
      <c r="F2352">
        <v>1.44</v>
      </c>
      <c r="G2352">
        <v>0.33</v>
      </c>
      <c r="H2352" t="s">
        <v>17</v>
      </c>
    </row>
    <row r="2353" spans="1:8" x14ac:dyDescent="0.25">
      <c r="A2353" t="s">
        <v>34</v>
      </c>
      <c r="B2353">
        <v>130641</v>
      </c>
      <c r="C2353">
        <v>19</v>
      </c>
      <c r="D2353" t="s">
        <v>9</v>
      </c>
      <c r="E2353">
        <v>0.93</v>
      </c>
      <c r="F2353">
        <v>1.46</v>
      </c>
      <c r="G2353">
        <v>0.32</v>
      </c>
      <c r="H2353" t="s">
        <v>17</v>
      </c>
    </row>
    <row r="2354" spans="1:8" x14ac:dyDescent="0.25">
      <c r="A2354" t="s">
        <v>24</v>
      </c>
      <c r="B2354">
        <v>56363</v>
      </c>
      <c r="C2354">
        <v>3</v>
      </c>
      <c r="D2354" t="s">
        <v>28</v>
      </c>
      <c r="E2354">
        <v>0.47</v>
      </c>
      <c r="F2354">
        <v>1.37</v>
      </c>
      <c r="G2354">
        <v>0.35</v>
      </c>
      <c r="H2354" t="s">
        <v>17</v>
      </c>
    </row>
    <row r="2355" spans="1:8" x14ac:dyDescent="0.25">
      <c r="A2355" t="s">
        <v>32</v>
      </c>
      <c r="B2355">
        <v>56187</v>
      </c>
      <c r="C2355">
        <v>17</v>
      </c>
      <c r="D2355" t="s">
        <v>28</v>
      </c>
      <c r="E2355">
        <v>0.56000000000000005</v>
      </c>
      <c r="F2355">
        <v>0.6</v>
      </c>
      <c r="G2355">
        <v>0.53</v>
      </c>
      <c r="H2355" t="s">
        <v>17</v>
      </c>
    </row>
    <row r="2356" spans="1:8" x14ac:dyDescent="0.25">
      <c r="A2356" t="s">
        <v>26</v>
      </c>
      <c r="B2356">
        <v>133171</v>
      </c>
      <c r="C2356">
        <v>29</v>
      </c>
      <c r="D2356" t="s">
        <v>28</v>
      </c>
      <c r="E2356">
        <v>0.65</v>
      </c>
      <c r="F2356">
        <v>1.23</v>
      </c>
      <c r="G2356">
        <v>0.61</v>
      </c>
      <c r="H2356" t="s">
        <v>17</v>
      </c>
    </row>
    <row r="2357" spans="1:8" x14ac:dyDescent="0.25">
      <c r="A2357" t="s">
        <v>21</v>
      </c>
      <c r="B2357">
        <v>143968</v>
      </c>
      <c r="C2357">
        <v>21</v>
      </c>
      <c r="D2357" t="s">
        <v>12</v>
      </c>
      <c r="E2357">
        <v>0.61</v>
      </c>
      <c r="F2357">
        <v>1.37</v>
      </c>
      <c r="G2357">
        <v>0.2</v>
      </c>
      <c r="H2357" t="s">
        <v>13</v>
      </c>
    </row>
    <row r="2358" spans="1:8" x14ac:dyDescent="0.25">
      <c r="A2358" t="s">
        <v>19</v>
      </c>
      <c r="B2358">
        <v>89376</v>
      </c>
      <c r="C2358">
        <v>8</v>
      </c>
      <c r="D2358" t="s">
        <v>12</v>
      </c>
      <c r="E2358">
        <v>0.18</v>
      </c>
      <c r="F2358">
        <v>0.67</v>
      </c>
      <c r="G2358">
        <v>0.06</v>
      </c>
      <c r="H2358" t="s">
        <v>13</v>
      </c>
    </row>
    <row r="2359" spans="1:8" x14ac:dyDescent="0.25">
      <c r="A2359" t="s">
        <v>22</v>
      </c>
      <c r="B2359">
        <v>70305</v>
      </c>
      <c r="C2359">
        <v>22</v>
      </c>
      <c r="D2359" t="s">
        <v>12</v>
      </c>
      <c r="E2359">
        <v>0.1</v>
      </c>
      <c r="F2359">
        <v>1.1399999999999999</v>
      </c>
      <c r="G2359">
        <v>0.36</v>
      </c>
      <c r="H2359" t="s">
        <v>17</v>
      </c>
    </row>
    <row r="2360" spans="1:8" x14ac:dyDescent="0.25">
      <c r="A2360" t="s">
        <v>18</v>
      </c>
      <c r="B2360">
        <v>47054</v>
      </c>
      <c r="C2360">
        <v>5</v>
      </c>
      <c r="D2360" t="s">
        <v>12</v>
      </c>
      <c r="E2360">
        <v>0.69</v>
      </c>
      <c r="F2360">
        <v>1.1200000000000001</v>
      </c>
      <c r="G2360">
        <v>0.42</v>
      </c>
      <c r="H2360" t="s">
        <v>17</v>
      </c>
    </row>
    <row r="2361" spans="1:8" x14ac:dyDescent="0.25">
      <c r="A2361" t="s">
        <v>20</v>
      </c>
      <c r="B2361">
        <v>103080</v>
      </c>
      <c r="C2361">
        <v>17</v>
      </c>
      <c r="D2361" t="s">
        <v>15</v>
      </c>
      <c r="E2361">
        <v>0.71</v>
      </c>
      <c r="F2361">
        <v>1.49</v>
      </c>
      <c r="G2361">
        <v>0.34</v>
      </c>
      <c r="H2361" t="s">
        <v>17</v>
      </c>
    </row>
    <row r="2362" spans="1:8" x14ac:dyDescent="0.25">
      <c r="A2362" t="s">
        <v>24</v>
      </c>
      <c r="B2362">
        <v>55401</v>
      </c>
      <c r="C2362">
        <v>21</v>
      </c>
      <c r="D2362" t="s">
        <v>28</v>
      </c>
      <c r="E2362">
        <v>0.21</v>
      </c>
      <c r="F2362">
        <v>0.5</v>
      </c>
      <c r="G2362">
        <v>0.36</v>
      </c>
      <c r="H2362" t="s">
        <v>17</v>
      </c>
    </row>
    <row r="2363" spans="1:8" x14ac:dyDescent="0.25">
      <c r="A2363" t="s">
        <v>16</v>
      </c>
      <c r="B2363">
        <v>41928</v>
      </c>
      <c r="C2363">
        <v>7</v>
      </c>
      <c r="D2363" t="s">
        <v>28</v>
      </c>
      <c r="E2363">
        <v>0.31</v>
      </c>
      <c r="F2363">
        <v>1.04</v>
      </c>
      <c r="G2363">
        <v>0.34</v>
      </c>
      <c r="H2363" t="s">
        <v>17</v>
      </c>
    </row>
    <row r="2364" spans="1:8" x14ac:dyDescent="0.25">
      <c r="A2364" t="s">
        <v>30</v>
      </c>
      <c r="B2364">
        <v>140177</v>
      </c>
      <c r="C2364">
        <v>24</v>
      </c>
      <c r="D2364" t="s">
        <v>28</v>
      </c>
      <c r="E2364">
        <v>0.4</v>
      </c>
      <c r="F2364">
        <v>0.84</v>
      </c>
      <c r="G2364">
        <v>0.25</v>
      </c>
      <c r="H2364" t="s">
        <v>13</v>
      </c>
    </row>
    <row r="2365" spans="1:8" x14ac:dyDescent="0.25">
      <c r="A2365" t="s">
        <v>27</v>
      </c>
      <c r="B2365">
        <v>47024</v>
      </c>
      <c r="C2365">
        <v>28</v>
      </c>
      <c r="D2365" t="s">
        <v>12</v>
      </c>
      <c r="E2365">
        <v>0.42</v>
      </c>
      <c r="F2365">
        <v>1.41</v>
      </c>
      <c r="G2365">
        <v>0.34</v>
      </c>
      <c r="H2365" t="s">
        <v>17</v>
      </c>
    </row>
    <row r="2366" spans="1:8" x14ac:dyDescent="0.25">
      <c r="A2366" t="s">
        <v>21</v>
      </c>
      <c r="B2366">
        <v>39612</v>
      </c>
      <c r="C2366">
        <v>10</v>
      </c>
      <c r="D2366" t="s">
        <v>9</v>
      </c>
      <c r="E2366">
        <v>0.19</v>
      </c>
      <c r="F2366">
        <v>1</v>
      </c>
      <c r="G2366">
        <v>0.3</v>
      </c>
      <c r="H2366" t="s">
        <v>13</v>
      </c>
    </row>
    <row r="2367" spans="1:8" x14ac:dyDescent="0.25">
      <c r="A2367" t="s">
        <v>31</v>
      </c>
      <c r="B2367">
        <v>51450</v>
      </c>
      <c r="C2367">
        <v>1</v>
      </c>
      <c r="D2367" t="s">
        <v>15</v>
      </c>
      <c r="E2367">
        <v>0.45</v>
      </c>
      <c r="F2367">
        <v>1.44</v>
      </c>
      <c r="G2367">
        <v>0.82</v>
      </c>
      <c r="H2367" t="s">
        <v>10</v>
      </c>
    </row>
    <row r="2368" spans="1:8" x14ac:dyDescent="0.25">
      <c r="A2368" t="s">
        <v>20</v>
      </c>
      <c r="B2368">
        <v>149511</v>
      </c>
      <c r="C2368">
        <v>27</v>
      </c>
      <c r="D2368" t="s">
        <v>9</v>
      </c>
      <c r="E2368">
        <v>0.51</v>
      </c>
      <c r="F2368">
        <v>1.34</v>
      </c>
      <c r="G2368">
        <v>0.43</v>
      </c>
      <c r="H2368" t="s">
        <v>17</v>
      </c>
    </row>
    <row r="2369" spans="1:8" x14ac:dyDescent="0.25">
      <c r="A2369" t="s">
        <v>14</v>
      </c>
      <c r="B2369">
        <v>106554</v>
      </c>
      <c r="C2369">
        <v>21</v>
      </c>
      <c r="D2369" t="s">
        <v>15</v>
      </c>
      <c r="E2369">
        <v>0.55000000000000004</v>
      </c>
      <c r="F2369">
        <v>0.54</v>
      </c>
      <c r="G2369">
        <v>0.73</v>
      </c>
      <c r="H2369" t="s">
        <v>10</v>
      </c>
    </row>
    <row r="2370" spans="1:8" x14ac:dyDescent="0.25">
      <c r="A2370" t="s">
        <v>22</v>
      </c>
      <c r="B2370">
        <v>97173</v>
      </c>
      <c r="C2370">
        <v>3</v>
      </c>
      <c r="D2370" t="s">
        <v>15</v>
      </c>
      <c r="E2370">
        <v>7.0000000000000007E-2</v>
      </c>
      <c r="F2370">
        <v>0.98</v>
      </c>
      <c r="G2370">
        <v>0.67</v>
      </c>
      <c r="H2370" t="s">
        <v>17</v>
      </c>
    </row>
    <row r="2371" spans="1:8" x14ac:dyDescent="0.25">
      <c r="A2371" t="s">
        <v>16</v>
      </c>
      <c r="B2371">
        <v>44517</v>
      </c>
      <c r="C2371">
        <v>3</v>
      </c>
      <c r="D2371" t="s">
        <v>28</v>
      </c>
      <c r="E2371">
        <v>0.59</v>
      </c>
      <c r="F2371">
        <v>0.71</v>
      </c>
      <c r="G2371">
        <v>0.54</v>
      </c>
      <c r="H2371" t="s">
        <v>17</v>
      </c>
    </row>
    <row r="2372" spans="1:8" x14ac:dyDescent="0.25">
      <c r="A2372" t="s">
        <v>8</v>
      </c>
      <c r="B2372">
        <v>31321</v>
      </c>
      <c r="C2372">
        <v>22</v>
      </c>
      <c r="D2372" t="s">
        <v>9</v>
      </c>
      <c r="E2372">
        <v>0.93</v>
      </c>
      <c r="F2372">
        <v>1.18</v>
      </c>
      <c r="G2372">
        <v>0.71</v>
      </c>
      <c r="H2372" t="s">
        <v>10</v>
      </c>
    </row>
    <row r="2373" spans="1:8" x14ac:dyDescent="0.25">
      <c r="A2373" t="s">
        <v>19</v>
      </c>
      <c r="B2373">
        <v>93001</v>
      </c>
      <c r="C2373">
        <v>25</v>
      </c>
      <c r="D2373" t="s">
        <v>15</v>
      </c>
      <c r="E2373">
        <v>0.32</v>
      </c>
      <c r="F2373">
        <v>1.32</v>
      </c>
      <c r="G2373">
        <v>0.09</v>
      </c>
      <c r="H2373" t="s">
        <v>13</v>
      </c>
    </row>
    <row r="2374" spans="1:8" x14ac:dyDescent="0.25">
      <c r="A2374" t="s">
        <v>32</v>
      </c>
      <c r="B2374">
        <v>35685</v>
      </c>
      <c r="C2374">
        <v>23</v>
      </c>
      <c r="D2374" t="s">
        <v>28</v>
      </c>
      <c r="E2374">
        <v>0.72</v>
      </c>
      <c r="F2374">
        <v>1.22</v>
      </c>
      <c r="G2374">
        <v>0.37</v>
      </c>
      <c r="H2374" t="s">
        <v>17</v>
      </c>
    </row>
    <row r="2375" spans="1:8" x14ac:dyDescent="0.25">
      <c r="A2375" t="s">
        <v>26</v>
      </c>
      <c r="B2375">
        <v>35335</v>
      </c>
      <c r="C2375">
        <v>13</v>
      </c>
      <c r="D2375" t="s">
        <v>15</v>
      </c>
      <c r="E2375">
        <v>0.56999999999999995</v>
      </c>
      <c r="F2375">
        <v>0.57999999999999996</v>
      </c>
      <c r="G2375">
        <v>0.69</v>
      </c>
      <c r="H2375" t="s">
        <v>17</v>
      </c>
    </row>
    <row r="2376" spans="1:8" x14ac:dyDescent="0.25">
      <c r="A2376" t="s">
        <v>20</v>
      </c>
      <c r="B2376">
        <v>110286</v>
      </c>
      <c r="C2376">
        <v>26</v>
      </c>
      <c r="D2376" t="s">
        <v>28</v>
      </c>
      <c r="E2376">
        <v>0.52</v>
      </c>
      <c r="F2376">
        <v>1.2</v>
      </c>
      <c r="G2376">
        <v>0.37</v>
      </c>
      <c r="H2376" t="s">
        <v>17</v>
      </c>
    </row>
    <row r="2377" spans="1:8" x14ac:dyDescent="0.25">
      <c r="A2377" t="s">
        <v>30</v>
      </c>
      <c r="B2377">
        <v>45641</v>
      </c>
      <c r="C2377">
        <v>16</v>
      </c>
      <c r="D2377" t="s">
        <v>12</v>
      </c>
      <c r="E2377">
        <v>0.56999999999999995</v>
      </c>
      <c r="F2377">
        <v>1.18</v>
      </c>
      <c r="G2377">
        <v>0.26</v>
      </c>
      <c r="H2377" t="s">
        <v>13</v>
      </c>
    </row>
    <row r="2378" spans="1:8" x14ac:dyDescent="0.25">
      <c r="A2378" t="s">
        <v>29</v>
      </c>
      <c r="B2378">
        <v>50242</v>
      </c>
      <c r="C2378">
        <v>5</v>
      </c>
      <c r="D2378" t="s">
        <v>12</v>
      </c>
      <c r="E2378">
        <v>0.54</v>
      </c>
      <c r="F2378">
        <v>1.27</v>
      </c>
      <c r="G2378">
        <v>0.95</v>
      </c>
      <c r="H2378" t="s">
        <v>10</v>
      </c>
    </row>
    <row r="2379" spans="1:8" x14ac:dyDescent="0.25">
      <c r="A2379" t="s">
        <v>21</v>
      </c>
      <c r="B2379">
        <v>60166</v>
      </c>
      <c r="C2379">
        <v>19</v>
      </c>
      <c r="D2379" t="s">
        <v>9</v>
      </c>
      <c r="E2379">
        <v>0.56999999999999995</v>
      </c>
      <c r="F2379">
        <v>1.38</v>
      </c>
      <c r="G2379">
        <v>0.15</v>
      </c>
      <c r="H2379" t="s">
        <v>13</v>
      </c>
    </row>
    <row r="2380" spans="1:8" x14ac:dyDescent="0.25">
      <c r="A2380" t="s">
        <v>24</v>
      </c>
      <c r="B2380">
        <v>61232</v>
      </c>
      <c r="C2380">
        <v>15</v>
      </c>
      <c r="D2380" t="s">
        <v>9</v>
      </c>
      <c r="E2380">
        <v>0.79</v>
      </c>
      <c r="F2380">
        <v>0.69</v>
      </c>
      <c r="G2380">
        <v>0.44</v>
      </c>
      <c r="H2380" t="s">
        <v>17</v>
      </c>
    </row>
    <row r="2381" spans="1:8" x14ac:dyDescent="0.25">
      <c r="A2381" t="s">
        <v>27</v>
      </c>
      <c r="B2381">
        <v>78720</v>
      </c>
      <c r="C2381">
        <v>29</v>
      </c>
      <c r="D2381" t="s">
        <v>12</v>
      </c>
      <c r="E2381">
        <v>0.33</v>
      </c>
      <c r="F2381">
        <v>0.51</v>
      </c>
      <c r="G2381">
        <v>0.68</v>
      </c>
      <c r="H2381" t="s">
        <v>17</v>
      </c>
    </row>
    <row r="2382" spans="1:8" x14ac:dyDescent="0.25">
      <c r="A2382" t="s">
        <v>14</v>
      </c>
      <c r="B2382">
        <v>125110</v>
      </c>
      <c r="C2382">
        <v>4</v>
      </c>
      <c r="D2382" t="s">
        <v>28</v>
      </c>
      <c r="E2382">
        <v>0.47</v>
      </c>
      <c r="F2382">
        <v>1.41</v>
      </c>
      <c r="G2382">
        <v>0.8</v>
      </c>
      <c r="H2382" t="s">
        <v>10</v>
      </c>
    </row>
    <row r="2383" spans="1:8" x14ac:dyDescent="0.25">
      <c r="A2383" t="s">
        <v>34</v>
      </c>
      <c r="B2383">
        <v>113128</v>
      </c>
      <c r="C2383">
        <v>7</v>
      </c>
      <c r="D2383" t="s">
        <v>15</v>
      </c>
      <c r="E2383">
        <v>0.34</v>
      </c>
      <c r="F2383">
        <v>0.72</v>
      </c>
      <c r="G2383">
        <v>0.66</v>
      </c>
      <c r="H2383" t="s">
        <v>17</v>
      </c>
    </row>
    <row r="2384" spans="1:8" x14ac:dyDescent="0.25">
      <c r="A2384" t="s">
        <v>21</v>
      </c>
      <c r="B2384">
        <v>120605</v>
      </c>
      <c r="C2384">
        <v>29</v>
      </c>
      <c r="D2384" t="s">
        <v>12</v>
      </c>
      <c r="E2384">
        <v>0.39</v>
      </c>
      <c r="F2384">
        <v>1.29</v>
      </c>
      <c r="G2384">
        <v>0.11</v>
      </c>
      <c r="H2384" t="s">
        <v>13</v>
      </c>
    </row>
    <row r="2385" spans="1:8" x14ac:dyDescent="0.25">
      <c r="A2385" t="s">
        <v>23</v>
      </c>
      <c r="B2385">
        <v>39513</v>
      </c>
      <c r="C2385">
        <v>18</v>
      </c>
      <c r="D2385" t="s">
        <v>28</v>
      </c>
      <c r="E2385">
        <v>0.56000000000000005</v>
      </c>
      <c r="F2385">
        <v>1.1000000000000001</v>
      </c>
      <c r="G2385">
        <v>0.84</v>
      </c>
      <c r="H2385" t="s">
        <v>10</v>
      </c>
    </row>
    <row r="2386" spans="1:8" x14ac:dyDescent="0.25">
      <c r="A2386" t="s">
        <v>24</v>
      </c>
      <c r="B2386">
        <v>57177</v>
      </c>
      <c r="C2386">
        <v>0</v>
      </c>
      <c r="D2386" t="s">
        <v>9</v>
      </c>
      <c r="E2386">
        <v>0.85</v>
      </c>
      <c r="F2386">
        <v>0.65</v>
      </c>
      <c r="G2386">
        <v>0.44</v>
      </c>
      <c r="H2386" t="s">
        <v>17</v>
      </c>
    </row>
    <row r="2387" spans="1:8" x14ac:dyDescent="0.25">
      <c r="A2387" t="s">
        <v>34</v>
      </c>
      <c r="B2387">
        <v>85572</v>
      </c>
      <c r="C2387">
        <v>8</v>
      </c>
      <c r="D2387" t="s">
        <v>9</v>
      </c>
      <c r="E2387">
        <v>0.87</v>
      </c>
      <c r="F2387">
        <v>0.71</v>
      </c>
      <c r="G2387">
        <v>0.31</v>
      </c>
      <c r="H2387" t="s">
        <v>17</v>
      </c>
    </row>
    <row r="2388" spans="1:8" x14ac:dyDescent="0.25">
      <c r="A2388" t="s">
        <v>20</v>
      </c>
      <c r="B2388">
        <v>147849</v>
      </c>
      <c r="C2388">
        <v>12</v>
      </c>
      <c r="D2388" t="s">
        <v>9</v>
      </c>
      <c r="E2388">
        <v>0.24</v>
      </c>
      <c r="F2388">
        <v>0.61</v>
      </c>
      <c r="G2388">
        <v>0.35</v>
      </c>
      <c r="H2388" t="s">
        <v>17</v>
      </c>
    </row>
    <row r="2389" spans="1:8" x14ac:dyDescent="0.25">
      <c r="A2389" t="s">
        <v>33</v>
      </c>
      <c r="B2389">
        <v>126080</v>
      </c>
      <c r="C2389">
        <v>1</v>
      </c>
      <c r="D2389" t="s">
        <v>15</v>
      </c>
      <c r="E2389">
        <v>0.28999999999999998</v>
      </c>
      <c r="F2389">
        <v>0.94</v>
      </c>
      <c r="G2389">
        <v>0.14000000000000001</v>
      </c>
      <c r="H2389" t="s">
        <v>13</v>
      </c>
    </row>
    <row r="2390" spans="1:8" x14ac:dyDescent="0.25">
      <c r="A2390" t="s">
        <v>16</v>
      </c>
      <c r="B2390">
        <v>144438</v>
      </c>
      <c r="C2390">
        <v>4</v>
      </c>
      <c r="D2390" t="s">
        <v>15</v>
      </c>
      <c r="E2390">
        <v>0.86</v>
      </c>
      <c r="F2390">
        <v>1.02</v>
      </c>
      <c r="G2390">
        <v>0.5</v>
      </c>
      <c r="H2390" t="s">
        <v>17</v>
      </c>
    </row>
    <row r="2391" spans="1:8" x14ac:dyDescent="0.25">
      <c r="A2391" t="s">
        <v>14</v>
      </c>
      <c r="B2391">
        <v>34844</v>
      </c>
      <c r="C2391">
        <v>22</v>
      </c>
      <c r="D2391" t="s">
        <v>12</v>
      </c>
      <c r="E2391">
        <v>0.14000000000000001</v>
      </c>
      <c r="F2391">
        <v>0.77</v>
      </c>
      <c r="G2391">
        <v>0.77</v>
      </c>
      <c r="H2391" t="s">
        <v>10</v>
      </c>
    </row>
    <row r="2392" spans="1:8" x14ac:dyDescent="0.25">
      <c r="A2392" t="s">
        <v>8</v>
      </c>
      <c r="B2392">
        <v>47639</v>
      </c>
      <c r="C2392">
        <v>21</v>
      </c>
      <c r="D2392" t="s">
        <v>28</v>
      </c>
      <c r="E2392">
        <v>0.68</v>
      </c>
      <c r="F2392">
        <v>1.05</v>
      </c>
      <c r="G2392">
        <v>0.87</v>
      </c>
      <c r="H2392" t="s">
        <v>10</v>
      </c>
    </row>
    <row r="2393" spans="1:8" x14ac:dyDescent="0.25">
      <c r="A2393" t="s">
        <v>14</v>
      </c>
      <c r="B2393">
        <v>86041</v>
      </c>
      <c r="C2393">
        <v>3</v>
      </c>
      <c r="D2393" t="s">
        <v>9</v>
      </c>
      <c r="E2393">
        <v>0.37</v>
      </c>
      <c r="F2393">
        <v>1.44</v>
      </c>
      <c r="G2393">
        <v>0.79</v>
      </c>
      <c r="H2393" t="s">
        <v>10</v>
      </c>
    </row>
    <row r="2394" spans="1:8" x14ac:dyDescent="0.25">
      <c r="A2394" t="s">
        <v>21</v>
      </c>
      <c r="B2394">
        <v>68575</v>
      </c>
      <c r="C2394">
        <v>2</v>
      </c>
      <c r="D2394" t="s">
        <v>9</v>
      </c>
      <c r="E2394">
        <v>0.46</v>
      </c>
      <c r="F2394">
        <v>1.22</v>
      </c>
      <c r="G2394">
        <v>0.14000000000000001</v>
      </c>
      <c r="H2394" t="s">
        <v>13</v>
      </c>
    </row>
    <row r="2395" spans="1:8" x14ac:dyDescent="0.25">
      <c r="A2395" t="s">
        <v>19</v>
      </c>
      <c r="B2395">
        <v>120150</v>
      </c>
      <c r="C2395">
        <v>14</v>
      </c>
      <c r="D2395" t="s">
        <v>15</v>
      </c>
      <c r="E2395">
        <v>0.76</v>
      </c>
      <c r="F2395">
        <v>1.1299999999999999</v>
      </c>
      <c r="G2395">
        <v>0.18</v>
      </c>
      <c r="H2395" t="s">
        <v>13</v>
      </c>
    </row>
    <row r="2396" spans="1:8" x14ac:dyDescent="0.25">
      <c r="A2396" t="s">
        <v>31</v>
      </c>
      <c r="B2396">
        <v>42485</v>
      </c>
      <c r="C2396">
        <v>16</v>
      </c>
      <c r="D2396" t="s">
        <v>15</v>
      </c>
      <c r="E2396">
        <v>0.48</v>
      </c>
      <c r="F2396">
        <v>0.79</v>
      </c>
      <c r="G2396">
        <v>0.94</v>
      </c>
      <c r="H2396" t="s">
        <v>10</v>
      </c>
    </row>
    <row r="2397" spans="1:8" x14ac:dyDescent="0.25">
      <c r="A2397" t="s">
        <v>16</v>
      </c>
      <c r="B2397">
        <v>103147</v>
      </c>
      <c r="C2397">
        <v>13</v>
      </c>
      <c r="D2397" t="s">
        <v>9</v>
      </c>
      <c r="E2397">
        <v>0.04</v>
      </c>
      <c r="F2397">
        <v>0.7</v>
      </c>
      <c r="G2397">
        <v>0.56000000000000005</v>
      </c>
      <c r="H2397" t="s">
        <v>17</v>
      </c>
    </row>
    <row r="2398" spans="1:8" x14ac:dyDescent="0.25">
      <c r="A2398" t="s">
        <v>23</v>
      </c>
      <c r="B2398">
        <v>66598</v>
      </c>
      <c r="C2398">
        <v>8</v>
      </c>
      <c r="D2398" t="s">
        <v>12</v>
      </c>
      <c r="E2398">
        <v>0.59</v>
      </c>
      <c r="F2398">
        <v>0.94</v>
      </c>
      <c r="G2398">
        <v>0.77</v>
      </c>
      <c r="H2398" t="s">
        <v>10</v>
      </c>
    </row>
    <row r="2399" spans="1:8" x14ac:dyDescent="0.25">
      <c r="A2399" t="s">
        <v>29</v>
      </c>
      <c r="B2399">
        <v>132916</v>
      </c>
      <c r="C2399">
        <v>27</v>
      </c>
      <c r="D2399" t="s">
        <v>12</v>
      </c>
      <c r="E2399">
        <v>0.3</v>
      </c>
      <c r="F2399">
        <v>0.95</v>
      </c>
      <c r="G2399">
        <v>0.88</v>
      </c>
      <c r="H2399" t="s">
        <v>10</v>
      </c>
    </row>
    <row r="2400" spans="1:8" x14ac:dyDescent="0.25">
      <c r="A2400" t="s">
        <v>31</v>
      </c>
      <c r="B2400">
        <v>41311</v>
      </c>
      <c r="C2400">
        <v>3</v>
      </c>
      <c r="D2400" t="s">
        <v>12</v>
      </c>
      <c r="E2400">
        <v>0.31</v>
      </c>
      <c r="F2400">
        <v>1.01</v>
      </c>
      <c r="G2400">
        <v>0.72</v>
      </c>
      <c r="H2400" t="s">
        <v>10</v>
      </c>
    </row>
    <row r="2401" spans="1:8" x14ac:dyDescent="0.25">
      <c r="A2401" t="s">
        <v>34</v>
      </c>
      <c r="B2401">
        <v>139940</v>
      </c>
      <c r="C2401">
        <v>6</v>
      </c>
      <c r="D2401" t="s">
        <v>12</v>
      </c>
      <c r="E2401">
        <v>0.01</v>
      </c>
      <c r="F2401">
        <v>0.51</v>
      </c>
      <c r="G2401">
        <v>0.52</v>
      </c>
      <c r="H2401" t="s">
        <v>17</v>
      </c>
    </row>
    <row r="2402" spans="1:8" x14ac:dyDescent="0.25">
      <c r="A2402" t="s">
        <v>34</v>
      </c>
      <c r="B2402">
        <v>124930</v>
      </c>
      <c r="C2402">
        <v>9</v>
      </c>
      <c r="D2402" t="s">
        <v>15</v>
      </c>
      <c r="E2402">
        <v>0.13</v>
      </c>
      <c r="F2402">
        <v>1.29</v>
      </c>
      <c r="G2402">
        <v>0.7</v>
      </c>
      <c r="H2402" t="s">
        <v>17</v>
      </c>
    </row>
    <row r="2403" spans="1:8" x14ac:dyDescent="0.25">
      <c r="A2403" t="s">
        <v>24</v>
      </c>
      <c r="B2403">
        <v>115639</v>
      </c>
      <c r="C2403">
        <v>9</v>
      </c>
      <c r="D2403" t="s">
        <v>12</v>
      </c>
      <c r="E2403">
        <v>0.98</v>
      </c>
      <c r="F2403">
        <v>0.51</v>
      </c>
      <c r="G2403">
        <v>0.5</v>
      </c>
      <c r="H2403" t="s">
        <v>17</v>
      </c>
    </row>
    <row r="2404" spans="1:8" x14ac:dyDescent="0.25">
      <c r="A2404" t="s">
        <v>31</v>
      </c>
      <c r="B2404">
        <v>34123</v>
      </c>
      <c r="C2404">
        <v>16</v>
      </c>
      <c r="D2404" t="s">
        <v>9</v>
      </c>
      <c r="E2404">
        <v>0.83</v>
      </c>
      <c r="F2404">
        <v>1.03</v>
      </c>
      <c r="G2404">
        <v>0.72</v>
      </c>
      <c r="H2404" t="s">
        <v>10</v>
      </c>
    </row>
    <row r="2405" spans="1:8" x14ac:dyDescent="0.25">
      <c r="A2405" t="s">
        <v>18</v>
      </c>
      <c r="B2405">
        <v>98384</v>
      </c>
      <c r="C2405">
        <v>13</v>
      </c>
      <c r="D2405" t="s">
        <v>28</v>
      </c>
      <c r="E2405">
        <v>0.63</v>
      </c>
      <c r="F2405">
        <v>0.56999999999999995</v>
      </c>
      <c r="G2405">
        <v>0.37</v>
      </c>
      <c r="H2405" t="s">
        <v>17</v>
      </c>
    </row>
    <row r="2406" spans="1:8" x14ac:dyDescent="0.25">
      <c r="A2406" t="s">
        <v>27</v>
      </c>
      <c r="B2406">
        <v>102433</v>
      </c>
      <c r="C2406">
        <v>29</v>
      </c>
      <c r="D2406" t="s">
        <v>9</v>
      </c>
      <c r="E2406">
        <v>0.64</v>
      </c>
      <c r="F2406">
        <v>0.66</v>
      </c>
      <c r="G2406">
        <v>0.42</v>
      </c>
      <c r="H2406" t="s">
        <v>17</v>
      </c>
    </row>
    <row r="2407" spans="1:8" x14ac:dyDescent="0.25">
      <c r="A2407" t="s">
        <v>34</v>
      </c>
      <c r="B2407">
        <v>127550</v>
      </c>
      <c r="C2407">
        <v>15</v>
      </c>
      <c r="D2407" t="s">
        <v>28</v>
      </c>
      <c r="E2407">
        <v>0.11</v>
      </c>
      <c r="F2407">
        <v>0.83</v>
      </c>
      <c r="G2407">
        <v>0.4</v>
      </c>
      <c r="H2407" t="s">
        <v>17</v>
      </c>
    </row>
    <row r="2408" spans="1:8" x14ac:dyDescent="0.25">
      <c r="A2408" t="s">
        <v>16</v>
      </c>
      <c r="B2408">
        <v>76509</v>
      </c>
      <c r="C2408">
        <v>27</v>
      </c>
      <c r="D2408" t="s">
        <v>9</v>
      </c>
      <c r="E2408">
        <v>0.26</v>
      </c>
      <c r="F2408">
        <v>1.08</v>
      </c>
      <c r="G2408">
        <v>0.52</v>
      </c>
      <c r="H2408" t="s">
        <v>17</v>
      </c>
    </row>
    <row r="2409" spans="1:8" x14ac:dyDescent="0.25">
      <c r="A2409" t="s">
        <v>18</v>
      </c>
      <c r="B2409">
        <v>141075</v>
      </c>
      <c r="C2409">
        <v>11</v>
      </c>
      <c r="D2409" t="s">
        <v>15</v>
      </c>
      <c r="E2409">
        <v>0.65</v>
      </c>
      <c r="F2409">
        <v>0.66</v>
      </c>
      <c r="G2409">
        <v>0.43</v>
      </c>
      <c r="H2409" t="s">
        <v>17</v>
      </c>
    </row>
    <row r="2410" spans="1:8" x14ac:dyDescent="0.25">
      <c r="A2410" t="s">
        <v>21</v>
      </c>
      <c r="B2410">
        <v>35853</v>
      </c>
      <c r="C2410">
        <v>18</v>
      </c>
      <c r="D2410" t="s">
        <v>9</v>
      </c>
      <c r="E2410">
        <v>7.0000000000000007E-2</v>
      </c>
      <c r="F2410">
        <v>0.54</v>
      </c>
      <c r="G2410">
        <v>0.22</v>
      </c>
      <c r="H2410" t="s">
        <v>13</v>
      </c>
    </row>
    <row r="2411" spans="1:8" x14ac:dyDescent="0.25">
      <c r="A2411" t="s">
        <v>21</v>
      </c>
      <c r="B2411">
        <v>95311</v>
      </c>
      <c r="C2411">
        <v>28</v>
      </c>
      <c r="D2411" t="s">
        <v>15</v>
      </c>
      <c r="E2411">
        <v>0.91</v>
      </c>
      <c r="F2411">
        <v>0.66</v>
      </c>
      <c r="G2411">
        <v>0.22</v>
      </c>
      <c r="H2411" t="s">
        <v>13</v>
      </c>
    </row>
    <row r="2412" spans="1:8" x14ac:dyDescent="0.25">
      <c r="A2412" t="s">
        <v>25</v>
      </c>
      <c r="B2412">
        <v>145672</v>
      </c>
      <c r="C2412">
        <v>28</v>
      </c>
      <c r="D2412" t="s">
        <v>15</v>
      </c>
      <c r="E2412">
        <v>0.73</v>
      </c>
      <c r="F2412">
        <v>1.46</v>
      </c>
      <c r="G2412">
        <v>0.48</v>
      </c>
      <c r="H2412" t="s">
        <v>17</v>
      </c>
    </row>
    <row r="2413" spans="1:8" x14ac:dyDescent="0.25">
      <c r="A2413" t="s">
        <v>18</v>
      </c>
      <c r="B2413">
        <v>107045</v>
      </c>
      <c r="C2413">
        <v>5</v>
      </c>
      <c r="D2413" t="s">
        <v>28</v>
      </c>
      <c r="E2413">
        <v>0.17</v>
      </c>
      <c r="F2413">
        <v>1.3</v>
      </c>
      <c r="G2413">
        <v>0.4</v>
      </c>
      <c r="H2413" t="s">
        <v>17</v>
      </c>
    </row>
    <row r="2414" spans="1:8" x14ac:dyDescent="0.25">
      <c r="A2414" t="s">
        <v>25</v>
      </c>
      <c r="B2414">
        <v>68211</v>
      </c>
      <c r="C2414">
        <v>4</v>
      </c>
      <c r="D2414" t="s">
        <v>12</v>
      </c>
      <c r="E2414">
        <v>0.2</v>
      </c>
      <c r="F2414">
        <v>0.91</v>
      </c>
      <c r="G2414">
        <v>0.52</v>
      </c>
      <c r="H2414" t="s">
        <v>17</v>
      </c>
    </row>
    <row r="2415" spans="1:8" x14ac:dyDescent="0.25">
      <c r="A2415" t="s">
        <v>22</v>
      </c>
      <c r="B2415">
        <v>58454</v>
      </c>
      <c r="C2415">
        <v>29</v>
      </c>
      <c r="D2415" t="s">
        <v>12</v>
      </c>
      <c r="E2415">
        <v>0.52</v>
      </c>
      <c r="F2415">
        <v>0.63</v>
      </c>
      <c r="G2415">
        <v>0.35</v>
      </c>
      <c r="H2415" t="s">
        <v>17</v>
      </c>
    </row>
    <row r="2416" spans="1:8" x14ac:dyDescent="0.25">
      <c r="A2416" t="s">
        <v>18</v>
      </c>
      <c r="B2416">
        <v>97855</v>
      </c>
      <c r="C2416">
        <v>3</v>
      </c>
      <c r="D2416" t="s">
        <v>9</v>
      </c>
      <c r="E2416">
        <v>0.19</v>
      </c>
      <c r="F2416">
        <v>0.5</v>
      </c>
      <c r="G2416">
        <v>0.34</v>
      </c>
      <c r="H2416" t="s">
        <v>17</v>
      </c>
    </row>
    <row r="2417" spans="1:8" x14ac:dyDescent="0.25">
      <c r="A2417" t="s">
        <v>14</v>
      </c>
      <c r="B2417">
        <v>127891</v>
      </c>
      <c r="C2417">
        <v>23</v>
      </c>
      <c r="D2417" t="s">
        <v>12</v>
      </c>
      <c r="E2417">
        <v>1</v>
      </c>
      <c r="F2417">
        <v>0.51</v>
      </c>
      <c r="G2417">
        <v>0.74</v>
      </c>
      <c r="H2417" t="s">
        <v>10</v>
      </c>
    </row>
    <row r="2418" spans="1:8" x14ac:dyDescent="0.25">
      <c r="A2418" t="s">
        <v>24</v>
      </c>
      <c r="B2418">
        <v>120094</v>
      </c>
      <c r="C2418">
        <v>25</v>
      </c>
      <c r="D2418" t="s">
        <v>12</v>
      </c>
      <c r="E2418">
        <v>0.66</v>
      </c>
      <c r="F2418">
        <v>1.07</v>
      </c>
      <c r="G2418">
        <v>0.69</v>
      </c>
      <c r="H2418" t="s">
        <v>17</v>
      </c>
    </row>
    <row r="2419" spans="1:8" x14ac:dyDescent="0.25">
      <c r="A2419" t="s">
        <v>14</v>
      </c>
      <c r="B2419">
        <v>130621</v>
      </c>
      <c r="C2419">
        <v>21</v>
      </c>
      <c r="D2419" t="s">
        <v>15</v>
      </c>
      <c r="E2419">
        <v>0</v>
      </c>
      <c r="F2419">
        <v>1.31</v>
      </c>
      <c r="G2419">
        <v>0.74</v>
      </c>
      <c r="H2419" t="s">
        <v>10</v>
      </c>
    </row>
    <row r="2420" spans="1:8" x14ac:dyDescent="0.25">
      <c r="A2420" t="s">
        <v>20</v>
      </c>
      <c r="B2420">
        <v>141579</v>
      </c>
      <c r="C2420">
        <v>13</v>
      </c>
      <c r="D2420" t="s">
        <v>12</v>
      </c>
      <c r="E2420">
        <v>0.8</v>
      </c>
      <c r="F2420">
        <v>0.87</v>
      </c>
      <c r="G2420">
        <v>0.36</v>
      </c>
      <c r="H2420" t="s">
        <v>17</v>
      </c>
    </row>
    <row r="2421" spans="1:8" x14ac:dyDescent="0.25">
      <c r="A2421" t="s">
        <v>29</v>
      </c>
      <c r="B2421">
        <v>64907</v>
      </c>
      <c r="C2421">
        <v>10</v>
      </c>
      <c r="D2421" t="s">
        <v>12</v>
      </c>
      <c r="E2421">
        <v>0.79</v>
      </c>
      <c r="F2421">
        <v>0.87</v>
      </c>
      <c r="G2421">
        <v>0.88</v>
      </c>
      <c r="H2421" t="s">
        <v>10</v>
      </c>
    </row>
    <row r="2422" spans="1:8" x14ac:dyDescent="0.25">
      <c r="A2422" t="s">
        <v>33</v>
      </c>
      <c r="B2422">
        <v>147754</v>
      </c>
      <c r="C2422">
        <v>11</v>
      </c>
      <c r="D2422" t="s">
        <v>28</v>
      </c>
      <c r="E2422">
        <v>0.72</v>
      </c>
      <c r="F2422">
        <v>0.53</v>
      </c>
      <c r="G2422">
        <v>0.24</v>
      </c>
      <c r="H2422" t="s">
        <v>13</v>
      </c>
    </row>
    <row r="2423" spans="1:8" x14ac:dyDescent="0.25">
      <c r="A2423" t="s">
        <v>33</v>
      </c>
      <c r="B2423">
        <v>61937</v>
      </c>
      <c r="C2423">
        <v>1</v>
      </c>
      <c r="D2423" t="s">
        <v>15</v>
      </c>
      <c r="E2423">
        <v>0.54</v>
      </c>
      <c r="F2423">
        <v>0.87</v>
      </c>
      <c r="G2423">
        <v>0.27</v>
      </c>
      <c r="H2423" t="s">
        <v>13</v>
      </c>
    </row>
    <row r="2424" spans="1:8" x14ac:dyDescent="0.25">
      <c r="A2424" t="s">
        <v>26</v>
      </c>
      <c r="B2424">
        <v>41593</v>
      </c>
      <c r="C2424">
        <v>25</v>
      </c>
      <c r="D2424" t="s">
        <v>28</v>
      </c>
      <c r="E2424">
        <v>0.49</v>
      </c>
      <c r="F2424">
        <v>0.7</v>
      </c>
      <c r="G2424">
        <v>0.64</v>
      </c>
      <c r="H2424" t="s">
        <v>17</v>
      </c>
    </row>
    <row r="2425" spans="1:8" x14ac:dyDescent="0.25">
      <c r="A2425" t="s">
        <v>11</v>
      </c>
      <c r="B2425">
        <v>75337</v>
      </c>
      <c r="C2425">
        <v>2</v>
      </c>
      <c r="D2425" t="s">
        <v>9</v>
      </c>
      <c r="E2425">
        <v>0.23</v>
      </c>
      <c r="F2425">
        <v>0.85</v>
      </c>
      <c r="G2425">
        <v>0.18</v>
      </c>
      <c r="H2425" t="s">
        <v>13</v>
      </c>
    </row>
    <row r="2426" spans="1:8" x14ac:dyDescent="0.25">
      <c r="A2426" t="s">
        <v>20</v>
      </c>
      <c r="B2426">
        <v>147553</v>
      </c>
      <c r="C2426">
        <v>19</v>
      </c>
      <c r="D2426" t="s">
        <v>15</v>
      </c>
      <c r="E2426">
        <v>0.23</v>
      </c>
      <c r="F2426">
        <v>1.26</v>
      </c>
      <c r="G2426">
        <v>0.51</v>
      </c>
      <c r="H2426" t="s">
        <v>17</v>
      </c>
    </row>
    <row r="2427" spans="1:8" x14ac:dyDescent="0.25">
      <c r="A2427" t="s">
        <v>24</v>
      </c>
      <c r="B2427">
        <v>69114</v>
      </c>
      <c r="C2427">
        <v>24</v>
      </c>
      <c r="D2427" t="s">
        <v>9</v>
      </c>
      <c r="E2427">
        <v>0.81</v>
      </c>
      <c r="F2427">
        <v>1.4</v>
      </c>
      <c r="G2427">
        <v>0.4</v>
      </c>
      <c r="H2427" t="s">
        <v>17</v>
      </c>
    </row>
    <row r="2428" spans="1:8" x14ac:dyDescent="0.25">
      <c r="A2428" t="s">
        <v>32</v>
      </c>
      <c r="B2428">
        <v>142467</v>
      </c>
      <c r="C2428">
        <v>3</v>
      </c>
      <c r="D2428" t="s">
        <v>9</v>
      </c>
      <c r="E2428">
        <v>0.61</v>
      </c>
      <c r="F2428">
        <v>0.65</v>
      </c>
      <c r="G2428">
        <v>0.35</v>
      </c>
      <c r="H2428" t="s">
        <v>17</v>
      </c>
    </row>
    <row r="2429" spans="1:8" x14ac:dyDescent="0.25">
      <c r="A2429" t="s">
        <v>31</v>
      </c>
      <c r="B2429">
        <v>95410</v>
      </c>
      <c r="C2429">
        <v>0</v>
      </c>
      <c r="D2429" t="s">
        <v>15</v>
      </c>
      <c r="E2429">
        <v>0.49</v>
      </c>
      <c r="F2429">
        <v>1.23</v>
      </c>
      <c r="G2429">
        <v>0.82</v>
      </c>
      <c r="H2429" t="s">
        <v>10</v>
      </c>
    </row>
    <row r="2430" spans="1:8" x14ac:dyDescent="0.25">
      <c r="A2430" t="s">
        <v>33</v>
      </c>
      <c r="B2430">
        <v>44802</v>
      </c>
      <c r="C2430">
        <v>16</v>
      </c>
      <c r="D2430" t="s">
        <v>12</v>
      </c>
      <c r="E2430">
        <v>0.59</v>
      </c>
      <c r="F2430">
        <v>1.25</v>
      </c>
      <c r="G2430">
        <v>0.13</v>
      </c>
      <c r="H2430" t="s">
        <v>13</v>
      </c>
    </row>
    <row r="2431" spans="1:8" x14ac:dyDescent="0.25">
      <c r="A2431" t="s">
        <v>34</v>
      </c>
      <c r="B2431">
        <v>62611</v>
      </c>
      <c r="C2431">
        <v>3</v>
      </c>
      <c r="D2431" t="s">
        <v>12</v>
      </c>
      <c r="E2431">
        <v>0.93</v>
      </c>
      <c r="F2431">
        <v>0.93</v>
      </c>
      <c r="G2431">
        <v>0.66</v>
      </c>
      <c r="H2431" t="s">
        <v>17</v>
      </c>
    </row>
    <row r="2432" spans="1:8" x14ac:dyDescent="0.25">
      <c r="A2432" t="s">
        <v>14</v>
      </c>
      <c r="B2432">
        <v>58419</v>
      </c>
      <c r="C2432">
        <v>26</v>
      </c>
      <c r="D2432" t="s">
        <v>12</v>
      </c>
      <c r="E2432">
        <v>0.03</v>
      </c>
      <c r="F2432">
        <v>0.87</v>
      </c>
      <c r="G2432">
        <v>0.71</v>
      </c>
      <c r="H2432" t="s">
        <v>10</v>
      </c>
    </row>
    <row r="2433" spans="1:8" x14ac:dyDescent="0.25">
      <c r="A2433" t="s">
        <v>18</v>
      </c>
      <c r="B2433">
        <v>74852</v>
      </c>
      <c r="C2433">
        <v>28</v>
      </c>
      <c r="D2433" t="s">
        <v>28</v>
      </c>
      <c r="E2433">
        <v>0.14000000000000001</v>
      </c>
      <c r="F2433">
        <v>1.3</v>
      </c>
      <c r="G2433">
        <v>0.48</v>
      </c>
      <c r="H2433" t="s">
        <v>17</v>
      </c>
    </row>
    <row r="2434" spans="1:8" x14ac:dyDescent="0.25">
      <c r="A2434" t="s">
        <v>24</v>
      </c>
      <c r="B2434">
        <v>125640</v>
      </c>
      <c r="C2434">
        <v>2</v>
      </c>
      <c r="D2434" t="s">
        <v>15</v>
      </c>
      <c r="E2434">
        <v>0.28999999999999998</v>
      </c>
      <c r="F2434">
        <v>0.89</v>
      </c>
      <c r="G2434">
        <v>0.5</v>
      </c>
      <c r="H2434" t="s">
        <v>17</v>
      </c>
    </row>
    <row r="2435" spans="1:8" x14ac:dyDescent="0.25">
      <c r="A2435" t="s">
        <v>8</v>
      </c>
      <c r="B2435">
        <v>112654</v>
      </c>
      <c r="C2435">
        <v>15</v>
      </c>
      <c r="D2435" t="s">
        <v>15</v>
      </c>
      <c r="E2435">
        <v>0.82</v>
      </c>
      <c r="F2435">
        <v>0.75</v>
      </c>
      <c r="G2435">
        <v>0.74</v>
      </c>
      <c r="H2435" t="s">
        <v>10</v>
      </c>
    </row>
    <row r="2436" spans="1:8" x14ac:dyDescent="0.25">
      <c r="A2436" t="s">
        <v>23</v>
      </c>
      <c r="B2436">
        <v>57476</v>
      </c>
      <c r="C2436">
        <v>5</v>
      </c>
      <c r="D2436" t="s">
        <v>12</v>
      </c>
      <c r="E2436">
        <v>0.13</v>
      </c>
      <c r="F2436">
        <v>1.01</v>
      </c>
      <c r="G2436">
        <v>0.76</v>
      </c>
      <c r="H2436" t="s">
        <v>10</v>
      </c>
    </row>
    <row r="2437" spans="1:8" x14ac:dyDescent="0.25">
      <c r="A2437" t="s">
        <v>20</v>
      </c>
      <c r="B2437">
        <v>109398</v>
      </c>
      <c r="C2437">
        <v>18</v>
      </c>
      <c r="D2437" t="s">
        <v>12</v>
      </c>
      <c r="E2437">
        <v>0.57999999999999996</v>
      </c>
      <c r="F2437">
        <v>0.77</v>
      </c>
      <c r="G2437">
        <v>0.33</v>
      </c>
      <c r="H2437" t="s">
        <v>17</v>
      </c>
    </row>
    <row r="2438" spans="1:8" x14ac:dyDescent="0.25">
      <c r="A2438" t="s">
        <v>31</v>
      </c>
      <c r="B2438">
        <v>139240</v>
      </c>
      <c r="C2438">
        <v>10</v>
      </c>
      <c r="D2438" t="s">
        <v>12</v>
      </c>
      <c r="E2438">
        <v>0.68</v>
      </c>
      <c r="F2438">
        <v>0.85</v>
      </c>
      <c r="G2438">
        <v>0.92</v>
      </c>
      <c r="H2438" t="s">
        <v>10</v>
      </c>
    </row>
    <row r="2439" spans="1:8" x14ac:dyDescent="0.25">
      <c r="A2439" t="s">
        <v>26</v>
      </c>
      <c r="B2439">
        <v>143089</v>
      </c>
      <c r="C2439">
        <v>15</v>
      </c>
      <c r="D2439" t="s">
        <v>28</v>
      </c>
      <c r="E2439">
        <v>0.68</v>
      </c>
      <c r="F2439">
        <v>0.57999999999999996</v>
      </c>
      <c r="G2439">
        <v>0.47</v>
      </c>
      <c r="H2439" t="s">
        <v>17</v>
      </c>
    </row>
    <row r="2440" spans="1:8" x14ac:dyDescent="0.25">
      <c r="A2440" t="s">
        <v>26</v>
      </c>
      <c r="B2440">
        <v>145632</v>
      </c>
      <c r="C2440">
        <v>18</v>
      </c>
      <c r="D2440" t="s">
        <v>12</v>
      </c>
      <c r="E2440">
        <v>0</v>
      </c>
      <c r="F2440">
        <v>1.21</v>
      </c>
      <c r="G2440">
        <v>0.59</v>
      </c>
      <c r="H2440" t="s">
        <v>17</v>
      </c>
    </row>
    <row r="2441" spans="1:8" x14ac:dyDescent="0.25">
      <c r="A2441" t="s">
        <v>30</v>
      </c>
      <c r="B2441">
        <v>104657</v>
      </c>
      <c r="C2441">
        <v>5</v>
      </c>
      <c r="D2441" t="s">
        <v>9</v>
      </c>
      <c r="E2441">
        <v>0.63</v>
      </c>
      <c r="F2441">
        <v>0.67</v>
      </c>
      <c r="G2441">
        <v>0.27</v>
      </c>
      <c r="H2441" t="s">
        <v>13</v>
      </c>
    </row>
    <row r="2442" spans="1:8" x14ac:dyDescent="0.25">
      <c r="A2442" t="s">
        <v>18</v>
      </c>
      <c r="B2442">
        <v>44835</v>
      </c>
      <c r="C2442">
        <v>8</v>
      </c>
      <c r="D2442" t="s">
        <v>9</v>
      </c>
      <c r="E2442">
        <v>0.23</v>
      </c>
      <c r="F2442">
        <v>0.98</v>
      </c>
      <c r="G2442">
        <v>0.48</v>
      </c>
      <c r="H2442" t="s">
        <v>17</v>
      </c>
    </row>
    <row r="2443" spans="1:8" x14ac:dyDescent="0.25">
      <c r="A2443" t="s">
        <v>16</v>
      </c>
      <c r="B2443">
        <v>43830</v>
      </c>
      <c r="C2443">
        <v>6</v>
      </c>
      <c r="D2443" t="s">
        <v>28</v>
      </c>
      <c r="E2443">
        <v>0.8</v>
      </c>
      <c r="F2443">
        <v>1.31</v>
      </c>
      <c r="G2443">
        <v>0.47</v>
      </c>
      <c r="H2443" t="s">
        <v>17</v>
      </c>
    </row>
    <row r="2444" spans="1:8" x14ac:dyDescent="0.25">
      <c r="A2444" t="s">
        <v>14</v>
      </c>
      <c r="B2444">
        <v>67293</v>
      </c>
      <c r="C2444">
        <v>25</v>
      </c>
      <c r="D2444" t="s">
        <v>9</v>
      </c>
      <c r="E2444">
        <v>0.01</v>
      </c>
      <c r="F2444">
        <v>0.6</v>
      </c>
      <c r="G2444">
        <v>0.78</v>
      </c>
      <c r="H2444" t="s">
        <v>10</v>
      </c>
    </row>
    <row r="2445" spans="1:8" x14ac:dyDescent="0.25">
      <c r="A2445" t="s">
        <v>19</v>
      </c>
      <c r="B2445">
        <v>68690</v>
      </c>
      <c r="C2445">
        <v>13</v>
      </c>
      <c r="D2445" t="s">
        <v>28</v>
      </c>
      <c r="E2445">
        <v>0.88</v>
      </c>
      <c r="F2445">
        <v>0.6</v>
      </c>
      <c r="G2445">
        <v>0.16</v>
      </c>
      <c r="H2445" t="s">
        <v>13</v>
      </c>
    </row>
    <row r="2446" spans="1:8" x14ac:dyDescent="0.25">
      <c r="A2446" t="s">
        <v>19</v>
      </c>
      <c r="B2446">
        <v>45234</v>
      </c>
      <c r="C2446">
        <v>1</v>
      </c>
      <c r="D2446" t="s">
        <v>9</v>
      </c>
      <c r="E2446">
        <v>0.4</v>
      </c>
      <c r="F2446">
        <v>0.9</v>
      </c>
      <c r="G2446">
        <v>0.24</v>
      </c>
      <c r="H2446" t="s">
        <v>13</v>
      </c>
    </row>
    <row r="2447" spans="1:8" x14ac:dyDescent="0.25">
      <c r="A2447" t="s">
        <v>18</v>
      </c>
      <c r="B2447">
        <v>120052</v>
      </c>
      <c r="C2447">
        <v>3</v>
      </c>
      <c r="D2447" t="s">
        <v>28</v>
      </c>
      <c r="E2447">
        <v>0.39</v>
      </c>
      <c r="F2447">
        <v>0.76</v>
      </c>
      <c r="G2447">
        <v>0.66</v>
      </c>
      <c r="H2447" t="s">
        <v>17</v>
      </c>
    </row>
    <row r="2448" spans="1:8" x14ac:dyDescent="0.25">
      <c r="A2448" t="s">
        <v>26</v>
      </c>
      <c r="B2448">
        <v>40270</v>
      </c>
      <c r="C2448">
        <v>19</v>
      </c>
      <c r="D2448" t="s">
        <v>15</v>
      </c>
      <c r="E2448">
        <v>0.51</v>
      </c>
      <c r="F2448">
        <v>0.99</v>
      </c>
      <c r="G2448">
        <v>0.62</v>
      </c>
      <c r="H2448" t="s">
        <v>17</v>
      </c>
    </row>
    <row r="2449" spans="1:8" x14ac:dyDescent="0.25">
      <c r="A2449" t="s">
        <v>27</v>
      </c>
      <c r="B2449">
        <v>52562</v>
      </c>
      <c r="C2449">
        <v>3</v>
      </c>
      <c r="D2449" t="s">
        <v>12</v>
      </c>
      <c r="E2449">
        <v>0.41</v>
      </c>
      <c r="F2449">
        <v>0.64</v>
      </c>
      <c r="G2449">
        <v>0.55000000000000004</v>
      </c>
      <c r="H2449" t="s">
        <v>17</v>
      </c>
    </row>
    <row r="2450" spans="1:8" x14ac:dyDescent="0.25">
      <c r="A2450" t="s">
        <v>18</v>
      </c>
      <c r="B2450">
        <v>52065</v>
      </c>
      <c r="C2450">
        <v>27</v>
      </c>
      <c r="D2450" t="s">
        <v>28</v>
      </c>
      <c r="E2450">
        <v>0.86</v>
      </c>
      <c r="F2450">
        <v>1</v>
      </c>
      <c r="G2450">
        <v>0.41</v>
      </c>
      <c r="H2450" t="s">
        <v>17</v>
      </c>
    </row>
    <row r="2451" spans="1:8" x14ac:dyDescent="0.25">
      <c r="A2451" t="s">
        <v>25</v>
      </c>
      <c r="B2451">
        <v>66183</v>
      </c>
      <c r="C2451">
        <v>0</v>
      </c>
      <c r="D2451" t="s">
        <v>15</v>
      </c>
      <c r="E2451">
        <v>0.22</v>
      </c>
      <c r="F2451">
        <v>1.1499999999999999</v>
      </c>
      <c r="G2451">
        <v>0.32</v>
      </c>
      <c r="H2451" t="s">
        <v>17</v>
      </c>
    </row>
    <row r="2452" spans="1:8" x14ac:dyDescent="0.25">
      <c r="A2452" t="s">
        <v>22</v>
      </c>
      <c r="B2452">
        <v>67098</v>
      </c>
      <c r="C2452">
        <v>17</v>
      </c>
      <c r="D2452" t="s">
        <v>9</v>
      </c>
      <c r="E2452">
        <v>0.48</v>
      </c>
      <c r="F2452">
        <v>0.91</v>
      </c>
      <c r="G2452">
        <v>0.49</v>
      </c>
      <c r="H2452" t="s">
        <v>17</v>
      </c>
    </row>
    <row r="2453" spans="1:8" x14ac:dyDescent="0.25">
      <c r="A2453" t="s">
        <v>14</v>
      </c>
      <c r="B2453">
        <v>74143</v>
      </c>
      <c r="C2453">
        <v>7</v>
      </c>
      <c r="D2453" t="s">
        <v>15</v>
      </c>
      <c r="E2453">
        <v>0.57999999999999996</v>
      </c>
      <c r="F2453">
        <v>1.42</v>
      </c>
      <c r="G2453">
        <v>0.9</v>
      </c>
      <c r="H2453" t="s">
        <v>10</v>
      </c>
    </row>
    <row r="2454" spans="1:8" x14ac:dyDescent="0.25">
      <c r="A2454" t="s">
        <v>19</v>
      </c>
      <c r="B2454">
        <v>149245</v>
      </c>
      <c r="C2454">
        <v>11</v>
      </c>
      <c r="D2454" t="s">
        <v>9</v>
      </c>
      <c r="E2454">
        <v>0.21</v>
      </c>
      <c r="F2454">
        <v>1.3</v>
      </c>
      <c r="G2454">
        <v>0.16</v>
      </c>
      <c r="H2454" t="s">
        <v>13</v>
      </c>
    </row>
    <row r="2455" spans="1:8" x14ac:dyDescent="0.25">
      <c r="A2455" t="s">
        <v>8</v>
      </c>
      <c r="B2455">
        <v>112802</v>
      </c>
      <c r="C2455">
        <v>7</v>
      </c>
      <c r="D2455" t="s">
        <v>28</v>
      </c>
      <c r="E2455">
        <v>0.96</v>
      </c>
      <c r="F2455">
        <v>0.88</v>
      </c>
      <c r="G2455">
        <v>0.75</v>
      </c>
      <c r="H2455" t="s">
        <v>10</v>
      </c>
    </row>
    <row r="2456" spans="1:8" x14ac:dyDescent="0.25">
      <c r="A2456" t="s">
        <v>21</v>
      </c>
      <c r="B2456">
        <v>76611</v>
      </c>
      <c r="C2456">
        <v>8</v>
      </c>
      <c r="D2456" t="s">
        <v>15</v>
      </c>
      <c r="E2456">
        <v>0.48</v>
      </c>
      <c r="F2456">
        <v>1.43</v>
      </c>
      <c r="G2456">
        <v>0.1</v>
      </c>
      <c r="H2456" t="s">
        <v>13</v>
      </c>
    </row>
    <row r="2457" spans="1:8" x14ac:dyDescent="0.25">
      <c r="A2457" t="s">
        <v>21</v>
      </c>
      <c r="B2457">
        <v>48609</v>
      </c>
      <c r="C2457">
        <v>0</v>
      </c>
      <c r="D2457" t="s">
        <v>12</v>
      </c>
      <c r="E2457">
        <v>0.45</v>
      </c>
      <c r="F2457">
        <v>0.69</v>
      </c>
      <c r="G2457">
        <v>0.12</v>
      </c>
      <c r="H2457" t="s">
        <v>13</v>
      </c>
    </row>
    <row r="2458" spans="1:8" x14ac:dyDescent="0.25">
      <c r="A2458" t="s">
        <v>18</v>
      </c>
      <c r="B2458">
        <v>138629</v>
      </c>
      <c r="C2458">
        <v>15</v>
      </c>
      <c r="D2458" t="s">
        <v>12</v>
      </c>
      <c r="E2458">
        <v>0.37</v>
      </c>
      <c r="F2458">
        <v>0.81</v>
      </c>
      <c r="G2458">
        <v>0.36</v>
      </c>
      <c r="H2458" t="s">
        <v>17</v>
      </c>
    </row>
    <row r="2459" spans="1:8" x14ac:dyDescent="0.25">
      <c r="A2459" t="s">
        <v>18</v>
      </c>
      <c r="B2459">
        <v>53481</v>
      </c>
      <c r="C2459">
        <v>4</v>
      </c>
      <c r="D2459" t="s">
        <v>28</v>
      </c>
      <c r="E2459">
        <v>0.2</v>
      </c>
      <c r="F2459">
        <v>0.7</v>
      </c>
      <c r="G2459">
        <v>0.35</v>
      </c>
      <c r="H2459" t="s">
        <v>17</v>
      </c>
    </row>
    <row r="2460" spans="1:8" x14ac:dyDescent="0.25">
      <c r="A2460" t="s">
        <v>24</v>
      </c>
      <c r="B2460">
        <v>60412</v>
      </c>
      <c r="C2460">
        <v>17</v>
      </c>
      <c r="D2460" t="s">
        <v>9</v>
      </c>
      <c r="E2460">
        <v>0.11</v>
      </c>
      <c r="F2460">
        <v>1.18</v>
      </c>
      <c r="G2460">
        <v>0.35</v>
      </c>
      <c r="H2460" t="s">
        <v>17</v>
      </c>
    </row>
    <row r="2461" spans="1:8" x14ac:dyDescent="0.25">
      <c r="A2461" t="s">
        <v>21</v>
      </c>
      <c r="B2461">
        <v>137271</v>
      </c>
      <c r="C2461">
        <v>4</v>
      </c>
      <c r="D2461" t="s">
        <v>12</v>
      </c>
      <c r="E2461">
        <v>0.47</v>
      </c>
      <c r="F2461">
        <v>0.93</v>
      </c>
      <c r="G2461">
        <v>0.25</v>
      </c>
      <c r="H2461" t="s">
        <v>13</v>
      </c>
    </row>
    <row r="2462" spans="1:8" x14ac:dyDescent="0.25">
      <c r="A2462" t="s">
        <v>33</v>
      </c>
      <c r="B2462">
        <v>37612</v>
      </c>
      <c r="C2462">
        <v>16</v>
      </c>
      <c r="D2462" t="s">
        <v>15</v>
      </c>
      <c r="E2462">
        <v>0.04</v>
      </c>
      <c r="F2462">
        <v>1.19</v>
      </c>
      <c r="G2462">
        <v>0.3</v>
      </c>
      <c r="H2462" t="s">
        <v>13</v>
      </c>
    </row>
    <row r="2463" spans="1:8" x14ac:dyDescent="0.25">
      <c r="A2463" t="s">
        <v>24</v>
      </c>
      <c r="B2463">
        <v>87623</v>
      </c>
      <c r="C2463">
        <v>12</v>
      </c>
      <c r="D2463" t="s">
        <v>15</v>
      </c>
      <c r="E2463">
        <v>0.94</v>
      </c>
      <c r="F2463">
        <v>0.72</v>
      </c>
      <c r="G2463">
        <v>0.62</v>
      </c>
      <c r="H2463" t="s">
        <v>17</v>
      </c>
    </row>
    <row r="2464" spans="1:8" x14ac:dyDescent="0.25">
      <c r="A2464" t="s">
        <v>22</v>
      </c>
      <c r="B2464">
        <v>84503</v>
      </c>
      <c r="C2464">
        <v>2</v>
      </c>
      <c r="D2464" t="s">
        <v>28</v>
      </c>
      <c r="E2464">
        <v>0.81</v>
      </c>
      <c r="F2464">
        <v>1.08</v>
      </c>
      <c r="G2464">
        <v>0.56000000000000005</v>
      </c>
      <c r="H2464" t="s">
        <v>17</v>
      </c>
    </row>
    <row r="2465" spans="1:8" x14ac:dyDescent="0.25">
      <c r="A2465" t="s">
        <v>30</v>
      </c>
      <c r="B2465">
        <v>140427</v>
      </c>
      <c r="C2465">
        <v>23</v>
      </c>
      <c r="D2465" t="s">
        <v>12</v>
      </c>
      <c r="E2465">
        <v>0.53</v>
      </c>
      <c r="F2465">
        <v>0.5</v>
      </c>
      <c r="G2465">
        <v>0.25</v>
      </c>
      <c r="H2465" t="s">
        <v>13</v>
      </c>
    </row>
    <row r="2466" spans="1:8" x14ac:dyDescent="0.25">
      <c r="A2466" t="s">
        <v>21</v>
      </c>
      <c r="B2466">
        <v>73281</v>
      </c>
      <c r="C2466">
        <v>15</v>
      </c>
      <c r="D2466" t="s">
        <v>15</v>
      </c>
      <c r="E2466">
        <v>0.1</v>
      </c>
      <c r="F2466">
        <v>0.74</v>
      </c>
      <c r="G2466">
        <v>0.14000000000000001</v>
      </c>
      <c r="H2466" t="s">
        <v>13</v>
      </c>
    </row>
    <row r="2467" spans="1:8" x14ac:dyDescent="0.25">
      <c r="A2467" t="s">
        <v>22</v>
      </c>
      <c r="B2467">
        <v>66492</v>
      </c>
      <c r="C2467">
        <v>3</v>
      </c>
      <c r="D2467" t="s">
        <v>15</v>
      </c>
      <c r="E2467">
        <v>0.01</v>
      </c>
      <c r="F2467">
        <v>0.91</v>
      </c>
      <c r="G2467">
        <v>0.59</v>
      </c>
      <c r="H2467" t="s">
        <v>17</v>
      </c>
    </row>
    <row r="2468" spans="1:8" x14ac:dyDescent="0.25">
      <c r="A2468" t="s">
        <v>26</v>
      </c>
      <c r="B2468">
        <v>52368</v>
      </c>
      <c r="C2468">
        <v>8</v>
      </c>
      <c r="D2468" t="s">
        <v>12</v>
      </c>
      <c r="E2468">
        <v>0.01</v>
      </c>
      <c r="F2468">
        <v>0.76</v>
      </c>
      <c r="G2468">
        <v>0.49</v>
      </c>
      <c r="H2468" t="s">
        <v>17</v>
      </c>
    </row>
    <row r="2469" spans="1:8" x14ac:dyDescent="0.25">
      <c r="A2469" t="s">
        <v>8</v>
      </c>
      <c r="B2469">
        <v>113302</v>
      </c>
      <c r="C2469">
        <v>14</v>
      </c>
      <c r="D2469" t="s">
        <v>9</v>
      </c>
      <c r="E2469">
        <v>0.7</v>
      </c>
      <c r="F2469">
        <v>0.59</v>
      </c>
      <c r="G2469">
        <v>0.9</v>
      </c>
      <c r="H2469" t="s">
        <v>10</v>
      </c>
    </row>
    <row r="2470" spans="1:8" x14ac:dyDescent="0.25">
      <c r="A2470" t="s">
        <v>32</v>
      </c>
      <c r="B2470">
        <v>80901</v>
      </c>
      <c r="C2470">
        <v>17</v>
      </c>
      <c r="D2470" t="s">
        <v>9</v>
      </c>
      <c r="E2470">
        <v>0.77</v>
      </c>
      <c r="F2470">
        <v>0.62</v>
      </c>
      <c r="G2470">
        <v>0.57999999999999996</v>
      </c>
      <c r="H2470" t="s">
        <v>17</v>
      </c>
    </row>
    <row r="2471" spans="1:8" x14ac:dyDescent="0.25">
      <c r="A2471" t="s">
        <v>24</v>
      </c>
      <c r="B2471">
        <v>68197</v>
      </c>
      <c r="C2471">
        <v>23</v>
      </c>
      <c r="D2471" t="s">
        <v>15</v>
      </c>
      <c r="E2471">
        <v>0.87</v>
      </c>
      <c r="F2471">
        <v>0.89</v>
      </c>
      <c r="G2471">
        <v>0.62</v>
      </c>
      <c r="H2471" t="s">
        <v>17</v>
      </c>
    </row>
    <row r="2472" spans="1:8" x14ac:dyDescent="0.25">
      <c r="A2472" t="s">
        <v>21</v>
      </c>
      <c r="B2472">
        <v>101721</v>
      </c>
      <c r="C2472">
        <v>9</v>
      </c>
      <c r="D2472" t="s">
        <v>9</v>
      </c>
      <c r="E2472">
        <v>0.22</v>
      </c>
      <c r="F2472">
        <v>0.91</v>
      </c>
      <c r="G2472">
        <v>0.15</v>
      </c>
      <c r="H2472" t="s">
        <v>13</v>
      </c>
    </row>
    <row r="2473" spans="1:8" x14ac:dyDescent="0.25">
      <c r="A2473" t="s">
        <v>20</v>
      </c>
      <c r="B2473">
        <v>125101</v>
      </c>
      <c r="C2473">
        <v>12</v>
      </c>
      <c r="D2473" t="s">
        <v>28</v>
      </c>
      <c r="E2473">
        <v>0.52</v>
      </c>
      <c r="F2473">
        <v>0.62</v>
      </c>
      <c r="G2473">
        <v>0.39</v>
      </c>
      <c r="H2473" t="s">
        <v>17</v>
      </c>
    </row>
    <row r="2474" spans="1:8" x14ac:dyDescent="0.25">
      <c r="A2474" t="s">
        <v>8</v>
      </c>
      <c r="B2474">
        <v>143605</v>
      </c>
      <c r="C2474">
        <v>3</v>
      </c>
      <c r="D2474" t="s">
        <v>9</v>
      </c>
      <c r="E2474">
        <v>0.13</v>
      </c>
      <c r="F2474">
        <v>0.67</v>
      </c>
      <c r="G2474">
        <v>0.87</v>
      </c>
      <c r="H2474" t="s">
        <v>10</v>
      </c>
    </row>
    <row r="2475" spans="1:8" x14ac:dyDescent="0.25">
      <c r="A2475" t="s">
        <v>18</v>
      </c>
      <c r="B2475">
        <v>124183</v>
      </c>
      <c r="C2475">
        <v>10</v>
      </c>
      <c r="D2475" t="s">
        <v>12</v>
      </c>
      <c r="E2475">
        <v>0.99</v>
      </c>
      <c r="F2475">
        <v>1.23</v>
      </c>
      <c r="G2475">
        <v>0.46</v>
      </c>
      <c r="H2475" t="s">
        <v>17</v>
      </c>
    </row>
    <row r="2476" spans="1:8" x14ac:dyDescent="0.25">
      <c r="A2476" t="s">
        <v>21</v>
      </c>
      <c r="B2476">
        <v>81907</v>
      </c>
      <c r="C2476">
        <v>12</v>
      </c>
      <c r="D2476" t="s">
        <v>9</v>
      </c>
      <c r="E2476">
        <v>0.64</v>
      </c>
      <c r="F2476">
        <v>1.39</v>
      </c>
      <c r="G2476">
        <v>0.28000000000000003</v>
      </c>
      <c r="H2476" t="s">
        <v>13</v>
      </c>
    </row>
    <row r="2477" spans="1:8" x14ac:dyDescent="0.25">
      <c r="A2477" t="s">
        <v>16</v>
      </c>
      <c r="B2477">
        <v>130231</v>
      </c>
      <c r="C2477">
        <v>29</v>
      </c>
      <c r="D2477" t="s">
        <v>15</v>
      </c>
      <c r="E2477">
        <v>0.31</v>
      </c>
      <c r="F2477">
        <v>1.22</v>
      </c>
      <c r="G2477">
        <v>0.38</v>
      </c>
      <c r="H2477" t="s">
        <v>17</v>
      </c>
    </row>
    <row r="2478" spans="1:8" x14ac:dyDescent="0.25">
      <c r="A2478" t="s">
        <v>31</v>
      </c>
      <c r="B2478">
        <v>50893</v>
      </c>
      <c r="C2478">
        <v>6</v>
      </c>
      <c r="D2478" t="s">
        <v>12</v>
      </c>
      <c r="E2478">
        <v>0.36</v>
      </c>
      <c r="F2478">
        <v>1.17</v>
      </c>
      <c r="G2478">
        <v>0.84</v>
      </c>
      <c r="H2478" t="s">
        <v>10</v>
      </c>
    </row>
    <row r="2479" spans="1:8" x14ac:dyDescent="0.25">
      <c r="A2479" t="s">
        <v>11</v>
      </c>
      <c r="B2479">
        <v>34273</v>
      </c>
      <c r="C2479">
        <v>13</v>
      </c>
      <c r="D2479" t="s">
        <v>12</v>
      </c>
      <c r="E2479">
        <v>0.64</v>
      </c>
      <c r="F2479">
        <v>0.88</v>
      </c>
      <c r="G2479">
        <v>0.09</v>
      </c>
      <c r="H2479" t="s">
        <v>13</v>
      </c>
    </row>
    <row r="2480" spans="1:8" x14ac:dyDescent="0.25">
      <c r="A2480" t="s">
        <v>11</v>
      </c>
      <c r="B2480">
        <v>129941</v>
      </c>
      <c r="C2480">
        <v>0</v>
      </c>
      <c r="D2480" t="s">
        <v>12</v>
      </c>
      <c r="E2480">
        <v>0.73</v>
      </c>
      <c r="F2480">
        <v>1.0900000000000001</v>
      </c>
      <c r="G2480">
        <v>0.24</v>
      </c>
      <c r="H2480" t="s">
        <v>13</v>
      </c>
    </row>
    <row r="2481" spans="1:8" x14ac:dyDescent="0.25">
      <c r="A2481" t="s">
        <v>31</v>
      </c>
      <c r="B2481">
        <v>65310</v>
      </c>
      <c r="C2481">
        <v>0</v>
      </c>
      <c r="D2481" t="s">
        <v>15</v>
      </c>
      <c r="E2481">
        <v>0.43</v>
      </c>
      <c r="F2481">
        <v>1.21</v>
      </c>
      <c r="G2481">
        <v>0.8</v>
      </c>
      <c r="H2481" t="s">
        <v>10</v>
      </c>
    </row>
    <row r="2482" spans="1:8" x14ac:dyDescent="0.25">
      <c r="A2482" t="s">
        <v>24</v>
      </c>
      <c r="B2482">
        <v>111301</v>
      </c>
      <c r="C2482">
        <v>15</v>
      </c>
      <c r="D2482" t="s">
        <v>15</v>
      </c>
      <c r="E2482">
        <v>0.47</v>
      </c>
      <c r="F2482">
        <v>1.1299999999999999</v>
      </c>
      <c r="G2482">
        <v>0.56999999999999995</v>
      </c>
      <c r="H2482" t="s">
        <v>17</v>
      </c>
    </row>
    <row r="2483" spans="1:8" x14ac:dyDescent="0.25">
      <c r="A2483" t="s">
        <v>27</v>
      </c>
      <c r="B2483">
        <v>125325</v>
      </c>
      <c r="C2483">
        <v>25</v>
      </c>
      <c r="D2483" t="s">
        <v>12</v>
      </c>
      <c r="E2483">
        <v>0.8</v>
      </c>
      <c r="F2483">
        <v>0.74</v>
      </c>
      <c r="G2483">
        <v>0.5</v>
      </c>
      <c r="H2483" t="s">
        <v>17</v>
      </c>
    </row>
    <row r="2484" spans="1:8" x14ac:dyDescent="0.25">
      <c r="A2484" t="s">
        <v>23</v>
      </c>
      <c r="B2484">
        <v>53070</v>
      </c>
      <c r="C2484">
        <v>20</v>
      </c>
      <c r="D2484" t="s">
        <v>9</v>
      </c>
      <c r="E2484">
        <v>0.68</v>
      </c>
      <c r="F2484">
        <v>1.22</v>
      </c>
      <c r="G2484">
        <v>0.81</v>
      </c>
      <c r="H2484" t="s">
        <v>10</v>
      </c>
    </row>
    <row r="2485" spans="1:8" x14ac:dyDescent="0.25">
      <c r="A2485" t="s">
        <v>21</v>
      </c>
      <c r="B2485">
        <v>137582</v>
      </c>
      <c r="C2485">
        <v>2</v>
      </c>
      <c r="D2485" t="s">
        <v>15</v>
      </c>
      <c r="E2485">
        <v>0.74</v>
      </c>
      <c r="F2485">
        <v>1.24</v>
      </c>
      <c r="G2485">
        <v>0.17</v>
      </c>
      <c r="H2485" t="s">
        <v>13</v>
      </c>
    </row>
    <row r="2486" spans="1:8" x14ac:dyDescent="0.25">
      <c r="A2486" t="s">
        <v>16</v>
      </c>
      <c r="B2486">
        <v>77851</v>
      </c>
      <c r="C2486">
        <v>13</v>
      </c>
      <c r="D2486" t="s">
        <v>9</v>
      </c>
      <c r="E2486">
        <v>0.75</v>
      </c>
      <c r="F2486">
        <v>1.26</v>
      </c>
      <c r="G2486">
        <v>0.65</v>
      </c>
      <c r="H2486" t="s">
        <v>17</v>
      </c>
    </row>
    <row r="2487" spans="1:8" x14ac:dyDescent="0.25">
      <c r="A2487" t="s">
        <v>22</v>
      </c>
      <c r="B2487">
        <v>94690</v>
      </c>
      <c r="C2487">
        <v>17</v>
      </c>
      <c r="D2487" t="s">
        <v>12</v>
      </c>
      <c r="E2487">
        <v>0.22</v>
      </c>
      <c r="F2487">
        <v>1.22</v>
      </c>
      <c r="G2487">
        <v>0.37</v>
      </c>
      <c r="H2487" t="s">
        <v>17</v>
      </c>
    </row>
    <row r="2488" spans="1:8" x14ac:dyDescent="0.25">
      <c r="A2488" t="s">
        <v>34</v>
      </c>
      <c r="B2488">
        <v>106145</v>
      </c>
      <c r="C2488">
        <v>25</v>
      </c>
      <c r="D2488" t="s">
        <v>15</v>
      </c>
      <c r="E2488">
        <v>0.43</v>
      </c>
      <c r="F2488">
        <v>0.96</v>
      </c>
      <c r="G2488">
        <v>0.51</v>
      </c>
      <c r="H2488" t="s">
        <v>17</v>
      </c>
    </row>
    <row r="2489" spans="1:8" x14ac:dyDescent="0.25">
      <c r="A2489" t="s">
        <v>21</v>
      </c>
      <c r="B2489">
        <v>144256</v>
      </c>
      <c r="C2489">
        <v>4</v>
      </c>
      <c r="D2489" t="s">
        <v>12</v>
      </c>
      <c r="E2489">
        <v>0.46</v>
      </c>
      <c r="F2489">
        <v>1.0900000000000001</v>
      </c>
      <c r="G2489">
        <v>0.1</v>
      </c>
      <c r="H2489" t="s">
        <v>13</v>
      </c>
    </row>
    <row r="2490" spans="1:8" x14ac:dyDescent="0.25">
      <c r="A2490" t="s">
        <v>33</v>
      </c>
      <c r="B2490">
        <v>94322</v>
      </c>
      <c r="C2490">
        <v>12</v>
      </c>
      <c r="D2490" t="s">
        <v>28</v>
      </c>
      <c r="E2490">
        <v>0.48</v>
      </c>
      <c r="F2490">
        <v>0.86</v>
      </c>
      <c r="G2490">
        <v>0.28999999999999998</v>
      </c>
      <c r="H2490" t="s">
        <v>13</v>
      </c>
    </row>
    <row r="2491" spans="1:8" x14ac:dyDescent="0.25">
      <c r="A2491" t="s">
        <v>29</v>
      </c>
      <c r="B2491">
        <v>97504</v>
      </c>
      <c r="C2491">
        <v>3</v>
      </c>
      <c r="D2491" t="s">
        <v>28</v>
      </c>
      <c r="E2491">
        <v>0.49</v>
      </c>
      <c r="F2491">
        <v>0.66</v>
      </c>
      <c r="G2491">
        <v>0.87</v>
      </c>
      <c r="H2491" t="s">
        <v>10</v>
      </c>
    </row>
    <row r="2492" spans="1:8" x14ac:dyDescent="0.25">
      <c r="A2492" t="s">
        <v>27</v>
      </c>
      <c r="B2492">
        <v>64897</v>
      </c>
      <c r="C2492">
        <v>11</v>
      </c>
      <c r="D2492" t="s">
        <v>9</v>
      </c>
      <c r="E2492">
        <v>0.91</v>
      </c>
      <c r="F2492">
        <v>0.97</v>
      </c>
      <c r="G2492">
        <v>0.36</v>
      </c>
      <c r="H2492" t="s">
        <v>17</v>
      </c>
    </row>
    <row r="2493" spans="1:8" x14ac:dyDescent="0.25">
      <c r="A2493" t="s">
        <v>25</v>
      </c>
      <c r="B2493">
        <v>53425</v>
      </c>
      <c r="C2493">
        <v>18</v>
      </c>
      <c r="D2493" t="s">
        <v>9</v>
      </c>
      <c r="E2493">
        <v>0.92</v>
      </c>
      <c r="F2493">
        <v>1.17</v>
      </c>
      <c r="G2493">
        <v>0.4</v>
      </c>
      <c r="H2493" t="s">
        <v>17</v>
      </c>
    </row>
    <row r="2494" spans="1:8" x14ac:dyDescent="0.25">
      <c r="A2494" t="s">
        <v>25</v>
      </c>
      <c r="B2494">
        <v>69426</v>
      </c>
      <c r="C2494">
        <v>26</v>
      </c>
      <c r="D2494" t="s">
        <v>12</v>
      </c>
      <c r="E2494">
        <v>0.28000000000000003</v>
      </c>
      <c r="F2494">
        <v>1.1499999999999999</v>
      </c>
      <c r="G2494">
        <v>0.38</v>
      </c>
      <c r="H2494" t="s">
        <v>17</v>
      </c>
    </row>
    <row r="2495" spans="1:8" x14ac:dyDescent="0.25">
      <c r="A2495" t="s">
        <v>25</v>
      </c>
      <c r="B2495">
        <v>69801</v>
      </c>
      <c r="C2495">
        <v>0</v>
      </c>
      <c r="D2495" t="s">
        <v>28</v>
      </c>
      <c r="E2495">
        <v>0.48</v>
      </c>
      <c r="F2495">
        <v>1.22</v>
      </c>
      <c r="G2495">
        <v>0.62</v>
      </c>
      <c r="H2495" t="s">
        <v>17</v>
      </c>
    </row>
    <row r="2496" spans="1:8" x14ac:dyDescent="0.25">
      <c r="A2496" t="s">
        <v>25</v>
      </c>
      <c r="B2496">
        <v>102904</v>
      </c>
      <c r="C2496">
        <v>1</v>
      </c>
      <c r="D2496" t="s">
        <v>15</v>
      </c>
      <c r="E2496">
        <v>0.74</v>
      </c>
      <c r="F2496">
        <v>1.35</v>
      </c>
      <c r="G2496">
        <v>0.34</v>
      </c>
      <c r="H2496" t="s">
        <v>17</v>
      </c>
    </row>
    <row r="2497" spans="1:8" x14ac:dyDescent="0.25">
      <c r="A2497" t="s">
        <v>23</v>
      </c>
      <c r="B2497">
        <v>72020</v>
      </c>
      <c r="C2497">
        <v>6</v>
      </c>
      <c r="D2497" t="s">
        <v>28</v>
      </c>
      <c r="E2497">
        <v>0.54</v>
      </c>
      <c r="F2497">
        <v>1.1499999999999999</v>
      </c>
      <c r="G2497">
        <v>0.77</v>
      </c>
      <c r="H2497" t="s">
        <v>10</v>
      </c>
    </row>
    <row r="2498" spans="1:8" x14ac:dyDescent="0.25">
      <c r="A2498" t="s">
        <v>25</v>
      </c>
      <c r="B2498">
        <v>59362</v>
      </c>
      <c r="C2498">
        <v>18</v>
      </c>
      <c r="D2498" t="s">
        <v>9</v>
      </c>
      <c r="E2498">
        <v>0.27</v>
      </c>
      <c r="F2498">
        <v>0.8</v>
      </c>
      <c r="G2498">
        <v>0.65</v>
      </c>
      <c r="H2498" t="s">
        <v>17</v>
      </c>
    </row>
    <row r="2499" spans="1:8" x14ac:dyDescent="0.25">
      <c r="A2499" t="s">
        <v>8</v>
      </c>
      <c r="B2499">
        <v>113366</v>
      </c>
      <c r="C2499">
        <v>20</v>
      </c>
      <c r="D2499" t="s">
        <v>9</v>
      </c>
      <c r="E2499">
        <v>0.53</v>
      </c>
      <c r="F2499">
        <v>1.4</v>
      </c>
      <c r="G2499">
        <v>0.72</v>
      </c>
      <c r="H2499" t="s">
        <v>10</v>
      </c>
    </row>
    <row r="2500" spans="1:8" x14ac:dyDescent="0.25">
      <c r="A2500" t="s">
        <v>19</v>
      </c>
      <c r="B2500">
        <v>114142</v>
      </c>
      <c r="C2500">
        <v>21</v>
      </c>
      <c r="D2500" t="s">
        <v>12</v>
      </c>
      <c r="E2500">
        <v>0.62</v>
      </c>
      <c r="F2500">
        <v>1.35</v>
      </c>
      <c r="G2500">
        <v>0.11</v>
      </c>
      <c r="H2500" t="s">
        <v>13</v>
      </c>
    </row>
    <row r="2501" spans="1:8" x14ac:dyDescent="0.25">
      <c r="A2501" t="s">
        <v>34</v>
      </c>
      <c r="B2501">
        <v>94197</v>
      </c>
      <c r="C2501">
        <v>3</v>
      </c>
      <c r="D2501" t="s">
        <v>28</v>
      </c>
      <c r="E2501">
        <v>0.24</v>
      </c>
      <c r="F2501">
        <v>1.36</v>
      </c>
      <c r="G2501">
        <v>0.55000000000000004</v>
      </c>
      <c r="H2501" t="s">
        <v>17</v>
      </c>
    </row>
    <row r="2502" spans="1:8" x14ac:dyDescent="0.25">
      <c r="A2502" t="s">
        <v>18</v>
      </c>
      <c r="B2502">
        <v>73518</v>
      </c>
      <c r="C2502">
        <v>2</v>
      </c>
      <c r="D2502" t="s">
        <v>15</v>
      </c>
      <c r="E2502">
        <v>0.21</v>
      </c>
      <c r="F2502">
        <v>0.63</v>
      </c>
      <c r="G2502">
        <v>0.4</v>
      </c>
      <c r="H2502" t="s">
        <v>17</v>
      </c>
    </row>
    <row r="2503" spans="1:8" x14ac:dyDescent="0.25">
      <c r="A2503" t="s">
        <v>20</v>
      </c>
      <c r="B2503">
        <v>138460</v>
      </c>
      <c r="C2503">
        <v>20</v>
      </c>
      <c r="D2503" t="s">
        <v>28</v>
      </c>
      <c r="E2503">
        <v>0.65</v>
      </c>
      <c r="F2503">
        <v>0.99</v>
      </c>
      <c r="G2503">
        <v>0.6</v>
      </c>
      <c r="H2503" t="s">
        <v>17</v>
      </c>
    </row>
    <row r="2504" spans="1:8" x14ac:dyDescent="0.25">
      <c r="A2504" t="s">
        <v>34</v>
      </c>
      <c r="B2504">
        <v>38628</v>
      </c>
      <c r="C2504">
        <v>18</v>
      </c>
      <c r="D2504" t="s">
        <v>12</v>
      </c>
      <c r="E2504">
        <v>0.49</v>
      </c>
      <c r="F2504">
        <v>1.47</v>
      </c>
      <c r="G2504">
        <v>0.62</v>
      </c>
      <c r="H2504" t="s">
        <v>17</v>
      </c>
    </row>
    <row r="2505" spans="1:8" x14ac:dyDescent="0.25">
      <c r="A2505" t="s">
        <v>16</v>
      </c>
      <c r="B2505">
        <v>72353</v>
      </c>
      <c r="C2505">
        <v>14</v>
      </c>
      <c r="D2505" t="s">
        <v>9</v>
      </c>
      <c r="E2505">
        <v>0.44</v>
      </c>
      <c r="F2505">
        <v>1.26</v>
      </c>
      <c r="G2505">
        <v>0.37</v>
      </c>
      <c r="H2505" t="s">
        <v>17</v>
      </c>
    </row>
    <row r="2506" spans="1:8" x14ac:dyDescent="0.25">
      <c r="A2506" t="s">
        <v>25</v>
      </c>
      <c r="B2506">
        <v>47054</v>
      </c>
      <c r="C2506">
        <v>19</v>
      </c>
      <c r="D2506" t="s">
        <v>9</v>
      </c>
      <c r="E2506">
        <v>0.56000000000000005</v>
      </c>
      <c r="F2506">
        <v>1.38</v>
      </c>
      <c r="G2506">
        <v>0.31</v>
      </c>
      <c r="H2506" t="s">
        <v>17</v>
      </c>
    </row>
    <row r="2507" spans="1:8" x14ac:dyDescent="0.25">
      <c r="A2507" t="s">
        <v>26</v>
      </c>
      <c r="B2507">
        <v>73489</v>
      </c>
      <c r="C2507">
        <v>2</v>
      </c>
      <c r="D2507" t="s">
        <v>9</v>
      </c>
      <c r="E2507">
        <v>0.32</v>
      </c>
      <c r="F2507">
        <v>0.93</v>
      </c>
      <c r="G2507">
        <v>0.34</v>
      </c>
      <c r="H2507" t="s">
        <v>17</v>
      </c>
    </row>
    <row r="2508" spans="1:8" x14ac:dyDescent="0.25">
      <c r="A2508" t="s">
        <v>29</v>
      </c>
      <c r="B2508">
        <v>127014</v>
      </c>
      <c r="C2508">
        <v>11</v>
      </c>
      <c r="D2508" t="s">
        <v>9</v>
      </c>
      <c r="E2508">
        <v>0.92</v>
      </c>
      <c r="F2508">
        <v>1.41</v>
      </c>
      <c r="G2508">
        <v>0.7</v>
      </c>
      <c r="H2508" t="s">
        <v>17</v>
      </c>
    </row>
    <row r="2509" spans="1:8" x14ac:dyDescent="0.25">
      <c r="A2509" t="s">
        <v>19</v>
      </c>
      <c r="B2509">
        <v>138569</v>
      </c>
      <c r="C2509">
        <v>22</v>
      </c>
      <c r="D2509" t="s">
        <v>9</v>
      </c>
      <c r="E2509">
        <v>0.74</v>
      </c>
      <c r="F2509">
        <v>1.21</v>
      </c>
      <c r="G2509">
        <v>7.0000000000000007E-2</v>
      </c>
      <c r="H2509" t="s">
        <v>13</v>
      </c>
    </row>
    <row r="2510" spans="1:8" x14ac:dyDescent="0.25">
      <c r="A2510" t="s">
        <v>8</v>
      </c>
      <c r="B2510">
        <v>134371</v>
      </c>
      <c r="C2510">
        <v>6</v>
      </c>
      <c r="D2510" t="s">
        <v>28</v>
      </c>
      <c r="E2510">
        <v>0.69</v>
      </c>
      <c r="F2510">
        <v>1.49</v>
      </c>
      <c r="G2510">
        <v>0.87</v>
      </c>
      <c r="H2510" t="s">
        <v>10</v>
      </c>
    </row>
    <row r="2511" spans="1:8" x14ac:dyDescent="0.25">
      <c r="A2511" t="s">
        <v>20</v>
      </c>
      <c r="B2511">
        <v>77687</v>
      </c>
      <c r="C2511">
        <v>28</v>
      </c>
      <c r="D2511" t="s">
        <v>28</v>
      </c>
      <c r="E2511">
        <v>0.03</v>
      </c>
      <c r="F2511">
        <v>0.72</v>
      </c>
      <c r="G2511">
        <v>0.45</v>
      </c>
      <c r="H2511" t="s">
        <v>17</v>
      </c>
    </row>
    <row r="2512" spans="1:8" x14ac:dyDescent="0.25">
      <c r="A2512" t="s">
        <v>31</v>
      </c>
      <c r="B2512">
        <v>40128</v>
      </c>
      <c r="C2512">
        <v>23</v>
      </c>
      <c r="D2512" t="s">
        <v>9</v>
      </c>
      <c r="E2512">
        <v>0.86</v>
      </c>
      <c r="F2512">
        <v>0.71</v>
      </c>
      <c r="G2512">
        <v>0.86</v>
      </c>
      <c r="H2512" t="s">
        <v>10</v>
      </c>
    </row>
    <row r="2513" spans="1:8" x14ac:dyDescent="0.25">
      <c r="A2513" t="s">
        <v>11</v>
      </c>
      <c r="B2513">
        <v>105505</v>
      </c>
      <c r="C2513">
        <v>12</v>
      </c>
      <c r="D2513" t="s">
        <v>28</v>
      </c>
      <c r="E2513">
        <v>0.47</v>
      </c>
      <c r="F2513">
        <v>0.52</v>
      </c>
      <c r="G2513">
        <v>7.0000000000000007E-2</v>
      </c>
      <c r="H2513" t="s">
        <v>13</v>
      </c>
    </row>
    <row r="2514" spans="1:8" x14ac:dyDescent="0.25">
      <c r="A2514" t="s">
        <v>23</v>
      </c>
      <c r="B2514">
        <v>37109</v>
      </c>
      <c r="C2514">
        <v>19</v>
      </c>
      <c r="D2514" t="s">
        <v>15</v>
      </c>
      <c r="E2514">
        <v>0.05</v>
      </c>
      <c r="F2514">
        <v>1.21</v>
      </c>
      <c r="G2514">
        <v>0.91</v>
      </c>
      <c r="H2514" t="s">
        <v>10</v>
      </c>
    </row>
    <row r="2515" spans="1:8" x14ac:dyDescent="0.25">
      <c r="A2515" t="s">
        <v>18</v>
      </c>
      <c r="B2515">
        <v>97672</v>
      </c>
      <c r="C2515">
        <v>7</v>
      </c>
      <c r="D2515" t="s">
        <v>28</v>
      </c>
      <c r="E2515">
        <v>0.47</v>
      </c>
      <c r="F2515">
        <v>1.0900000000000001</v>
      </c>
      <c r="G2515">
        <v>0.7</v>
      </c>
      <c r="H2515" t="s">
        <v>17</v>
      </c>
    </row>
    <row r="2516" spans="1:8" x14ac:dyDescent="0.25">
      <c r="A2516" t="s">
        <v>20</v>
      </c>
      <c r="B2516">
        <v>149593</v>
      </c>
      <c r="C2516">
        <v>19</v>
      </c>
      <c r="D2516" t="s">
        <v>15</v>
      </c>
      <c r="E2516">
        <v>0.3</v>
      </c>
      <c r="F2516">
        <v>1.24</v>
      </c>
      <c r="G2516">
        <v>0.52</v>
      </c>
      <c r="H2516" t="s">
        <v>17</v>
      </c>
    </row>
    <row r="2517" spans="1:8" x14ac:dyDescent="0.25">
      <c r="A2517" t="s">
        <v>19</v>
      </c>
      <c r="B2517">
        <v>81108</v>
      </c>
      <c r="C2517">
        <v>6</v>
      </c>
      <c r="D2517" t="s">
        <v>9</v>
      </c>
      <c r="E2517">
        <v>0.48</v>
      </c>
      <c r="F2517">
        <v>0.9</v>
      </c>
      <c r="G2517">
        <v>0.17</v>
      </c>
      <c r="H2517" t="s">
        <v>13</v>
      </c>
    </row>
    <row r="2518" spans="1:8" x14ac:dyDescent="0.25">
      <c r="A2518" t="s">
        <v>27</v>
      </c>
      <c r="B2518">
        <v>77197</v>
      </c>
      <c r="C2518">
        <v>3</v>
      </c>
      <c r="D2518" t="s">
        <v>28</v>
      </c>
      <c r="E2518">
        <v>0.83</v>
      </c>
      <c r="F2518">
        <v>1.39</v>
      </c>
      <c r="G2518">
        <v>0.61</v>
      </c>
      <c r="H2518" t="s">
        <v>17</v>
      </c>
    </row>
    <row r="2519" spans="1:8" x14ac:dyDescent="0.25">
      <c r="A2519" t="s">
        <v>23</v>
      </c>
      <c r="B2519">
        <v>113499</v>
      </c>
      <c r="C2519">
        <v>6</v>
      </c>
      <c r="D2519" t="s">
        <v>9</v>
      </c>
      <c r="E2519">
        <v>0.17</v>
      </c>
      <c r="F2519">
        <v>0.93</v>
      </c>
      <c r="G2519">
        <v>0.94</v>
      </c>
      <c r="H2519" t="s">
        <v>10</v>
      </c>
    </row>
    <row r="2520" spans="1:8" x14ac:dyDescent="0.25">
      <c r="A2520" t="s">
        <v>31</v>
      </c>
      <c r="B2520">
        <v>133462</v>
      </c>
      <c r="C2520">
        <v>6</v>
      </c>
      <c r="D2520" t="s">
        <v>9</v>
      </c>
      <c r="E2520">
        <v>0.26</v>
      </c>
      <c r="F2520">
        <v>1.07</v>
      </c>
      <c r="G2520">
        <v>0.87</v>
      </c>
      <c r="H2520" t="s">
        <v>10</v>
      </c>
    </row>
    <row r="2521" spans="1:8" x14ac:dyDescent="0.25">
      <c r="A2521" t="s">
        <v>22</v>
      </c>
      <c r="B2521">
        <v>96393</v>
      </c>
      <c r="C2521">
        <v>13</v>
      </c>
      <c r="D2521" t="s">
        <v>9</v>
      </c>
      <c r="E2521">
        <v>0.49</v>
      </c>
      <c r="F2521">
        <v>1.47</v>
      </c>
      <c r="G2521">
        <v>0.61</v>
      </c>
      <c r="H2521" t="s">
        <v>17</v>
      </c>
    </row>
    <row r="2522" spans="1:8" x14ac:dyDescent="0.25">
      <c r="A2522" t="s">
        <v>14</v>
      </c>
      <c r="B2522">
        <v>99226</v>
      </c>
      <c r="C2522">
        <v>11</v>
      </c>
      <c r="D2522" t="s">
        <v>15</v>
      </c>
      <c r="E2522">
        <v>0.26</v>
      </c>
      <c r="F2522">
        <v>0.76</v>
      </c>
      <c r="G2522">
        <v>0.93</v>
      </c>
      <c r="H2522" t="s">
        <v>10</v>
      </c>
    </row>
    <row r="2523" spans="1:8" x14ac:dyDescent="0.25">
      <c r="A2523" t="s">
        <v>14</v>
      </c>
      <c r="B2523">
        <v>55483</v>
      </c>
      <c r="C2523">
        <v>1</v>
      </c>
      <c r="D2523" t="s">
        <v>28</v>
      </c>
      <c r="E2523">
        <v>0.13</v>
      </c>
      <c r="F2523">
        <v>1.39</v>
      </c>
      <c r="G2523">
        <v>0.88</v>
      </c>
      <c r="H2523" t="s">
        <v>10</v>
      </c>
    </row>
    <row r="2524" spans="1:8" x14ac:dyDescent="0.25">
      <c r="A2524" t="s">
        <v>24</v>
      </c>
      <c r="B2524">
        <v>35499</v>
      </c>
      <c r="C2524">
        <v>27</v>
      </c>
      <c r="D2524" t="s">
        <v>9</v>
      </c>
      <c r="E2524">
        <v>0.27</v>
      </c>
      <c r="F2524">
        <v>0.64</v>
      </c>
      <c r="G2524">
        <v>0.57999999999999996</v>
      </c>
      <c r="H2524" t="s">
        <v>17</v>
      </c>
    </row>
    <row r="2525" spans="1:8" x14ac:dyDescent="0.25">
      <c r="A2525" t="s">
        <v>29</v>
      </c>
      <c r="B2525">
        <v>59737</v>
      </c>
      <c r="C2525">
        <v>15</v>
      </c>
      <c r="D2525" t="s">
        <v>28</v>
      </c>
      <c r="E2525">
        <v>0.92</v>
      </c>
      <c r="F2525">
        <v>0.99</v>
      </c>
      <c r="G2525">
        <v>0.9</v>
      </c>
      <c r="H2525" t="s">
        <v>10</v>
      </c>
    </row>
    <row r="2526" spans="1:8" x14ac:dyDescent="0.25">
      <c r="A2526" t="s">
        <v>29</v>
      </c>
      <c r="B2526">
        <v>40364</v>
      </c>
      <c r="C2526">
        <v>0</v>
      </c>
      <c r="D2526" t="s">
        <v>9</v>
      </c>
      <c r="E2526">
        <v>0.37</v>
      </c>
      <c r="F2526">
        <v>1.3</v>
      </c>
      <c r="G2526">
        <v>0.71</v>
      </c>
      <c r="H2526" t="s">
        <v>10</v>
      </c>
    </row>
    <row r="2527" spans="1:8" x14ac:dyDescent="0.25">
      <c r="A2527" t="s">
        <v>24</v>
      </c>
      <c r="B2527">
        <v>97954</v>
      </c>
      <c r="C2527">
        <v>20</v>
      </c>
      <c r="D2527" t="s">
        <v>9</v>
      </c>
      <c r="E2527">
        <v>0.41</v>
      </c>
      <c r="F2527">
        <v>1.47</v>
      </c>
      <c r="G2527">
        <v>0.48</v>
      </c>
      <c r="H2527" t="s">
        <v>17</v>
      </c>
    </row>
    <row r="2528" spans="1:8" x14ac:dyDescent="0.25">
      <c r="A2528" t="s">
        <v>23</v>
      </c>
      <c r="B2528">
        <v>36534</v>
      </c>
      <c r="C2528">
        <v>24</v>
      </c>
      <c r="D2528" t="s">
        <v>15</v>
      </c>
      <c r="E2528">
        <v>0.8</v>
      </c>
      <c r="F2528">
        <v>0.75</v>
      </c>
      <c r="G2528">
        <v>0.71</v>
      </c>
      <c r="H2528" t="s">
        <v>10</v>
      </c>
    </row>
    <row r="2529" spans="1:8" x14ac:dyDescent="0.25">
      <c r="A2529" t="s">
        <v>11</v>
      </c>
      <c r="B2529">
        <v>85012</v>
      </c>
      <c r="C2529">
        <v>4</v>
      </c>
      <c r="D2529" t="s">
        <v>9</v>
      </c>
      <c r="E2529">
        <v>0.53</v>
      </c>
      <c r="F2529">
        <v>0.63</v>
      </c>
      <c r="G2529">
        <v>0.17</v>
      </c>
      <c r="H2529" t="s">
        <v>13</v>
      </c>
    </row>
    <row r="2530" spans="1:8" x14ac:dyDescent="0.25">
      <c r="A2530" t="s">
        <v>14</v>
      </c>
      <c r="B2530">
        <v>94712</v>
      </c>
      <c r="C2530">
        <v>25</v>
      </c>
      <c r="D2530" t="s">
        <v>15</v>
      </c>
      <c r="E2530">
        <v>0.46</v>
      </c>
      <c r="F2530">
        <v>1.23</v>
      </c>
      <c r="G2530">
        <v>0.8</v>
      </c>
      <c r="H2530" t="s">
        <v>10</v>
      </c>
    </row>
    <row r="2531" spans="1:8" x14ac:dyDescent="0.25">
      <c r="A2531" t="s">
        <v>21</v>
      </c>
      <c r="B2531">
        <v>124580</v>
      </c>
      <c r="C2531">
        <v>12</v>
      </c>
      <c r="D2531" t="s">
        <v>28</v>
      </c>
      <c r="E2531">
        <v>0.69</v>
      </c>
      <c r="F2531">
        <v>1.17</v>
      </c>
      <c r="G2531">
        <v>0.28999999999999998</v>
      </c>
      <c r="H2531" t="s">
        <v>13</v>
      </c>
    </row>
    <row r="2532" spans="1:8" x14ac:dyDescent="0.25">
      <c r="A2532" t="s">
        <v>24</v>
      </c>
      <c r="B2532">
        <v>89151</v>
      </c>
      <c r="C2532">
        <v>8</v>
      </c>
      <c r="D2532" t="s">
        <v>12</v>
      </c>
      <c r="E2532">
        <v>0.08</v>
      </c>
      <c r="F2532">
        <v>0.86</v>
      </c>
      <c r="G2532">
        <v>0.5</v>
      </c>
      <c r="H2532" t="s">
        <v>17</v>
      </c>
    </row>
    <row r="2533" spans="1:8" x14ac:dyDescent="0.25">
      <c r="A2533" t="s">
        <v>26</v>
      </c>
      <c r="B2533">
        <v>100529</v>
      </c>
      <c r="C2533">
        <v>26</v>
      </c>
      <c r="D2533" t="s">
        <v>28</v>
      </c>
      <c r="E2533">
        <v>0.03</v>
      </c>
      <c r="F2533">
        <v>1.0900000000000001</v>
      </c>
      <c r="G2533">
        <v>0.68</v>
      </c>
      <c r="H2533" t="s">
        <v>17</v>
      </c>
    </row>
    <row r="2534" spans="1:8" x14ac:dyDescent="0.25">
      <c r="A2534" t="s">
        <v>29</v>
      </c>
      <c r="B2534">
        <v>127054</v>
      </c>
      <c r="C2534">
        <v>27</v>
      </c>
      <c r="D2534" t="s">
        <v>9</v>
      </c>
      <c r="E2534">
        <v>0.49</v>
      </c>
      <c r="F2534">
        <v>1.43</v>
      </c>
      <c r="G2534">
        <v>0.77</v>
      </c>
      <c r="H2534" t="s">
        <v>10</v>
      </c>
    </row>
    <row r="2535" spans="1:8" x14ac:dyDescent="0.25">
      <c r="A2535" t="s">
        <v>19</v>
      </c>
      <c r="B2535">
        <v>68899</v>
      </c>
      <c r="C2535">
        <v>11</v>
      </c>
      <c r="D2535" t="s">
        <v>28</v>
      </c>
      <c r="E2535">
        <v>0.76</v>
      </c>
      <c r="F2535">
        <v>0.7</v>
      </c>
      <c r="G2535">
        <v>0.28000000000000003</v>
      </c>
      <c r="H2535" t="s">
        <v>13</v>
      </c>
    </row>
    <row r="2536" spans="1:8" x14ac:dyDescent="0.25">
      <c r="A2536" t="s">
        <v>32</v>
      </c>
      <c r="B2536">
        <v>102564</v>
      </c>
      <c r="C2536">
        <v>14</v>
      </c>
      <c r="D2536" t="s">
        <v>15</v>
      </c>
      <c r="E2536">
        <v>0.43</v>
      </c>
      <c r="F2536">
        <v>1.34</v>
      </c>
      <c r="G2536">
        <v>0.64</v>
      </c>
      <c r="H2536" t="s">
        <v>17</v>
      </c>
    </row>
    <row r="2537" spans="1:8" x14ac:dyDescent="0.25">
      <c r="A2537" t="s">
        <v>22</v>
      </c>
      <c r="B2537">
        <v>47928</v>
      </c>
      <c r="C2537">
        <v>17</v>
      </c>
      <c r="D2537" t="s">
        <v>15</v>
      </c>
      <c r="E2537">
        <v>0.78</v>
      </c>
      <c r="F2537">
        <v>0.81</v>
      </c>
      <c r="G2537">
        <v>0.32</v>
      </c>
      <c r="H2537" t="s">
        <v>17</v>
      </c>
    </row>
    <row r="2538" spans="1:8" x14ac:dyDescent="0.25">
      <c r="A2538" t="s">
        <v>8</v>
      </c>
      <c r="B2538">
        <v>48560</v>
      </c>
      <c r="C2538">
        <v>21</v>
      </c>
      <c r="D2538" t="s">
        <v>12</v>
      </c>
      <c r="E2538">
        <v>0.93</v>
      </c>
      <c r="F2538">
        <v>1.39</v>
      </c>
      <c r="G2538">
        <v>0.93</v>
      </c>
      <c r="H2538" t="s">
        <v>10</v>
      </c>
    </row>
    <row r="2539" spans="1:8" x14ac:dyDescent="0.25">
      <c r="A2539" t="s">
        <v>31</v>
      </c>
      <c r="B2539">
        <v>81290</v>
      </c>
      <c r="C2539">
        <v>20</v>
      </c>
      <c r="D2539" t="s">
        <v>12</v>
      </c>
      <c r="E2539">
        <v>0.43</v>
      </c>
      <c r="F2539">
        <v>1.48</v>
      </c>
      <c r="G2539">
        <v>0.78</v>
      </c>
      <c r="H2539" t="s">
        <v>10</v>
      </c>
    </row>
    <row r="2540" spans="1:8" x14ac:dyDescent="0.25">
      <c r="A2540" t="s">
        <v>23</v>
      </c>
      <c r="B2540">
        <v>63897</v>
      </c>
      <c r="C2540">
        <v>4</v>
      </c>
      <c r="D2540" t="s">
        <v>15</v>
      </c>
      <c r="E2540">
        <v>0.03</v>
      </c>
      <c r="F2540">
        <v>1.33</v>
      </c>
      <c r="G2540">
        <v>0.79</v>
      </c>
      <c r="H2540" t="s">
        <v>10</v>
      </c>
    </row>
    <row r="2541" spans="1:8" x14ac:dyDescent="0.25">
      <c r="A2541" t="s">
        <v>16</v>
      </c>
      <c r="B2541">
        <v>124752</v>
      </c>
      <c r="C2541">
        <v>29</v>
      </c>
      <c r="D2541" t="s">
        <v>12</v>
      </c>
      <c r="E2541">
        <v>0.94</v>
      </c>
      <c r="F2541">
        <v>1.06</v>
      </c>
      <c r="G2541">
        <v>0.3</v>
      </c>
      <c r="H2541" t="s">
        <v>13</v>
      </c>
    </row>
    <row r="2542" spans="1:8" x14ac:dyDescent="0.25">
      <c r="A2542" t="s">
        <v>16</v>
      </c>
      <c r="B2542">
        <v>78008</v>
      </c>
      <c r="C2542">
        <v>19</v>
      </c>
      <c r="D2542" t="s">
        <v>28</v>
      </c>
      <c r="E2542">
        <v>0.78</v>
      </c>
      <c r="F2542">
        <v>1.22</v>
      </c>
      <c r="G2542">
        <v>0.52</v>
      </c>
      <c r="H2542" t="s">
        <v>17</v>
      </c>
    </row>
    <row r="2543" spans="1:8" x14ac:dyDescent="0.25">
      <c r="A2543" t="s">
        <v>31</v>
      </c>
      <c r="B2543">
        <v>75018</v>
      </c>
      <c r="C2543">
        <v>16</v>
      </c>
      <c r="D2543" t="s">
        <v>15</v>
      </c>
      <c r="E2543">
        <v>0.55000000000000004</v>
      </c>
      <c r="F2543">
        <v>0.93</v>
      </c>
      <c r="G2543">
        <v>0.83</v>
      </c>
      <c r="H2543" t="s">
        <v>10</v>
      </c>
    </row>
    <row r="2544" spans="1:8" x14ac:dyDescent="0.25">
      <c r="A2544" t="s">
        <v>30</v>
      </c>
      <c r="B2544">
        <v>94407</v>
      </c>
      <c r="C2544">
        <v>11</v>
      </c>
      <c r="D2544" t="s">
        <v>12</v>
      </c>
      <c r="E2544">
        <v>0.13</v>
      </c>
      <c r="F2544">
        <v>1.46</v>
      </c>
      <c r="G2544">
        <v>7.0000000000000007E-2</v>
      </c>
      <c r="H2544" t="s">
        <v>13</v>
      </c>
    </row>
    <row r="2545" spans="1:8" x14ac:dyDescent="0.25">
      <c r="A2545" t="s">
        <v>19</v>
      </c>
      <c r="B2545">
        <v>43096</v>
      </c>
      <c r="C2545">
        <v>26</v>
      </c>
      <c r="D2545" t="s">
        <v>12</v>
      </c>
      <c r="E2545">
        <v>0.63</v>
      </c>
      <c r="F2545">
        <v>0.98</v>
      </c>
      <c r="G2545">
        <v>0.3</v>
      </c>
      <c r="H2545" t="s">
        <v>13</v>
      </c>
    </row>
    <row r="2546" spans="1:8" x14ac:dyDescent="0.25">
      <c r="A2546" t="s">
        <v>11</v>
      </c>
      <c r="B2546">
        <v>65504</v>
      </c>
      <c r="C2546">
        <v>14</v>
      </c>
      <c r="D2546" t="s">
        <v>9</v>
      </c>
      <c r="E2546">
        <v>0.56000000000000005</v>
      </c>
      <c r="F2546">
        <v>1.02</v>
      </c>
      <c r="G2546">
        <v>0.18</v>
      </c>
      <c r="H2546" t="s">
        <v>13</v>
      </c>
    </row>
    <row r="2547" spans="1:8" x14ac:dyDescent="0.25">
      <c r="A2547" t="s">
        <v>25</v>
      </c>
      <c r="B2547">
        <v>115692</v>
      </c>
      <c r="C2547">
        <v>16</v>
      </c>
      <c r="D2547" t="s">
        <v>15</v>
      </c>
      <c r="E2547">
        <v>0.63</v>
      </c>
      <c r="F2547">
        <v>1.01</v>
      </c>
      <c r="G2547">
        <v>0.49</v>
      </c>
      <c r="H2547" t="s">
        <v>17</v>
      </c>
    </row>
    <row r="2548" spans="1:8" x14ac:dyDescent="0.25">
      <c r="A2548" t="s">
        <v>31</v>
      </c>
      <c r="B2548">
        <v>72971</v>
      </c>
      <c r="C2548">
        <v>9</v>
      </c>
      <c r="D2548" t="s">
        <v>15</v>
      </c>
      <c r="E2548">
        <v>0.1</v>
      </c>
      <c r="F2548">
        <v>1.07</v>
      </c>
      <c r="G2548">
        <v>0.8</v>
      </c>
      <c r="H2548" t="s">
        <v>10</v>
      </c>
    </row>
    <row r="2549" spans="1:8" x14ac:dyDescent="0.25">
      <c r="A2549" t="s">
        <v>30</v>
      </c>
      <c r="B2549">
        <v>75456</v>
      </c>
      <c r="C2549">
        <v>27</v>
      </c>
      <c r="D2549" t="s">
        <v>9</v>
      </c>
      <c r="E2549">
        <v>0.88</v>
      </c>
      <c r="F2549">
        <v>1.49</v>
      </c>
      <c r="G2549">
        <v>0.14000000000000001</v>
      </c>
      <c r="H2549" t="s">
        <v>13</v>
      </c>
    </row>
    <row r="2550" spans="1:8" x14ac:dyDescent="0.25">
      <c r="A2550" t="s">
        <v>34</v>
      </c>
      <c r="B2550">
        <v>42929</v>
      </c>
      <c r="C2550">
        <v>12</v>
      </c>
      <c r="D2550" t="s">
        <v>15</v>
      </c>
      <c r="E2550">
        <v>0.79</v>
      </c>
      <c r="F2550">
        <v>1.47</v>
      </c>
      <c r="G2550">
        <v>0.36</v>
      </c>
      <c r="H2550" t="s">
        <v>17</v>
      </c>
    </row>
    <row r="2551" spans="1:8" x14ac:dyDescent="0.25">
      <c r="A2551" t="s">
        <v>22</v>
      </c>
      <c r="B2551">
        <v>87735</v>
      </c>
      <c r="C2551">
        <v>6</v>
      </c>
      <c r="D2551" t="s">
        <v>12</v>
      </c>
      <c r="E2551">
        <v>0.32</v>
      </c>
      <c r="F2551">
        <v>1.48</v>
      </c>
      <c r="G2551">
        <v>0.59</v>
      </c>
      <c r="H2551" t="s">
        <v>17</v>
      </c>
    </row>
    <row r="2552" spans="1:8" x14ac:dyDescent="0.25">
      <c r="A2552" t="s">
        <v>32</v>
      </c>
      <c r="B2552">
        <v>69029</v>
      </c>
      <c r="C2552">
        <v>23</v>
      </c>
      <c r="D2552" t="s">
        <v>15</v>
      </c>
      <c r="E2552">
        <v>0.61</v>
      </c>
      <c r="F2552">
        <v>0.73</v>
      </c>
      <c r="G2552">
        <v>0.6</v>
      </c>
      <c r="H2552" t="s">
        <v>17</v>
      </c>
    </row>
    <row r="2553" spans="1:8" x14ac:dyDescent="0.25">
      <c r="A2553" t="s">
        <v>24</v>
      </c>
      <c r="B2553">
        <v>50387</v>
      </c>
      <c r="C2553">
        <v>18</v>
      </c>
      <c r="D2553" t="s">
        <v>9</v>
      </c>
      <c r="E2553">
        <v>0.2</v>
      </c>
      <c r="F2553">
        <v>1.1299999999999999</v>
      </c>
      <c r="G2553">
        <v>0.63</v>
      </c>
      <c r="H2553" t="s">
        <v>17</v>
      </c>
    </row>
    <row r="2554" spans="1:8" x14ac:dyDescent="0.25">
      <c r="A2554" t="s">
        <v>23</v>
      </c>
      <c r="B2554">
        <v>94918</v>
      </c>
      <c r="C2554">
        <v>29</v>
      </c>
      <c r="D2554" t="s">
        <v>12</v>
      </c>
      <c r="E2554">
        <v>0.93</v>
      </c>
      <c r="F2554">
        <v>0.52</v>
      </c>
      <c r="G2554">
        <v>0.86</v>
      </c>
      <c r="H2554" t="s">
        <v>10</v>
      </c>
    </row>
    <row r="2555" spans="1:8" x14ac:dyDescent="0.25">
      <c r="A2555" t="s">
        <v>27</v>
      </c>
      <c r="B2555">
        <v>56154</v>
      </c>
      <c r="C2555">
        <v>26</v>
      </c>
      <c r="D2555" t="s">
        <v>12</v>
      </c>
      <c r="E2555">
        <v>0.24</v>
      </c>
      <c r="F2555">
        <v>1.18</v>
      </c>
      <c r="G2555">
        <v>0.35</v>
      </c>
      <c r="H2555" t="s">
        <v>17</v>
      </c>
    </row>
    <row r="2556" spans="1:8" x14ac:dyDescent="0.25">
      <c r="A2556" t="s">
        <v>29</v>
      </c>
      <c r="B2556">
        <v>141634</v>
      </c>
      <c r="C2556">
        <v>0</v>
      </c>
      <c r="D2556" t="s">
        <v>12</v>
      </c>
      <c r="E2556">
        <v>0.78</v>
      </c>
      <c r="F2556">
        <v>1.36</v>
      </c>
      <c r="G2556">
        <v>0.7</v>
      </c>
      <c r="H2556" t="s">
        <v>17</v>
      </c>
    </row>
    <row r="2557" spans="1:8" x14ac:dyDescent="0.25">
      <c r="A2557" t="s">
        <v>14</v>
      </c>
      <c r="B2557">
        <v>50377</v>
      </c>
      <c r="C2557">
        <v>0</v>
      </c>
      <c r="D2557" t="s">
        <v>12</v>
      </c>
      <c r="E2557">
        <v>0.94</v>
      </c>
      <c r="F2557">
        <v>1.39</v>
      </c>
      <c r="G2557">
        <v>0.93</v>
      </c>
      <c r="H2557" t="s">
        <v>10</v>
      </c>
    </row>
    <row r="2558" spans="1:8" x14ac:dyDescent="0.25">
      <c r="A2558" t="s">
        <v>25</v>
      </c>
      <c r="B2558">
        <v>74516</v>
      </c>
      <c r="C2558">
        <v>10</v>
      </c>
      <c r="D2558" t="s">
        <v>15</v>
      </c>
      <c r="E2558">
        <v>0.53</v>
      </c>
      <c r="F2558">
        <v>1.25</v>
      </c>
      <c r="G2558">
        <v>0.44</v>
      </c>
      <c r="H2558" t="s">
        <v>17</v>
      </c>
    </row>
    <row r="2559" spans="1:8" x14ac:dyDescent="0.25">
      <c r="A2559" t="s">
        <v>22</v>
      </c>
      <c r="B2559">
        <v>129895</v>
      </c>
      <c r="C2559">
        <v>29</v>
      </c>
      <c r="D2559" t="s">
        <v>15</v>
      </c>
      <c r="E2559">
        <v>0.24</v>
      </c>
      <c r="F2559">
        <v>0.53</v>
      </c>
      <c r="G2559">
        <v>0.59</v>
      </c>
      <c r="H2559" t="s">
        <v>17</v>
      </c>
    </row>
    <row r="2560" spans="1:8" x14ac:dyDescent="0.25">
      <c r="A2560" t="s">
        <v>20</v>
      </c>
      <c r="B2560">
        <v>41329</v>
      </c>
      <c r="C2560">
        <v>24</v>
      </c>
      <c r="D2560" t="s">
        <v>28</v>
      </c>
      <c r="E2560">
        <v>0.33</v>
      </c>
      <c r="F2560">
        <v>0.72</v>
      </c>
      <c r="G2560">
        <v>0.68</v>
      </c>
      <c r="H2560" t="s">
        <v>17</v>
      </c>
    </row>
    <row r="2561" spans="1:8" x14ac:dyDescent="0.25">
      <c r="A2561" t="s">
        <v>31</v>
      </c>
      <c r="B2561">
        <v>40013</v>
      </c>
      <c r="C2561">
        <v>21</v>
      </c>
      <c r="D2561" t="s">
        <v>15</v>
      </c>
      <c r="E2561">
        <v>0.97</v>
      </c>
      <c r="F2561">
        <v>1.1200000000000001</v>
      </c>
      <c r="G2561">
        <v>0.83</v>
      </c>
      <c r="H2561" t="s">
        <v>10</v>
      </c>
    </row>
    <row r="2562" spans="1:8" x14ac:dyDescent="0.25">
      <c r="A2562" t="s">
        <v>18</v>
      </c>
      <c r="B2562">
        <v>120777</v>
      </c>
      <c r="C2562">
        <v>5</v>
      </c>
      <c r="D2562" t="s">
        <v>28</v>
      </c>
      <c r="E2562">
        <v>0.28000000000000003</v>
      </c>
      <c r="F2562">
        <v>1.43</v>
      </c>
      <c r="G2562">
        <v>0.66</v>
      </c>
      <c r="H2562" t="s">
        <v>17</v>
      </c>
    </row>
    <row r="2563" spans="1:8" x14ac:dyDescent="0.25">
      <c r="A2563" t="s">
        <v>27</v>
      </c>
      <c r="B2563">
        <v>107011</v>
      </c>
      <c r="C2563">
        <v>24</v>
      </c>
      <c r="D2563" t="s">
        <v>9</v>
      </c>
      <c r="E2563">
        <v>0.72</v>
      </c>
      <c r="F2563">
        <v>0.86</v>
      </c>
      <c r="G2563">
        <v>0.5</v>
      </c>
      <c r="H2563" t="s">
        <v>17</v>
      </c>
    </row>
    <row r="2564" spans="1:8" x14ac:dyDescent="0.25">
      <c r="A2564" t="s">
        <v>20</v>
      </c>
      <c r="B2564">
        <v>116377</v>
      </c>
      <c r="C2564">
        <v>6</v>
      </c>
      <c r="D2564" t="s">
        <v>12</v>
      </c>
      <c r="E2564">
        <v>0.36</v>
      </c>
      <c r="F2564">
        <v>0.79</v>
      </c>
      <c r="G2564">
        <v>0.54</v>
      </c>
      <c r="H2564" t="s">
        <v>17</v>
      </c>
    </row>
    <row r="2565" spans="1:8" x14ac:dyDescent="0.25">
      <c r="A2565" t="s">
        <v>16</v>
      </c>
      <c r="B2565">
        <v>67630</v>
      </c>
      <c r="C2565">
        <v>25</v>
      </c>
      <c r="D2565" t="s">
        <v>15</v>
      </c>
      <c r="E2565">
        <v>0.78</v>
      </c>
      <c r="F2565">
        <v>1.21</v>
      </c>
      <c r="G2565">
        <v>0.41</v>
      </c>
      <c r="H2565" t="s">
        <v>17</v>
      </c>
    </row>
    <row r="2566" spans="1:8" x14ac:dyDescent="0.25">
      <c r="A2566" t="s">
        <v>30</v>
      </c>
      <c r="B2566">
        <v>96360</v>
      </c>
      <c r="C2566">
        <v>15</v>
      </c>
      <c r="D2566" t="s">
        <v>9</v>
      </c>
      <c r="E2566">
        <v>0.66</v>
      </c>
      <c r="F2566">
        <v>0.8</v>
      </c>
      <c r="G2566">
        <v>7.0000000000000007E-2</v>
      </c>
      <c r="H2566" t="s">
        <v>13</v>
      </c>
    </row>
    <row r="2567" spans="1:8" x14ac:dyDescent="0.25">
      <c r="A2567" t="s">
        <v>33</v>
      </c>
      <c r="B2567">
        <v>103850</v>
      </c>
      <c r="C2567">
        <v>7</v>
      </c>
      <c r="D2567" t="s">
        <v>9</v>
      </c>
      <c r="E2567">
        <v>0.28999999999999998</v>
      </c>
      <c r="F2567">
        <v>0.9</v>
      </c>
      <c r="G2567">
        <v>0.22</v>
      </c>
      <c r="H2567" t="s">
        <v>13</v>
      </c>
    </row>
    <row r="2568" spans="1:8" x14ac:dyDescent="0.25">
      <c r="A2568" t="s">
        <v>19</v>
      </c>
      <c r="B2568">
        <v>117133</v>
      </c>
      <c r="C2568">
        <v>23</v>
      </c>
      <c r="D2568" t="s">
        <v>15</v>
      </c>
      <c r="E2568">
        <v>0.09</v>
      </c>
      <c r="F2568">
        <v>0.61</v>
      </c>
      <c r="G2568">
        <v>0.28999999999999998</v>
      </c>
      <c r="H2568" t="s">
        <v>13</v>
      </c>
    </row>
    <row r="2569" spans="1:8" x14ac:dyDescent="0.25">
      <c r="A2569" t="s">
        <v>33</v>
      </c>
      <c r="B2569">
        <v>125065</v>
      </c>
      <c r="C2569">
        <v>13</v>
      </c>
      <c r="D2569" t="s">
        <v>9</v>
      </c>
      <c r="E2569">
        <v>0.89</v>
      </c>
      <c r="F2569">
        <v>0.5</v>
      </c>
      <c r="G2569">
        <v>0.18</v>
      </c>
      <c r="H2569" t="s">
        <v>13</v>
      </c>
    </row>
    <row r="2570" spans="1:8" x14ac:dyDescent="0.25">
      <c r="A2570" t="s">
        <v>8</v>
      </c>
      <c r="B2570">
        <v>147600</v>
      </c>
      <c r="C2570">
        <v>8</v>
      </c>
      <c r="D2570" t="s">
        <v>9</v>
      </c>
      <c r="E2570">
        <v>0.19</v>
      </c>
      <c r="F2570">
        <v>0.92</v>
      </c>
      <c r="G2570">
        <v>0.82</v>
      </c>
      <c r="H2570" t="s">
        <v>10</v>
      </c>
    </row>
    <row r="2571" spans="1:8" x14ac:dyDescent="0.25">
      <c r="A2571" t="s">
        <v>16</v>
      </c>
      <c r="B2571">
        <v>96333</v>
      </c>
      <c r="C2571">
        <v>15</v>
      </c>
      <c r="D2571" t="s">
        <v>9</v>
      </c>
      <c r="E2571">
        <v>0.82</v>
      </c>
      <c r="F2571">
        <v>0.54</v>
      </c>
      <c r="G2571">
        <v>0.5</v>
      </c>
      <c r="H2571" t="s">
        <v>17</v>
      </c>
    </row>
    <row r="2572" spans="1:8" x14ac:dyDescent="0.25">
      <c r="A2572" t="s">
        <v>20</v>
      </c>
      <c r="B2572">
        <v>126847</v>
      </c>
      <c r="C2572">
        <v>29</v>
      </c>
      <c r="D2572" t="s">
        <v>15</v>
      </c>
      <c r="E2572">
        <v>0.73</v>
      </c>
      <c r="F2572">
        <v>0.95</v>
      </c>
      <c r="G2572">
        <v>0.51</v>
      </c>
      <c r="H2572" t="s">
        <v>17</v>
      </c>
    </row>
    <row r="2573" spans="1:8" x14ac:dyDescent="0.25">
      <c r="A2573" t="s">
        <v>31</v>
      </c>
      <c r="B2573">
        <v>92244</v>
      </c>
      <c r="C2573">
        <v>20</v>
      </c>
      <c r="D2573" t="s">
        <v>12</v>
      </c>
      <c r="E2573">
        <v>0.85</v>
      </c>
      <c r="F2573">
        <v>0.53</v>
      </c>
      <c r="G2573">
        <v>0.75</v>
      </c>
      <c r="H2573" t="s">
        <v>10</v>
      </c>
    </row>
    <row r="2574" spans="1:8" x14ac:dyDescent="0.25">
      <c r="A2574" t="s">
        <v>30</v>
      </c>
      <c r="B2574">
        <v>93810</v>
      </c>
      <c r="C2574">
        <v>28</v>
      </c>
      <c r="D2574" t="s">
        <v>15</v>
      </c>
      <c r="E2574">
        <v>0.5</v>
      </c>
      <c r="F2574">
        <v>0.56999999999999995</v>
      </c>
      <c r="G2574">
        <v>0.15</v>
      </c>
      <c r="H2574" t="s">
        <v>13</v>
      </c>
    </row>
    <row r="2575" spans="1:8" x14ac:dyDescent="0.25">
      <c r="A2575" t="s">
        <v>19</v>
      </c>
      <c r="B2575">
        <v>127211</v>
      </c>
      <c r="C2575">
        <v>12</v>
      </c>
      <c r="D2575" t="s">
        <v>12</v>
      </c>
      <c r="E2575">
        <v>0.62</v>
      </c>
      <c r="F2575">
        <v>0.54</v>
      </c>
      <c r="G2575">
        <v>0.17</v>
      </c>
      <c r="H2575" t="s">
        <v>13</v>
      </c>
    </row>
    <row r="2576" spans="1:8" x14ac:dyDescent="0.25">
      <c r="A2576" t="s">
        <v>20</v>
      </c>
      <c r="B2576">
        <v>35455</v>
      </c>
      <c r="C2576">
        <v>12</v>
      </c>
      <c r="D2576" t="s">
        <v>15</v>
      </c>
      <c r="E2576">
        <v>0.38</v>
      </c>
      <c r="F2576">
        <v>0.64</v>
      </c>
      <c r="G2576">
        <v>0.5</v>
      </c>
      <c r="H2576" t="s">
        <v>17</v>
      </c>
    </row>
    <row r="2577" spans="1:8" x14ac:dyDescent="0.25">
      <c r="A2577" t="s">
        <v>29</v>
      </c>
      <c r="B2577">
        <v>37289</v>
      </c>
      <c r="C2577">
        <v>16</v>
      </c>
      <c r="D2577" t="s">
        <v>9</v>
      </c>
      <c r="E2577">
        <v>0.95</v>
      </c>
      <c r="F2577">
        <v>1.38</v>
      </c>
      <c r="G2577">
        <v>0.73</v>
      </c>
      <c r="H2577" t="s">
        <v>10</v>
      </c>
    </row>
    <row r="2578" spans="1:8" x14ac:dyDescent="0.25">
      <c r="A2578" t="s">
        <v>23</v>
      </c>
      <c r="B2578">
        <v>81428</v>
      </c>
      <c r="C2578">
        <v>5</v>
      </c>
      <c r="D2578" t="s">
        <v>9</v>
      </c>
      <c r="E2578">
        <v>0.56000000000000005</v>
      </c>
      <c r="F2578">
        <v>0.82</v>
      </c>
      <c r="G2578">
        <v>0.82</v>
      </c>
      <c r="H2578" t="s">
        <v>10</v>
      </c>
    </row>
    <row r="2579" spans="1:8" x14ac:dyDescent="0.25">
      <c r="A2579" t="s">
        <v>20</v>
      </c>
      <c r="B2579">
        <v>123890</v>
      </c>
      <c r="C2579">
        <v>22</v>
      </c>
      <c r="D2579" t="s">
        <v>9</v>
      </c>
      <c r="E2579">
        <v>0.16</v>
      </c>
      <c r="F2579">
        <v>1.1000000000000001</v>
      </c>
      <c r="G2579">
        <v>0.4</v>
      </c>
      <c r="H2579" t="s">
        <v>17</v>
      </c>
    </row>
    <row r="2580" spans="1:8" x14ac:dyDescent="0.25">
      <c r="A2580" t="s">
        <v>27</v>
      </c>
      <c r="B2580">
        <v>67422</v>
      </c>
      <c r="C2580">
        <v>2</v>
      </c>
      <c r="D2580" t="s">
        <v>12</v>
      </c>
      <c r="E2580">
        <v>0.47</v>
      </c>
      <c r="F2580">
        <v>1.28</v>
      </c>
      <c r="G2580">
        <v>0.44</v>
      </c>
      <c r="H2580" t="s">
        <v>17</v>
      </c>
    </row>
    <row r="2581" spans="1:8" x14ac:dyDescent="0.25">
      <c r="A2581" t="s">
        <v>18</v>
      </c>
      <c r="B2581">
        <v>62947</v>
      </c>
      <c r="C2581">
        <v>12</v>
      </c>
      <c r="D2581" t="s">
        <v>28</v>
      </c>
      <c r="E2581">
        <v>0.22</v>
      </c>
      <c r="F2581">
        <v>0.72</v>
      </c>
      <c r="G2581">
        <v>0.35</v>
      </c>
      <c r="H2581" t="s">
        <v>17</v>
      </c>
    </row>
    <row r="2582" spans="1:8" x14ac:dyDescent="0.25">
      <c r="A2582" t="s">
        <v>8</v>
      </c>
      <c r="B2582">
        <v>149554</v>
      </c>
      <c r="C2582">
        <v>3</v>
      </c>
      <c r="D2582" t="s">
        <v>15</v>
      </c>
      <c r="E2582">
        <v>0.26</v>
      </c>
      <c r="F2582">
        <v>1.29</v>
      </c>
      <c r="G2582">
        <v>0.93</v>
      </c>
      <c r="H2582" t="s">
        <v>10</v>
      </c>
    </row>
    <row r="2583" spans="1:8" x14ac:dyDescent="0.25">
      <c r="A2583" t="s">
        <v>19</v>
      </c>
      <c r="B2583">
        <v>66497</v>
      </c>
      <c r="C2583">
        <v>8</v>
      </c>
      <c r="D2583" t="s">
        <v>15</v>
      </c>
      <c r="E2583">
        <v>0.15</v>
      </c>
      <c r="F2583">
        <v>0.64</v>
      </c>
      <c r="G2583">
        <v>0.18</v>
      </c>
      <c r="H2583" t="s">
        <v>13</v>
      </c>
    </row>
    <row r="2584" spans="1:8" x14ac:dyDescent="0.25">
      <c r="A2584" t="s">
        <v>16</v>
      </c>
      <c r="B2584">
        <v>91140</v>
      </c>
      <c r="C2584">
        <v>6</v>
      </c>
      <c r="D2584" t="s">
        <v>9</v>
      </c>
      <c r="E2584">
        <v>0.11</v>
      </c>
      <c r="F2584">
        <v>0.55000000000000004</v>
      </c>
      <c r="G2584">
        <v>0.39</v>
      </c>
      <c r="H2584" t="s">
        <v>17</v>
      </c>
    </row>
    <row r="2585" spans="1:8" x14ac:dyDescent="0.25">
      <c r="A2585" t="s">
        <v>27</v>
      </c>
      <c r="B2585">
        <v>147342</v>
      </c>
      <c r="C2585">
        <v>14</v>
      </c>
      <c r="D2585" t="s">
        <v>15</v>
      </c>
      <c r="E2585">
        <v>1</v>
      </c>
      <c r="F2585">
        <v>1.27</v>
      </c>
      <c r="G2585">
        <v>0.63</v>
      </c>
      <c r="H2585" t="s">
        <v>17</v>
      </c>
    </row>
    <row r="2586" spans="1:8" x14ac:dyDescent="0.25">
      <c r="A2586" t="s">
        <v>11</v>
      </c>
      <c r="B2586">
        <v>119647</v>
      </c>
      <c r="C2586">
        <v>23</v>
      </c>
      <c r="D2586" t="s">
        <v>28</v>
      </c>
      <c r="E2586">
        <v>0.28000000000000003</v>
      </c>
      <c r="F2586">
        <v>1.1599999999999999</v>
      </c>
      <c r="G2586">
        <v>0.15</v>
      </c>
      <c r="H2586" t="s">
        <v>13</v>
      </c>
    </row>
    <row r="2587" spans="1:8" x14ac:dyDescent="0.25">
      <c r="A2587" t="s">
        <v>23</v>
      </c>
      <c r="B2587">
        <v>31234</v>
      </c>
      <c r="C2587">
        <v>28</v>
      </c>
      <c r="D2587" t="s">
        <v>15</v>
      </c>
      <c r="E2587">
        <v>0.31</v>
      </c>
      <c r="F2587">
        <v>0.97</v>
      </c>
      <c r="G2587">
        <v>0.76</v>
      </c>
      <c r="H2587" t="s">
        <v>10</v>
      </c>
    </row>
    <row r="2588" spans="1:8" x14ac:dyDescent="0.25">
      <c r="A2588" t="s">
        <v>29</v>
      </c>
      <c r="B2588">
        <v>34677</v>
      </c>
      <c r="C2588">
        <v>0</v>
      </c>
      <c r="D2588" t="s">
        <v>9</v>
      </c>
      <c r="E2588">
        <v>0.94</v>
      </c>
      <c r="F2588">
        <v>0.99</v>
      </c>
      <c r="G2588">
        <v>0.72</v>
      </c>
      <c r="H2588" t="s">
        <v>10</v>
      </c>
    </row>
    <row r="2589" spans="1:8" x14ac:dyDescent="0.25">
      <c r="A2589" t="s">
        <v>26</v>
      </c>
      <c r="B2589">
        <v>125288</v>
      </c>
      <c r="C2589">
        <v>8</v>
      </c>
      <c r="D2589" t="s">
        <v>9</v>
      </c>
      <c r="E2589">
        <v>0.92</v>
      </c>
      <c r="F2589">
        <v>0.93</v>
      </c>
      <c r="G2589">
        <v>0.37</v>
      </c>
      <c r="H2589" t="s">
        <v>17</v>
      </c>
    </row>
    <row r="2590" spans="1:8" x14ac:dyDescent="0.25">
      <c r="A2590" t="s">
        <v>8</v>
      </c>
      <c r="B2590">
        <v>77540</v>
      </c>
      <c r="C2590">
        <v>13</v>
      </c>
      <c r="D2590" t="s">
        <v>12</v>
      </c>
      <c r="E2590">
        <v>0.55000000000000004</v>
      </c>
      <c r="F2590">
        <v>1.25</v>
      </c>
      <c r="G2590">
        <v>0.85</v>
      </c>
      <c r="H2590" t="s">
        <v>10</v>
      </c>
    </row>
    <row r="2591" spans="1:8" x14ac:dyDescent="0.25">
      <c r="A2591" t="s">
        <v>20</v>
      </c>
      <c r="B2591">
        <v>62953</v>
      </c>
      <c r="C2591">
        <v>29</v>
      </c>
      <c r="D2591" t="s">
        <v>15</v>
      </c>
      <c r="E2591">
        <v>0.26</v>
      </c>
      <c r="F2591">
        <v>0.97</v>
      </c>
      <c r="G2591">
        <v>0.56000000000000005</v>
      </c>
      <c r="H2591" t="s">
        <v>17</v>
      </c>
    </row>
    <row r="2592" spans="1:8" x14ac:dyDescent="0.25">
      <c r="A2592" t="s">
        <v>29</v>
      </c>
      <c r="B2592">
        <v>99754</v>
      </c>
      <c r="C2592">
        <v>1</v>
      </c>
      <c r="D2592" t="s">
        <v>9</v>
      </c>
      <c r="E2592">
        <v>0.18</v>
      </c>
      <c r="F2592">
        <v>0.6</v>
      </c>
      <c r="G2592">
        <v>0.76</v>
      </c>
      <c r="H2592" t="s">
        <v>10</v>
      </c>
    </row>
    <row r="2593" spans="1:8" x14ac:dyDescent="0.25">
      <c r="A2593" t="s">
        <v>18</v>
      </c>
      <c r="B2593">
        <v>114865</v>
      </c>
      <c r="C2593">
        <v>26</v>
      </c>
      <c r="D2593" t="s">
        <v>15</v>
      </c>
      <c r="E2593">
        <v>0.34</v>
      </c>
      <c r="F2593">
        <v>1.0900000000000001</v>
      </c>
      <c r="G2593">
        <v>0.7</v>
      </c>
      <c r="H2593" t="s">
        <v>17</v>
      </c>
    </row>
    <row r="2594" spans="1:8" x14ac:dyDescent="0.25">
      <c r="A2594" t="s">
        <v>29</v>
      </c>
      <c r="B2594">
        <v>59904</v>
      </c>
      <c r="C2594">
        <v>9</v>
      </c>
      <c r="D2594" t="s">
        <v>28</v>
      </c>
      <c r="E2594">
        <v>0.24</v>
      </c>
      <c r="F2594">
        <v>1.18</v>
      </c>
      <c r="G2594">
        <v>0.92</v>
      </c>
      <c r="H2594" t="s">
        <v>10</v>
      </c>
    </row>
    <row r="2595" spans="1:8" x14ac:dyDescent="0.25">
      <c r="A2595" t="s">
        <v>32</v>
      </c>
      <c r="B2595">
        <v>53473</v>
      </c>
      <c r="C2595">
        <v>25</v>
      </c>
      <c r="D2595" t="s">
        <v>9</v>
      </c>
      <c r="E2595">
        <v>0.25</v>
      </c>
      <c r="F2595">
        <v>0.67</v>
      </c>
      <c r="G2595">
        <v>0.43</v>
      </c>
      <c r="H2595" t="s">
        <v>17</v>
      </c>
    </row>
    <row r="2596" spans="1:8" x14ac:dyDescent="0.25">
      <c r="A2596" t="s">
        <v>14</v>
      </c>
      <c r="B2596">
        <v>34564</v>
      </c>
      <c r="C2596">
        <v>0</v>
      </c>
      <c r="D2596" t="s">
        <v>28</v>
      </c>
      <c r="E2596">
        <v>0.2</v>
      </c>
      <c r="F2596">
        <v>0.62</v>
      </c>
      <c r="G2596">
        <v>0.91</v>
      </c>
      <c r="H2596" t="s">
        <v>10</v>
      </c>
    </row>
    <row r="2597" spans="1:8" x14ac:dyDescent="0.25">
      <c r="A2597" t="s">
        <v>22</v>
      </c>
      <c r="B2597">
        <v>128259</v>
      </c>
      <c r="C2597">
        <v>26</v>
      </c>
      <c r="D2597" t="s">
        <v>9</v>
      </c>
      <c r="E2597">
        <v>0.37</v>
      </c>
      <c r="F2597">
        <v>1.01</v>
      </c>
      <c r="G2597">
        <v>0.61</v>
      </c>
      <c r="H2597" t="s">
        <v>17</v>
      </c>
    </row>
    <row r="2598" spans="1:8" x14ac:dyDescent="0.25">
      <c r="A2598" t="s">
        <v>27</v>
      </c>
      <c r="B2598">
        <v>144486</v>
      </c>
      <c r="C2598">
        <v>28</v>
      </c>
      <c r="D2598" t="s">
        <v>9</v>
      </c>
      <c r="E2598">
        <v>0.75</v>
      </c>
      <c r="F2598">
        <v>0.7</v>
      </c>
      <c r="G2598">
        <v>0.53</v>
      </c>
      <c r="H2598" t="s">
        <v>17</v>
      </c>
    </row>
    <row r="2599" spans="1:8" x14ac:dyDescent="0.25">
      <c r="A2599" t="s">
        <v>26</v>
      </c>
      <c r="B2599">
        <v>136766</v>
      </c>
      <c r="C2599">
        <v>3</v>
      </c>
      <c r="D2599" t="s">
        <v>9</v>
      </c>
      <c r="E2599">
        <v>0.17</v>
      </c>
      <c r="F2599">
        <v>0.88</v>
      </c>
      <c r="G2599">
        <v>0.51</v>
      </c>
      <c r="H2599" t="s">
        <v>17</v>
      </c>
    </row>
    <row r="2600" spans="1:8" x14ac:dyDescent="0.25">
      <c r="A2600" t="s">
        <v>32</v>
      </c>
      <c r="B2600">
        <v>139097</v>
      </c>
      <c r="C2600">
        <v>23</v>
      </c>
      <c r="D2600" t="s">
        <v>28</v>
      </c>
      <c r="E2600">
        <v>0.47</v>
      </c>
      <c r="F2600">
        <v>0.82</v>
      </c>
      <c r="G2600">
        <v>0.44</v>
      </c>
      <c r="H2600" t="s">
        <v>17</v>
      </c>
    </row>
    <row r="2601" spans="1:8" x14ac:dyDescent="0.25">
      <c r="A2601" t="s">
        <v>23</v>
      </c>
      <c r="B2601">
        <v>97004</v>
      </c>
      <c r="C2601">
        <v>8</v>
      </c>
      <c r="D2601" t="s">
        <v>28</v>
      </c>
      <c r="E2601">
        <v>0.18</v>
      </c>
      <c r="F2601">
        <v>0.94</v>
      </c>
      <c r="G2601">
        <v>0.78</v>
      </c>
      <c r="H2601" t="s">
        <v>10</v>
      </c>
    </row>
    <row r="2602" spans="1:8" x14ac:dyDescent="0.25">
      <c r="A2602" t="s">
        <v>14</v>
      </c>
      <c r="B2602">
        <v>87143</v>
      </c>
      <c r="C2602">
        <v>25</v>
      </c>
      <c r="D2602" t="s">
        <v>28</v>
      </c>
      <c r="E2602">
        <v>0.35</v>
      </c>
      <c r="F2602">
        <v>1.24</v>
      </c>
      <c r="G2602">
        <v>0.86</v>
      </c>
      <c r="H2602" t="s">
        <v>10</v>
      </c>
    </row>
    <row r="2603" spans="1:8" x14ac:dyDescent="0.25">
      <c r="A2603" t="s">
        <v>11</v>
      </c>
      <c r="B2603">
        <v>86668</v>
      </c>
      <c r="C2603">
        <v>20</v>
      </c>
      <c r="D2603" t="s">
        <v>28</v>
      </c>
      <c r="E2603">
        <v>0.89</v>
      </c>
      <c r="F2603">
        <v>1.18</v>
      </c>
      <c r="G2603">
        <v>0.12</v>
      </c>
      <c r="H2603" t="s">
        <v>13</v>
      </c>
    </row>
    <row r="2604" spans="1:8" x14ac:dyDescent="0.25">
      <c r="A2604" t="s">
        <v>32</v>
      </c>
      <c r="B2604">
        <v>45027</v>
      </c>
      <c r="C2604">
        <v>5</v>
      </c>
      <c r="D2604" t="s">
        <v>28</v>
      </c>
      <c r="E2604">
        <v>0.43</v>
      </c>
      <c r="F2604">
        <v>1.21</v>
      </c>
      <c r="G2604">
        <v>0.43</v>
      </c>
      <c r="H2604" t="s">
        <v>17</v>
      </c>
    </row>
    <row r="2605" spans="1:8" x14ac:dyDescent="0.25">
      <c r="A2605" t="s">
        <v>34</v>
      </c>
      <c r="B2605">
        <v>86546</v>
      </c>
      <c r="C2605">
        <v>8</v>
      </c>
      <c r="D2605" t="s">
        <v>28</v>
      </c>
      <c r="E2605">
        <v>0.11</v>
      </c>
      <c r="F2605">
        <v>1.37</v>
      </c>
      <c r="G2605">
        <v>0.51</v>
      </c>
      <c r="H2605" t="s">
        <v>17</v>
      </c>
    </row>
    <row r="2606" spans="1:8" x14ac:dyDescent="0.25">
      <c r="A2606" t="s">
        <v>32</v>
      </c>
      <c r="B2606">
        <v>101621</v>
      </c>
      <c r="C2606">
        <v>7</v>
      </c>
      <c r="D2606" t="s">
        <v>9</v>
      </c>
      <c r="E2606">
        <v>0.22</v>
      </c>
      <c r="F2606">
        <v>1.01</v>
      </c>
      <c r="G2606">
        <v>0.37</v>
      </c>
      <c r="H2606" t="s">
        <v>17</v>
      </c>
    </row>
    <row r="2607" spans="1:8" x14ac:dyDescent="0.25">
      <c r="A2607" t="s">
        <v>27</v>
      </c>
      <c r="B2607">
        <v>114191</v>
      </c>
      <c r="C2607">
        <v>24</v>
      </c>
      <c r="D2607" t="s">
        <v>12</v>
      </c>
      <c r="E2607">
        <v>0.73</v>
      </c>
      <c r="F2607">
        <v>0.56000000000000005</v>
      </c>
      <c r="G2607">
        <v>0.68</v>
      </c>
      <c r="H2607" t="s">
        <v>17</v>
      </c>
    </row>
    <row r="2608" spans="1:8" x14ac:dyDescent="0.25">
      <c r="A2608" t="s">
        <v>21</v>
      </c>
      <c r="B2608">
        <v>41918</v>
      </c>
      <c r="C2608">
        <v>24</v>
      </c>
      <c r="D2608" t="s">
        <v>15</v>
      </c>
      <c r="E2608">
        <v>0.53</v>
      </c>
      <c r="F2608">
        <v>0.56000000000000005</v>
      </c>
      <c r="G2608">
        <v>0.26</v>
      </c>
      <c r="H2608" t="s">
        <v>13</v>
      </c>
    </row>
    <row r="2609" spans="1:8" x14ac:dyDescent="0.25">
      <c r="A2609" t="s">
        <v>23</v>
      </c>
      <c r="B2609">
        <v>130213</v>
      </c>
      <c r="C2609">
        <v>10</v>
      </c>
      <c r="D2609" t="s">
        <v>12</v>
      </c>
      <c r="E2609">
        <v>0.14000000000000001</v>
      </c>
      <c r="F2609">
        <v>1.01</v>
      </c>
      <c r="G2609">
        <v>0.72</v>
      </c>
      <c r="H2609" t="s">
        <v>10</v>
      </c>
    </row>
    <row r="2610" spans="1:8" x14ac:dyDescent="0.25">
      <c r="A2610" t="s">
        <v>32</v>
      </c>
      <c r="B2610">
        <v>88561</v>
      </c>
      <c r="C2610">
        <v>22</v>
      </c>
      <c r="D2610" t="s">
        <v>9</v>
      </c>
      <c r="E2610">
        <v>0.16</v>
      </c>
      <c r="F2610">
        <v>1.1299999999999999</v>
      </c>
      <c r="G2610">
        <v>0.51</v>
      </c>
      <c r="H2610" t="s">
        <v>17</v>
      </c>
    </row>
    <row r="2611" spans="1:8" x14ac:dyDescent="0.25">
      <c r="A2611" t="s">
        <v>11</v>
      </c>
      <c r="B2611">
        <v>132013</v>
      </c>
      <c r="C2611">
        <v>1</v>
      </c>
      <c r="D2611" t="s">
        <v>15</v>
      </c>
      <c r="E2611">
        <v>0.57999999999999996</v>
      </c>
      <c r="F2611">
        <v>0.68</v>
      </c>
      <c r="G2611">
        <v>0.09</v>
      </c>
      <c r="H2611" t="s">
        <v>13</v>
      </c>
    </row>
    <row r="2612" spans="1:8" x14ac:dyDescent="0.25">
      <c r="A2612" t="s">
        <v>8</v>
      </c>
      <c r="B2612">
        <v>67010</v>
      </c>
      <c r="C2612">
        <v>19</v>
      </c>
      <c r="D2612" t="s">
        <v>28</v>
      </c>
      <c r="E2612">
        <v>0.41</v>
      </c>
      <c r="F2612">
        <v>1.42</v>
      </c>
      <c r="G2612">
        <v>0.95</v>
      </c>
      <c r="H2612" t="s">
        <v>10</v>
      </c>
    </row>
    <row r="2613" spans="1:8" x14ac:dyDescent="0.25">
      <c r="A2613" t="s">
        <v>34</v>
      </c>
      <c r="B2613">
        <v>131807</v>
      </c>
      <c r="C2613">
        <v>7</v>
      </c>
      <c r="D2613" t="s">
        <v>9</v>
      </c>
      <c r="E2613">
        <v>0.18</v>
      </c>
      <c r="F2613">
        <v>1.21</v>
      </c>
      <c r="G2613">
        <v>0.59</v>
      </c>
      <c r="H2613" t="s">
        <v>17</v>
      </c>
    </row>
    <row r="2614" spans="1:8" x14ac:dyDescent="0.25">
      <c r="A2614" t="s">
        <v>27</v>
      </c>
      <c r="B2614">
        <v>117563</v>
      </c>
      <c r="C2614">
        <v>2</v>
      </c>
      <c r="D2614" t="s">
        <v>15</v>
      </c>
      <c r="E2614">
        <v>0.28000000000000003</v>
      </c>
      <c r="F2614">
        <v>1.24</v>
      </c>
      <c r="G2614">
        <v>0.55000000000000004</v>
      </c>
      <c r="H2614" t="s">
        <v>17</v>
      </c>
    </row>
    <row r="2615" spans="1:8" x14ac:dyDescent="0.25">
      <c r="A2615" t="s">
        <v>33</v>
      </c>
      <c r="B2615">
        <v>51798</v>
      </c>
      <c r="C2615">
        <v>0</v>
      </c>
      <c r="D2615" t="s">
        <v>12</v>
      </c>
      <c r="E2615">
        <v>0.08</v>
      </c>
      <c r="F2615">
        <v>0.66</v>
      </c>
      <c r="G2615">
        <v>0.27</v>
      </c>
      <c r="H2615" t="s">
        <v>13</v>
      </c>
    </row>
    <row r="2616" spans="1:8" x14ac:dyDescent="0.25">
      <c r="A2616" t="s">
        <v>26</v>
      </c>
      <c r="B2616">
        <v>73701</v>
      </c>
      <c r="C2616">
        <v>25</v>
      </c>
      <c r="D2616" t="s">
        <v>9</v>
      </c>
      <c r="E2616">
        <v>0.4</v>
      </c>
      <c r="F2616">
        <v>1.19</v>
      </c>
      <c r="G2616">
        <v>0.32</v>
      </c>
      <c r="H2616" t="s">
        <v>17</v>
      </c>
    </row>
    <row r="2617" spans="1:8" x14ac:dyDescent="0.25">
      <c r="A2617" t="s">
        <v>27</v>
      </c>
      <c r="B2617">
        <v>135959</v>
      </c>
      <c r="C2617">
        <v>29</v>
      </c>
      <c r="D2617" t="s">
        <v>15</v>
      </c>
      <c r="E2617">
        <v>0.43</v>
      </c>
      <c r="F2617">
        <v>0.93</v>
      </c>
      <c r="G2617">
        <v>0.52</v>
      </c>
      <c r="H2617" t="s">
        <v>17</v>
      </c>
    </row>
    <row r="2618" spans="1:8" x14ac:dyDescent="0.25">
      <c r="A2618" t="s">
        <v>20</v>
      </c>
      <c r="B2618">
        <v>129721</v>
      </c>
      <c r="C2618">
        <v>14</v>
      </c>
      <c r="D2618" t="s">
        <v>9</v>
      </c>
      <c r="E2618">
        <v>0.12</v>
      </c>
      <c r="F2618">
        <v>0.98</v>
      </c>
      <c r="G2618">
        <v>0.48</v>
      </c>
      <c r="H2618" t="s">
        <v>17</v>
      </c>
    </row>
    <row r="2619" spans="1:8" x14ac:dyDescent="0.25">
      <c r="A2619" t="s">
        <v>33</v>
      </c>
      <c r="B2619">
        <v>98132</v>
      </c>
      <c r="C2619">
        <v>29</v>
      </c>
      <c r="D2619" t="s">
        <v>15</v>
      </c>
      <c r="E2619">
        <v>0.15</v>
      </c>
      <c r="F2619">
        <v>0.79</v>
      </c>
      <c r="G2619">
        <v>0.15</v>
      </c>
      <c r="H2619" t="s">
        <v>13</v>
      </c>
    </row>
    <row r="2620" spans="1:8" x14ac:dyDescent="0.25">
      <c r="A2620" t="s">
        <v>22</v>
      </c>
      <c r="B2620">
        <v>132945</v>
      </c>
      <c r="C2620">
        <v>5</v>
      </c>
      <c r="D2620" t="s">
        <v>9</v>
      </c>
      <c r="E2620">
        <v>0.1</v>
      </c>
      <c r="F2620">
        <v>1.44</v>
      </c>
      <c r="G2620">
        <v>0.41</v>
      </c>
      <c r="H2620" t="s">
        <v>17</v>
      </c>
    </row>
    <row r="2621" spans="1:8" x14ac:dyDescent="0.25">
      <c r="A2621" t="s">
        <v>27</v>
      </c>
      <c r="B2621">
        <v>141318</v>
      </c>
      <c r="C2621">
        <v>10</v>
      </c>
      <c r="D2621" t="s">
        <v>15</v>
      </c>
      <c r="E2621">
        <v>0.59</v>
      </c>
      <c r="F2621">
        <v>0.63</v>
      </c>
      <c r="G2621">
        <v>0.36</v>
      </c>
      <c r="H2621" t="s">
        <v>17</v>
      </c>
    </row>
    <row r="2622" spans="1:8" x14ac:dyDescent="0.25">
      <c r="A2622" t="s">
        <v>32</v>
      </c>
      <c r="B2622">
        <v>114005</v>
      </c>
      <c r="C2622">
        <v>26</v>
      </c>
      <c r="D2622" t="s">
        <v>12</v>
      </c>
      <c r="E2622">
        <v>0.77</v>
      </c>
      <c r="F2622">
        <v>1.38</v>
      </c>
      <c r="G2622">
        <v>0.6</v>
      </c>
      <c r="H2622" t="s">
        <v>17</v>
      </c>
    </row>
    <row r="2623" spans="1:8" x14ac:dyDescent="0.25">
      <c r="A2623" t="s">
        <v>26</v>
      </c>
      <c r="B2623">
        <v>107974</v>
      </c>
      <c r="C2623">
        <v>6</v>
      </c>
      <c r="D2623" t="s">
        <v>28</v>
      </c>
      <c r="E2623">
        <v>0.41</v>
      </c>
      <c r="F2623">
        <v>0.72</v>
      </c>
      <c r="G2623">
        <v>0.43</v>
      </c>
      <c r="H2623" t="s">
        <v>17</v>
      </c>
    </row>
    <row r="2624" spans="1:8" x14ac:dyDescent="0.25">
      <c r="A2624" t="s">
        <v>21</v>
      </c>
      <c r="B2624">
        <v>96214</v>
      </c>
      <c r="C2624">
        <v>27</v>
      </c>
      <c r="D2624" t="s">
        <v>9</v>
      </c>
      <c r="E2624">
        <v>0.15</v>
      </c>
      <c r="F2624">
        <v>1.28</v>
      </c>
      <c r="G2624">
        <v>0.16</v>
      </c>
      <c r="H2624" t="s">
        <v>13</v>
      </c>
    </row>
    <row r="2625" spans="1:8" x14ac:dyDescent="0.25">
      <c r="A2625" t="s">
        <v>11</v>
      </c>
      <c r="B2625">
        <v>89876</v>
      </c>
      <c r="C2625">
        <v>10</v>
      </c>
      <c r="D2625" t="s">
        <v>9</v>
      </c>
      <c r="E2625">
        <v>0.35</v>
      </c>
      <c r="F2625">
        <v>0.68</v>
      </c>
      <c r="G2625">
        <v>0.12</v>
      </c>
      <c r="H2625" t="s">
        <v>13</v>
      </c>
    </row>
    <row r="2626" spans="1:8" x14ac:dyDescent="0.25">
      <c r="A2626" t="s">
        <v>27</v>
      </c>
      <c r="B2626">
        <v>144947</v>
      </c>
      <c r="C2626">
        <v>14</v>
      </c>
      <c r="D2626" t="s">
        <v>9</v>
      </c>
      <c r="E2626">
        <v>0.71</v>
      </c>
      <c r="F2626">
        <v>0.73</v>
      </c>
      <c r="G2626">
        <v>0.52</v>
      </c>
      <c r="H2626" t="s">
        <v>17</v>
      </c>
    </row>
    <row r="2627" spans="1:8" x14ac:dyDescent="0.25">
      <c r="A2627" t="s">
        <v>34</v>
      </c>
      <c r="B2627">
        <v>129590</v>
      </c>
      <c r="C2627">
        <v>18</v>
      </c>
      <c r="D2627" t="s">
        <v>9</v>
      </c>
      <c r="E2627">
        <v>0.6</v>
      </c>
      <c r="F2627">
        <v>1.3</v>
      </c>
      <c r="G2627">
        <v>0.48</v>
      </c>
      <c r="H2627" t="s">
        <v>17</v>
      </c>
    </row>
    <row r="2628" spans="1:8" x14ac:dyDescent="0.25">
      <c r="A2628" t="s">
        <v>19</v>
      </c>
      <c r="B2628">
        <v>147129</v>
      </c>
      <c r="C2628">
        <v>29</v>
      </c>
      <c r="D2628" t="s">
        <v>12</v>
      </c>
      <c r="E2628">
        <v>0.35</v>
      </c>
      <c r="F2628">
        <v>1.07</v>
      </c>
      <c r="G2628">
        <v>0.13</v>
      </c>
      <c r="H2628" t="s">
        <v>13</v>
      </c>
    </row>
    <row r="2629" spans="1:8" x14ac:dyDescent="0.25">
      <c r="A2629" t="s">
        <v>33</v>
      </c>
      <c r="B2629">
        <v>107417</v>
      </c>
      <c r="C2629">
        <v>7</v>
      </c>
      <c r="D2629" t="s">
        <v>15</v>
      </c>
      <c r="E2629">
        <v>0.59</v>
      </c>
      <c r="F2629">
        <v>1.39</v>
      </c>
      <c r="G2629">
        <v>0.2</v>
      </c>
      <c r="H2629" t="s">
        <v>13</v>
      </c>
    </row>
    <row r="2630" spans="1:8" x14ac:dyDescent="0.25">
      <c r="A2630" t="s">
        <v>20</v>
      </c>
      <c r="B2630">
        <v>75631</v>
      </c>
      <c r="C2630">
        <v>9</v>
      </c>
      <c r="D2630" t="s">
        <v>28</v>
      </c>
      <c r="E2630">
        <v>0.68</v>
      </c>
      <c r="F2630">
        <v>0.54</v>
      </c>
      <c r="G2630">
        <v>0.63</v>
      </c>
      <c r="H2630" t="s">
        <v>17</v>
      </c>
    </row>
    <row r="2631" spans="1:8" x14ac:dyDescent="0.25">
      <c r="A2631" t="s">
        <v>34</v>
      </c>
      <c r="B2631">
        <v>85753</v>
      </c>
      <c r="C2631">
        <v>3</v>
      </c>
      <c r="D2631" t="s">
        <v>15</v>
      </c>
      <c r="E2631">
        <v>0.55000000000000004</v>
      </c>
      <c r="F2631">
        <v>0.89</v>
      </c>
      <c r="G2631">
        <v>0.33</v>
      </c>
      <c r="H2631" t="s">
        <v>17</v>
      </c>
    </row>
    <row r="2632" spans="1:8" x14ac:dyDescent="0.25">
      <c r="A2632" t="s">
        <v>22</v>
      </c>
      <c r="B2632">
        <v>91138</v>
      </c>
      <c r="C2632">
        <v>28</v>
      </c>
      <c r="D2632" t="s">
        <v>28</v>
      </c>
      <c r="E2632">
        <v>0.2</v>
      </c>
      <c r="F2632">
        <v>1.01</v>
      </c>
      <c r="G2632">
        <v>0.62</v>
      </c>
      <c r="H2632" t="s">
        <v>17</v>
      </c>
    </row>
    <row r="2633" spans="1:8" x14ac:dyDescent="0.25">
      <c r="A2633" t="s">
        <v>23</v>
      </c>
      <c r="B2633">
        <v>106258</v>
      </c>
      <c r="C2633">
        <v>19</v>
      </c>
      <c r="D2633" t="s">
        <v>12</v>
      </c>
      <c r="E2633">
        <v>0.55000000000000004</v>
      </c>
      <c r="F2633">
        <v>0.57999999999999996</v>
      </c>
      <c r="G2633">
        <v>0.9</v>
      </c>
      <c r="H2633" t="s">
        <v>10</v>
      </c>
    </row>
    <row r="2634" spans="1:8" x14ac:dyDescent="0.25">
      <c r="A2634" t="s">
        <v>33</v>
      </c>
      <c r="B2634">
        <v>140514</v>
      </c>
      <c r="C2634">
        <v>10</v>
      </c>
      <c r="D2634" t="s">
        <v>28</v>
      </c>
      <c r="E2634">
        <v>0.9</v>
      </c>
      <c r="F2634">
        <v>1.26</v>
      </c>
      <c r="G2634">
        <v>0.26</v>
      </c>
      <c r="H2634" t="s">
        <v>13</v>
      </c>
    </row>
    <row r="2635" spans="1:8" x14ac:dyDescent="0.25">
      <c r="A2635" t="s">
        <v>31</v>
      </c>
      <c r="B2635">
        <v>47762</v>
      </c>
      <c r="C2635">
        <v>5</v>
      </c>
      <c r="D2635" t="s">
        <v>28</v>
      </c>
      <c r="E2635">
        <v>0.38</v>
      </c>
      <c r="F2635">
        <v>1.33</v>
      </c>
      <c r="G2635">
        <v>0.74</v>
      </c>
      <c r="H2635" t="s">
        <v>10</v>
      </c>
    </row>
    <row r="2636" spans="1:8" x14ac:dyDescent="0.25">
      <c r="A2636" t="s">
        <v>26</v>
      </c>
      <c r="B2636">
        <v>101060</v>
      </c>
      <c r="C2636">
        <v>4</v>
      </c>
      <c r="D2636" t="s">
        <v>9</v>
      </c>
      <c r="E2636">
        <v>7.0000000000000007E-2</v>
      </c>
      <c r="F2636">
        <v>0.68</v>
      </c>
      <c r="G2636">
        <v>0.41</v>
      </c>
      <c r="H2636" t="s">
        <v>17</v>
      </c>
    </row>
    <row r="2637" spans="1:8" x14ac:dyDescent="0.25">
      <c r="A2637" t="s">
        <v>16</v>
      </c>
      <c r="B2637">
        <v>37361</v>
      </c>
      <c r="C2637">
        <v>7</v>
      </c>
      <c r="D2637" t="s">
        <v>12</v>
      </c>
      <c r="E2637">
        <v>0.66</v>
      </c>
      <c r="F2637">
        <v>1.28</v>
      </c>
      <c r="G2637">
        <v>0.35</v>
      </c>
      <c r="H2637" t="s">
        <v>17</v>
      </c>
    </row>
    <row r="2638" spans="1:8" x14ac:dyDescent="0.25">
      <c r="A2638" t="s">
        <v>29</v>
      </c>
      <c r="B2638">
        <v>47736</v>
      </c>
      <c r="C2638">
        <v>22</v>
      </c>
      <c r="D2638" t="s">
        <v>9</v>
      </c>
      <c r="E2638">
        <v>0.56000000000000005</v>
      </c>
      <c r="F2638">
        <v>1.46</v>
      </c>
      <c r="G2638">
        <v>0.71</v>
      </c>
      <c r="H2638" t="s">
        <v>10</v>
      </c>
    </row>
    <row r="2639" spans="1:8" x14ac:dyDescent="0.25">
      <c r="A2639" t="s">
        <v>27</v>
      </c>
      <c r="B2639">
        <v>57814</v>
      </c>
      <c r="C2639">
        <v>1</v>
      </c>
      <c r="D2639" t="s">
        <v>12</v>
      </c>
      <c r="E2639">
        <v>0.39</v>
      </c>
      <c r="F2639">
        <v>0.56000000000000005</v>
      </c>
      <c r="G2639">
        <v>0.5</v>
      </c>
      <c r="H2639" t="s">
        <v>17</v>
      </c>
    </row>
    <row r="2640" spans="1:8" x14ac:dyDescent="0.25">
      <c r="A2640" t="s">
        <v>16</v>
      </c>
      <c r="B2640">
        <v>135636</v>
      </c>
      <c r="C2640">
        <v>22</v>
      </c>
      <c r="D2640" t="s">
        <v>15</v>
      </c>
      <c r="E2640">
        <v>0.9</v>
      </c>
      <c r="F2640">
        <v>1.02</v>
      </c>
      <c r="G2640">
        <v>0.56999999999999995</v>
      </c>
      <c r="H2640" t="s">
        <v>17</v>
      </c>
    </row>
    <row r="2641" spans="1:8" x14ac:dyDescent="0.25">
      <c r="A2641" t="s">
        <v>25</v>
      </c>
      <c r="B2641">
        <v>124697</v>
      </c>
      <c r="C2641">
        <v>12</v>
      </c>
      <c r="D2641" t="s">
        <v>28</v>
      </c>
      <c r="E2641">
        <v>0.62</v>
      </c>
      <c r="F2641">
        <v>1.44</v>
      </c>
      <c r="G2641">
        <v>0.44</v>
      </c>
      <c r="H2641" t="s">
        <v>17</v>
      </c>
    </row>
    <row r="2642" spans="1:8" x14ac:dyDescent="0.25">
      <c r="A2642" t="s">
        <v>8</v>
      </c>
      <c r="B2642">
        <v>132887</v>
      </c>
      <c r="C2642">
        <v>9</v>
      </c>
      <c r="D2642" t="s">
        <v>9</v>
      </c>
      <c r="E2642">
        <v>0.05</v>
      </c>
      <c r="F2642">
        <v>1.21</v>
      </c>
      <c r="G2642">
        <v>0.88</v>
      </c>
      <c r="H2642" t="s">
        <v>10</v>
      </c>
    </row>
    <row r="2643" spans="1:8" x14ac:dyDescent="0.25">
      <c r="A2643" t="s">
        <v>27</v>
      </c>
      <c r="B2643">
        <v>104336</v>
      </c>
      <c r="C2643">
        <v>21</v>
      </c>
      <c r="D2643" t="s">
        <v>9</v>
      </c>
      <c r="E2643">
        <v>0.21</v>
      </c>
      <c r="F2643">
        <v>0.84</v>
      </c>
      <c r="G2643">
        <v>0.44</v>
      </c>
      <c r="H2643" t="s">
        <v>17</v>
      </c>
    </row>
    <row r="2644" spans="1:8" x14ac:dyDescent="0.25">
      <c r="A2644" t="s">
        <v>8</v>
      </c>
      <c r="B2644">
        <v>143398</v>
      </c>
      <c r="C2644">
        <v>11</v>
      </c>
      <c r="D2644" t="s">
        <v>15</v>
      </c>
      <c r="E2644">
        <v>0.25</v>
      </c>
      <c r="F2644">
        <v>0.52</v>
      </c>
      <c r="G2644">
        <v>0.82</v>
      </c>
      <c r="H2644" t="s">
        <v>10</v>
      </c>
    </row>
    <row r="2645" spans="1:8" x14ac:dyDescent="0.25">
      <c r="A2645" t="s">
        <v>27</v>
      </c>
      <c r="B2645">
        <v>143546</v>
      </c>
      <c r="C2645">
        <v>8</v>
      </c>
      <c r="D2645" t="s">
        <v>9</v>
      </c>
      <c r="E2645">
        <v>0.39</v>
      </c>
      <c r="F2645">
        <v>1.34</v>
      </c>
      <c r="G2645">
        <v>0.35</v>
      </c>
      <c r="H2645" t="s">
        <v>17</v>
      </c>
    </row>
    <row r="2646" spans="1:8" x14ac:dyDescent="0.25">
      <c r="A2646" t="s">
        <v>29</v>
      </c>
      <c r="B2646">
        <v>132676</v>
      </c>
      <c r="C2646">
        <v>23</v>
      </c>
      <c r="D2646" t="s">
        <v>9</v>
      </c>
      <c r="E2646">
        <v>0.34</v>
      </c>
      <c r="F2646">
        <v>0.99</v>
      </c>
      <c r="G2646">
        <v>0.91</v>
      </c>
      <c r="H2646" t="s">
        <v>10</v>
      </c>
    </row>
    <row r="2647" spans="1:8" x14ac:dyDescent="0.25">
      <c r="A2647" t="s">
        <v>20</v>
      </c>
      <c r="B2647">
        <v>54569</v>
      </c>
      <c r="C2647">
        <v>29</v>
      </c>
      <c r="D2647" t="s">
        <v>12</v>
      </c>
      <c r="E2647">
        <v>0.38</v>
      </c>
      <c r="F2647">
        <v>0.67</v>
      </c>
      <c r="G2647">
        <v>0.61</v>
      </c>
      <c r="H2647" t="s">
        <v>17</v>
      </c>
    </row>
    <row r="2648" spans="1:8" x14ac:dyDescent="0.25">
      <c r="A2648" t="s">
        <v>14</v>
      </c>
      <c r="B2648">
        <v>124093</v>
      </c>
      <c r="C2648">
        <v>12</v>
      </c>
      <c r="D2648" t="s">
        <v>28</v>
      </c>
      <c r="E2648">
        <v>0.77</v>
      </c>
      <c r="F2648">
        <v>1.04</v>
      </c>
      <c r="G2648">
        <v>0.93</v>
      </c>
      <c r="H2648" t="s">
        <v>10</v>
      </c>
    </row>
    <row r="2649" spans="1:8" x14ac:dyDescent="0.25">
      <c r="A2649" t="s">
        <v>31</v>
      </c>
      <c r="B2649">
        <v>83638</v>
      </c>
      <c r="C2649">
        <v>15</v>
      </c>
      <c r="D2649" t="s">
        <v>28</v>
      </c>
      <c r="E2649">
        <v>0.46</v>
      </c>
      <c r="F2649">
        <v>0.7</v>
      </c>
      <c r="G2649">
        <v>0.76</v>
      </c>
      <c r="H2649" t="s">
        <v>10</v>
      </c>
    </row>
    <row r="2650" spans="1:8" x14ac:dyDescent="0.25">
      <c r="A2650" t="s">
        <v>19</v>
      </c>
      <c r="B2650">
        <v>126765</v>
      </c>
      <c r="C2650">
        <v>21</v>
      </c>
      <c r="D2650" t="s">
        <v>28</v>
      </c>
      <c r="E2650">
        <v>0.03</v>
      </c>
      <c r="F2650">
        <v>1.08</v>
      </c>
      <c r="G2650">
        <v>0.2</v>
      </c>
      <c r="H2650" t="s">
        <v>13</v>
      </c>
    </row>
    <row r="2651" spans="1:8" x14ac:dyDescent="0.25">
      <c r="A2651" t="s">
        <v>11</v>
      </c>
      <c r="B2651">
        <v>121190</v>
      </c>
      <c r="C2651">
        <v>16</v>
      </c>
      <c r="D2651" t="s">
        <v>15</v>
      </c>
      <c r="E2651">
        <v>0.01</v>
      </c>
      <c r="F2651">
        <v>0.68</v>
      </c>
      <c r="G2651">
        <v>0.21</v>
      </c>
      <c r="H2651" t="s">
        <v>13</v>
      </c>
    </row>
    <row r="2652" spans="1:8" x14ac:dyDescent="0.25">
      <c r="A2652" t="s">
        <v>21</v>
      </c>
      <c r="B2652">
        <v>84916</v>
      </c>
      <c r="C2652">
        <v>13</v>
      </c>
      <c r="D2652" t="s">
        <v>15</v>
      </c>
      <c r="E2652">
        <v>0.15</v>
      </c>
      <c r="F2652">
        <v>0.9</v>
      </c>
      <c r="G2652">
        <v>0.14000000000000001</v>
      </c>
      <c r="H2652" t="s">
        <v>13</v>
      </c>
    </row>
    <row r="2653" spans="1:8" x14ac:dyDescent="0.25">
      <c r="A2653" t="s">
        <v>31</v>
      </c>
      <c r="B2653">
        <v>125462</v>
      </c>
      <c r="C2653">
        <v>13</v>
      </c>
      <c r="D2653" t="s">
        <v>28</v>
      </c>
      <c r="E2653">
        <v>0.76</v>
      </c>
      <c r="F2653">
        <v>1.27</v>
      </c>
      <c r="G2653">
        <v>0.9</v>
      </c>
      <c r="H2653" t="s">
        <v>10</v>
      </c>
    </row>
    <row r="2654" spans="1:8" x14ac:dyDescent="0.25">
      <c r="A2654" t="s">
        <v>20</v>
      </c>
      <c r="B2654">
        <v>74838</v>
      </c>
      <c r="C2654">
        <v>15</v>
      </c>
      <c r="D2654" t="s">
        <v>9</v>
      </c>
      <c r="E2654">
        <v>0.55000000000000004</v>
      </c>
      <c r="F2654">
        <v>1.06</v>
      </c>
      <c r="G2654">
        <v>0.45</v>
      </c>
      <c r="H2654" t="s">
        <v>17</v>
      </c>
    </row>
    <row r="2655" spans="1:8" x14ac:dyDescent="0.25">
      <c r="A2655" t="s">
        <v>24</v>
      </c>
      <c r="B2655">
        <v>113253</v>
      </c>
      <c r="C2655">
        <v>10</v>
      </c>
      <c r="D2655" t="s">
        <v>9</v>
      </c>
      <c r="E2655">
        <v>0.89</v>
      </c>
      <c r="F2655">
        <v>0.78</v>
      </c>
      <c r="G2655">
        <v>0.39</v>
      </c>
      <c r="H2655" t="s">
        <v>17</v>
      </c>
    </row>
    <row r="2656" spans="1:8" x14ac:dyDescent="0.25">
      <c r="A2656" t="s">
        <v>32</v>
      </c>
      <c r="B2656">
        <v>111546</v>
      </c>
      <c r="C2656">
        <v>6</v>
      </c>
      <c r="D2656" t="s">
        <v>12</v>
      </c>
      <c r="E2656">
        <v>0.09</v>
      </c>
      <c r="F2656">
        <v>1.1100000000000001</v>
      </c>
      <c r="G2656">
        <v>0.54</v>
      </c>
      <c r="H2656" t="s">
        <v>17</v>
      </c>
    </row>
    <row r="2657" spans="1:8" x14ac:dyDescent="0.25">
      <c r="A2657" t="s">
        <v>23</v>
      </c>
      <c r="B2657">
        <v>140217</v>
      </c>
      <c r="C2657">
        <v>21</v>
      </c>
      <c r="D2657" t="s">
        <v>15</v>
      </c>
      <c r="E2657">
        <v>0.05</v>
      </c>
      <c r="F2657">
        <v>0.54</v>
      </c>
      <c r="G2657">
        <v>0.71</v>
      </c>
      <c r="H2657" t="s">
        <v>10</v>
      </c>
    </row>
    <row r="2658" spans="1:8" x14ac:dyDescent="0.25">
      <c r="A2658" t="s">
        <v>16</v>
      </c>
      <c r="B2658">
        <v>107576</v>
      </c>
      <c r="C2658">
        <v>7</v>
      </c>
      <c r="D2658" t="s">
        <v>15</v>
      </c>
      <c r="E2658">
        <v>0.01</v>
      </c>
      <c r="F2658">
        <v>1.41</v>
      </c>
      <c r="G2658">
        <v>0.5</v>
      </c>
      <c r="H2658" t="s">
        <v>17</v>
      </c>
    </row>
    <row r="2659" spans="1:8" x14ac:dyDescent="0.25">
      <c r="A2659" t="s">
        <v>8</v>
      </c>
      <c r="B2659">
        <v>89849</v>
      </c>
      <c r="C2659">
        <v>19</v>
      </c>
      <c r="D2659" t="s">
        <v>12</v>
      </c>
      <c r="E2659">
        <v>0.19</v>
      </c>
      <c r="F2659">
        <v>1.32</v>
      </c>
      <c r="G2659">
        <v>0.8</v>
      </c>
      <c r="H2659" t="s">
        <v>10</v>
      </c>
    </row>
    <row r="2660" spans="1:8" x14ac:dyDescent="0.25">
      <c r="A2660" t="s">
        <v>24</v>
      </c>
      <c r="B2660">
        <v>133970</v>
      </c>
      <c r="C2660">
        <v>23</v>
      </c>
      <c r="D2660" t="s">
        <v>9</v>
      </c>
      <c r="E2660">
        <v>0.51</v>
      </c>
      <c r="F2660">
        <v>0.87</v>
      </c>
      <c r="G2660">
        <v>0.48</v>
      </c>
      <c r="H2660" t="s">
        <v>17</v>
      </c>
    </row>
    <row r="2661" spans="1:8" x14ac:dyDescent="0.25">
      <c r="A2661" t="s">
        <v>18</v>
      </c>
      <c r="B2661">
        <v>65340</v>
      </c>
      <c r="C2661">
        <v>11</v>
      </c>
      <c r="D2661" t="s">
        <v>15</v>
      </c>
      <c r="E2661">
        <v>0.28000000000000003</v>
      </c>
      <c r="F2661">
        <v>0.59</v>
      </c>
      <c r="G2661">
        <v>0.5</v>
      </c>
      <c r="H2661" t="s">
        <v>17</v>
      </c>
    </row>
    <row r="2662" spans="1:8" x14ac:dyDescent="0.25">
      <c r="A2662" t="s">
        <v>14</v>
      </c>
      <c r="B2662">
        <v>94605</v>
      </c>
      <c r="C2662">
        <v>27</v>
      </c>
      <c r="D2662" t="s">
        <v>9</v>
      </c>
      <c r="E2662">
        <v>0.8</v>
      </c>
      <c r="F2662">
        <v>0.83</v>
      </c>
      <c r="G2662">
        <v>0.84</v>
      </c>
      <c r="H2662" t="s">
        <v>10</v>
      </c>
    </row>
    <row r="2663" spans="1:8" x14ac:dyDescent="0.25">
      <c r="A2663" t="s">
        <v>27</v>
      </c>
      <c r="B2663">
        <v>132025</v>
      </c>
      <c r="C2663">
        <v>3</v>
      </c>
      <c r="D2663" t="s">
        <v>28</v>
      </c>
      <c r="E2663">
        <v>0.55000000000000004</v>
      </c>
      <c r="F2663">
        <v>0.87</v>
      </c>
      <c r="G2663">
        <v>0.65</v>
      </c>
      <c r="H2663" t="s">
        <v>17</v>
      </c>
    </row>
    <row r="2664" spans="1:8" x14ac:dyDescent="0.25">
      <c r="A2664" t="s">
        <v>32</v>
      </c>
      <c r="B2664">
        <v>42623</v>
      </c>
      <c r="C2664">
        <v>8</v>
      </c>
      <c r="D2664" t="s">
        <v>12</v>
      </c>
      <c r="E2664">
        <v>0.53</v>
      </c>
      <c r="F2664">
        <v>1.07</v>
      </c>
      <c r="G2664">
        <v>0.63</v>
      </c>
      <c r="H2664" t="s">
        <v>17</v>
      </c>
    </row>
    <row r="2665" spans="1:8" x14ac:dyDescent="0.25">
      <c r="A2665" t="s">
        <v>21</v>
      </c>
      <c r="B2665">
        <v>82913</v>
      </c>
      <c r="C2665">
        <v>27</v>
      </c>
      <c r="D2665" t="s">
        <v>28</v>
      </c>
      <c r="E2665">
        <v>0.77</v>
      </c>
      <c r="F2665">
        <v>0.86</v>
      </c>
      <c r="G2665">
        <v>0.12</v>
      </c>
      <c r="H2665" t="s">
        <v>13</v>
      </c>
    </row>
    <row r="2666" spans="1:8" x14ac:dyDescent="0.25">
      <c r="A2666" t="s">
        <v>25</v>
      </c>
      <c r="B2666">
        <v>39159</v>
      </c>
      <c r="C2666">
        <v>4</v>
      </c>
      <c r="D2666" t="s">
        <v>9</v>
      </c>
      <c r="E2666">
        <v>0.25</v>
      </c>
      <c r="F2666">
        <v>1.21</v>
      </c>
      <c r="G2666">
        <v>0.36</v>
      </c>
      <c r="H2666" t="s">
        <v>17</v>
      </c>
    </row>
    <row r="2667" spans="1:8" x14ac:dyDescent="0.25">
      <c r="A2667" t="s">
        <v>29</v>
      </c>
      <c r="B2667">
        <v>70294</v>
      </c>
      <c r="C2667">
        <v>16</v>
      </c>
      <c r="D2667" t="s">
        <v>12</v>
      </c>
      <c r="E2667">
        <v>0.76</v>
      </c>
      <c r="F2667">
        <v>0.63</v>
      </c>
      <c r="G2667">
        <v>0.94</v>
      </c>
      <c r="H2667" t="s">
        <v>10</v>
      </c>
    </row>
    <row r="2668" spans="1:8" x14ac:dyDescent="0.25">
      <c r="A2668" t="s">
        <v>19</v>
      </c>
      <c r="B2668">
        <v>110381</v>
      </c>
      <c r="C2668">
        <v>9</v>
      </c>
      <c r="D2668" t="s">
        <v>28</v>
      </c>
      <c r="E2668">
        <v>0.35</v>
      </c>
      <c r="F2668">
        <v>0.84</v>
      </c>
      <c r="G2668">
        <v>0.26</v>
      </c>
      <c r="H2668" t="s">
        <v>13</v>
      </c>
    </row>
    <row r="2669" spans="1:8" x14ac:dyDescent="0.25">
      <c r="A2669" t="s">
        <v>31</v>
      </c>
      <c r="B2669">
        <v>142488</v>
      </c>
      <c r="C2669">
        <v>4</v>
      </c>
      <c r="D2669" t="s">
        <v>12</v>
      </c>
      <c r="E2669">
        <v>0.98</v>
      </c>
      <c r="F2669">
        <v>0.8</v>
      </c>
      <c r="G2669">
        <v>0.77</v>
      </c>
      <c r="H2669" t="s">
        <v>10</v>
      </c>
    </row>
    <row r="2670" spans="1:8" x14ac:dyDescent="0.25">
      <c r="A2670" t="s">
        <v>24</v>
      </c>
      <c r="B2670">
        <v>35749</v>
      </c>
      <c r="C2670">
        <v>24</v>
      </c>
      <c r="D2670" t="s">
        <v>15</v>
      </c>
      <c r="E2670">
        <v>0.62</v>
      </c>
      <c r="F2670">
        <v>0.68</v>
      </c>
      <c r="G2670">
        <v>0.42</v>
      </c>
      <c r="H2670" t="s">
        <v>17</v>
      </c>
    </row>
    <row r="2671" spans="1:8" x14ac:dyDescent="0.25">
      <c r="A2671" t="s">
        <v>31</v>
      </c>
      <c r="B2671">
        <v>81833</v>
      </c>
      <c r="C2671">
        <v>12</v>
      </c>
      <c r="D2671" t="s">
        <v>12</v>
      </c>
      <c r="E2671">
        <v>0.27</v>
      </c>
      <c r="F2671">
        <v>1.38</v>
      </c>
      <c r="G2671">
        <v>0.89</v>
      </c>
      <c r="H2671" t="s">
        <v>10</v>
      </c>
    </row>
    <row r="2672" spans="1:8" x14ac:dyDescent="0.25">
      <c r="A2672" t="s">
        <v>18</v>
      </c>
      <c r="B2672">
        <v>52703</v>
      </c>
      <c r="C2672">
        <v>6</v>
      </c>
      <c r="D2672" t="s">
        <v>9</v>
      </c>
      <c r="E2672">
        <v>0.77</v>
      </c>
      <c r="F2672">
        <v>1.39</v>
      </c>
      <c r="G2672">
        <v>0.43</v>
      </c>
      <c r="H2672" t="s">
        <v>17</v>
      </c>
    </row>
    <row r="2673" spans="1:8" x14ac:dyDescent="0.25">
      <c r="A2673" t="s">
        <v>30</v>
      </c>
      <c r="B2673">
        <v>76554</v>
      </c>
      <c r="C2673">
        <v>15</v>
      </c>
      <c r="D2673" t="s">
        <v>15</v>
      </c>
      <c r="E2673">
        <v>0.87</v>
      </c>
      <c r="F2673">
        <v>1.0900000000000001</v>
      </c>
      <c r="G2673">
        <v>0.3</v>
      </c>
      <c r="H2673" t="s">
        <v>13</v>
      </c>
    </row>
    <row r="2674" spans="1:8" x14ac:dyDescent="0.25">
      <c r="A2674" t="s">
        <v>14</v>
      </c>
      <c r="B2674">
        <v>67648</v>
      </c>
      <c r="C2674">
        <v>25</v>
      </c>
      <c r="D2674" t="s">
        <v>15</v>
      </c>
      <c r="E2674">
        <v>0.65</v>
      </c>
      <c r="F2674">
        <v>1.1100000000000001</v>
      </c>
      <c r="G2674">
        <v>0.77</v>
      </c>
      <c r="H2674" t="s">
        <v>10</v>
      </c>
    </row>
    <row r="2675" spans="1:8" x14ac:dyDescent="0.25">
      <c r="A2675" t="s">
        <v>29</v>
      </c>
      <c r="B2675">
        <v>135718</v>
      </c>
      <c r="C2675">
        <v>4</v>
      </c>
      <c r="D2675" t="s">
        <v>28</v>
      </c>
      <c r="E2675">
        <v>0.56000000000000005</v>
      </c>
      <c r="F2675">
        <v>0.74</v>
      </c>
      <c r="G2675">
        <v>0.88</v>
      </c>
      <c r="H2675" t="s">
        <v>10</v>
      </c>
    </row>
    <row r="2676" spans="1:8" x14ac:dyDescent="0.25">
      <c r="A2676" t="s">
        <v>29</v>
      </c>
      <c r="B2676">
        <v>53876</v>
      </c>
      <c r="C2676">
        <v>18</v>
      </c>
      <c r="D2676" t="s">
        <v>12</v>
      </c>
      <c r="E2676">
        <v>0.57999999999999996</v>
      </c>
      <c r="F2676">
        <v>0.72</v>
      </c>
      <c r="G2676">
        <v>0.77</v>
      </c>
      <c r="H2676" t="s">
        <v>10</v>
      </c>
    </row>
    <row r="2677" spans="1:8" x14ac:dyDescent="0.25">
      <c r="A2677" t="s">
        <v>34</v>
      </c>
      <c r="B2677">
        <v>56513</v>
      </c>
      <c r="C2677">
        <v>11</v>
      </c>
      <c r="D2677" t="s">
        <v>12</v>
      </c>
      <c r="E2677">
        <v>0.48</v>
      </c>
      <c r="F2677">
        <v>0.57999999999999996</v>
      </c>
      <c r="G2677">
        <v>0.33</v>
      </c>
      <c r="H2677" t="s">
        <v>17</v>
      </c>
    </row>
    <row r="2678" spans="1:8" x14ac:dyDescent="0.25">
      <c r="A2678" t="s">
        <v>25</v>
      </c>
      <c r="B2678">
        <v>125564</v>
      </c>
      <c r="C2678">
        <v>15</v>
      </c>
      <c r="D2678" t="s">
        <v>9</v>
      </c>
      <c r="E2678">
        <v>0.03</v>
      </c>
      <c r="F2678">
        <v>1</v>
      </c>
      <c r="G2678">
        <v>0.33</v>
      </c>
      <c r="H2678" t="s">
        <v>17</v>
      </c>
    </row>
    <row r="2679" spans="1:8" x14ac:dyDescent="0.25">
      <c r="A2679" t="s">
        <v>31</v>
      </c>
      <c r="B2679">
        <v>65253</v>
      </c>
      <c r="C2679">
        <v>22</v>
      </c>
      <c r="D2679" t="s">
        <v>15</v>
      </c>
      <c r="E2679">
        <v>0.5</v>
      </c>
      <c r="F2679">
        <v>1.33</v>
      </c>
      <c r="G2679">
        <v>0.9</v>
      </c>
      <c r="H2679" t="s">
        <v>10</v>
      </c>
    </row>
    <row r="2680" spans="1:8" x14ac:dyDescent="0.25">
      <c r="A2680" t="s">
        <v>16</v>
      </c>
      <c r="B2680">
        <v>138482</v>
      </c>
      <c r="C2680">
        <v>23</v>
      </c>
      <c r="D2680" t="s">
        <v>28</v>
      </c>
      <c r="E2680">
        <v>0.5</v>
      </c>
      <c r="F2680">
        <v>0.9</v>
      </c>
      <c r="G2680">
        <v>0.39</v>
      </c>
      <c r="H2680" t="s">
        <v>17</v>
      </c>
    </row>
    <row r="2681" spans="1:8" x14ac:dyDescent="0.25">
      <c r="A2681" t="s">
        <v>30</v>
      </c>
      <c r="B2681">
        <v>143169</v>
      </c>
      <c r="C2681">
        <v>0</v>
      </c>
      <c r="D2681" t="s">
        <v>28</v>
      </c>
      <c r="E2681">
        <v>0.69</v>
      </c>
      <c r="F2681">
        <v>0.7</v>
      </c>
      <c r="G2681">
        <v>0.17</v>
      </c>
      <c r="H2681" t="s">
        <v>13</v>
      </c>
    </row>
    <row r="2682" spans="1:8" x14ac:dyDescent="0.25">
      <c r="A2682" t="s">
        <v>20</v>
      </c>
      <c r="B2682">
        <v>89816</v>
      </c>
      <c r="C2682">
        <v>16</v>
      </c>
      <c r="D2682" t="s">
        <v>9</v>
      </c>
      <c r="E2682">
        <v>0.47</v>
      </c>
      <c r="F2682">
        <v>1.49</v>
      </c>
      <c r="G2682">
        <v>0.56000000000000005</v>
      </c>
      <c r="H2682" t="s">
        <v>17</v>
      </c>
    </row>
    <row r="2683" spans="1:8" x14ac:dyDescent="0.25">
      <c r="A2683" t="s">
        <v>14</v>
      </c>
      <c r="B2683">
        <v>71729</v>
      </c>
      <c r="C2683">
        <v>11</v>
      </c>
      <c r="D2683" t="s">
        <v>28</v>
      </c>
      <c r="E2683">
        <v>0.43</v>
      </c>
      <c r="F2683">
        <v>1.22</v>
      </c>
      <c r="G2683">
        <v>0.77</v>
      </c>
      <c r="H2683" t="s">
        <v>10</v>
      </c>
    </row>
    <row r="2684" spans="1:8" x14ac:dyDescent="0.25">
      <c r="A2684" t="s">
        <v>19</v>
      </c>
      <c r="B2684">
        <v>90924</v>
      </c>
      <c r="C2684">
        <v>11</v>
      </c>
      <c r="D2684" t="s">
        <v>12</v>
      </c>
      <c r="E2684">
        <v>0.46</v>
      </c>
      <c r="F2684">
        <v>0.84</v>
      </c>
      <c r="G2684">
        <v>0.16</v>
      </c>
      <c r="H2684" t="s">
        <v>13</v>
      </c>
    </row>
    <row r="2685" spans="1:8" x14ac:dyDescent="0.25">
      <c r="A2685" t="s">
        <v>20</v>
      </c>
      <c r="B2685">
        <v>135963</v>
      </c>
      <c r="C2685">
        <v>23</v>
      </c>
      <c r="D2685" t="s">
        <v>12</v>
      </c>
      <c r="E2685">
        <v>0.01</v>
      </c>
      <c r="F2685">
        <v>0.76</v>
      </c>
      <c r="G2685">
        <v>0.46</v>
      </c>
      <c r="H2685" t="s">
        <v>17</v>
      </c>
    </row>
    <row r="2686" spans="1:8" x14ac:dyDescent="0.25">
      <c r="A2686" t="s">
        <v>34</v>
      </c>
      <c r="B2686">
        <v>46294</v>
      </c>
      <c r="C2686">
        <v>4</v>
      </c>
      <c r="D2686" t="s">
        <v>9</v>
      </c>
      <c r="E2686">
        <v>0.26</v>
      </c>
      <c r="F2686">
        <v>0.55000000000000004</v>
      </c>
      <c r="G2686">
        <v>0.44</v>
      </c>
      <c r="H2686" t="s">
        <v>17</v>
      </c>
    </row>
    <row r="2687" spans="1:8" x14ac:dyDescent="0.25">
      <c r="A2687" t="s">
        <v>16</v>
      </c>
      <c r="B2687">
        <v>34383</v>
      </c>
      <c r="C2687">
        <v>24</v>
      </c>
      <c r="D2687" t="s">
        <v>9</v>
      </c>
      <c r="E2687">
        <v>0.5</v>
      </c>
      <c r="F2687">
        <v>0.86</v>
      </c>
      <c r="G2687">
        <v>0.35</v>
      </c>
      <c r="H2687" t="s">
        <v>17</v>
      </c>
    </row>
    <row r="2688" spans="1:8" x14ac:dyDescent="0.25">
      <c r="A2688" t="s">
        <v>30</v>
      </c>
      <c r="B2688">
        <v>93742</v>
      </c>
      <c r="C2688">
        <v>18</v>
      </c>
      <c r="D2688" t="s">
        <v>28</v>
      </c>
      <c r="E2688">
        <v>0.96</v>
      </c>
      <c r="F2688">
        <v>0.91</v>
      </c>
      <c r="G2688">
        <v>0.23</v>
      </c>
      <c r="H2688" t="s">
        <v>13</v>
      </c>
    </row>
    <row r="2689" spans="1:8" x14ac:dyDescent="0.25">
      <c r="A2689" t="s">
        <v>29</v>
      </c>
      <c r="B2689">
        <v>82210</v>
      </c>
      <c r="C2689">
        <v>8</v>
      </c>
      <c r="D2689" t="s">
        <v>12</v>
      </c>
      <c r="E2689">
        <v>0.61</v>
      </c>
      <c r="F2689">
        <v>1.1599999999999999</v>
      </c>
      <c r="G2689">
        <v>0.71</v>
      </c>
      <c r="H2689" t="s">
        <v>10</v>
      </c>
    </row>
    <row r="2690" spans="1:8" x14ac:dyDescent="0.25">
      <c r="A2690" t="s">
        <v>8</v>
      </c>
      <c r="B2690">
        <v>55281</v>
      </c>
      <c r="C2690">
        <v>25</v>
      </c>
      <c r="D2690" t="s">
        <v>12</v>
      </c>
      <c r="E2690">
        <v>0.91</v>
      </c>
      <c r="F2690">
        <v>0.79</v>
      </c>
      <c r="G2690">
        <v>0.91</v>
      </c>
      <c r="H2690" t="s">
        <v>10</v>
      </c>
    </row>
    <row r="2691" spans="1:8" x14ac:dyDescent="0.25">
      <c r="A2691" t="s">
        <v>21</v>
      </c>
      <c r="B2691">
        <v>35143</v>
      </c>
      <c r="C2691">
        <v>10</v>
      </c>
      <c r="D2691" t="s">
        <v>15</v>
      </c>
      <c r="E2691">
        <v>0.19</v>
      </c>
      <c r="F2691">
        <v>0.99</v>
      </c>
      <c r="G2691">
        <v>0.18</v>
      </c>
      <c r="H2691" t="s">
        <v>13</v>
      </c>
    </row>
    <row r="2692" spans="1:8" x14ac:dyDescent="0.25">
      <c r="A2692" t="s">
        <v>34</v>
      </c>
      <c r="B2692">
        <v>67404</v>
      </c>
      <c r="C2692">
        <v>17</v>
      </c>
      <c r="D2692" t="s">
        <v>9</v>
      </c>
      <c r="E2692">
        <v>0.14000000000000001</v>
      </c>
      <c r="F2692">
        <v>0.52</v>
      </c>
      <c r="G2692">
        <v>0.42</v>
      </c>
      <c r="H2692" t="s">
        <v>17</v>
      </c>
    </row>
    <row r="2693" spans="1:8" x14ac:dyDescent="0.25">
      <c r="A2693" t="s">
        <v>19</v>
      </c>
      <c r="B2693">
        <v>83568</v>
      </c>
      <c r="C2693">
        <v>24</v>
      </c>
      <c r="D2693" t="s">
        <v>12</v>
      </c>
      <c r="E2693">
        <v>0.56999999999999995</v>
      </c>
      <c r="F2693">
        <v>1.1499999999999999</v>
      </c>
      <c r="G2693">
        <v>0.09</v>
      </c>
      <c r="H2693" t="s">
        <v>13</v>
      </c>
    </row>
    <row r="2694" spans="1:8" x14ac:dyDescent="0.25">
      <c r="A2694" t="s">
        <v>8</v>
      </c>
      <c r="B2694">
        <v>134534</v>
      </c>
      <c r="C2694">
        <v>1</v>
      </c>
      <c r="D2694" t="s">
        <v>12</v>
      </c>
      <c r="E2694">
        <v>0.64</v>
      </c>
      <c r="F2694">
        <v>1.1000000000000001</v>
      </c>
      <c r="G2694">
        <v>0.8</v>
      </c>
      <c r="H2694" t="s">
        <v>10</v>
      </c>
    </row>
    <row r="2695" spans="1:8" x14ac:dyDescent="0.25">
      <c r="A2695" t="s">
        <v>23</v>
      </c>
      <c r="B2695">
        <v>37120</v>
      </c>
      <c r="C2695">
        <v>20</v>
      </c>
      <c r="D2695" t="s">
        <v>15</v>
      </c>
      <c r="E2695">
        <v>0.23</v>
      </c>
      <c r="F2695">
        <v>1.18</v>
      </c>
      <c r="G2695">
        <v>0.72</v>
      </c>
      <c r="H2695" t="s">
        <v>10</v>
      </c>
    </row>
    <row r="2696" spans="1:8" x14ac:dyDescent="0.25">
      <c r="A2696" t="s">
        <v>32</v>
      </c>
      <c r="B2696">
        <v>140931</v>
      </c>
      <c r="C2696">
        <v>7</v>
      </c>
      <c r="D2696" t="s">
        <v>9</v>
      </c>
      <c r="E2696">
        <v>0.13</v>
      </c>
      <c r="F2696">
        <v>1.45</v>
      </c>
      <c r="G2696">
        <v>0.52</v>
      </c>
      <c r="H2696" t="s">
        <v>17</v>
      </c>
    </row>
    <row r="2697" spans="1:8" x14ac:dyDescent="0.25">
      <c r="A2697" t="s">
        <v>32</v>
      </c>
      <c r="B2697">
        <v>68191</v>
      </c>
      <c r="C2697">
        <v>7</v>
      </c>
      <c r="D2697" t="s">
        <v>15</v>
      </c>
      <c r="E2697">
        <v>0.15</v>
      </c>
      <c r="F2697">
        <v>0.93</v>
      </c>
      <c r="G2697">
        <v>0.4</v>
      </c>
      <c r="H2697" t="s">
        <v>17</v>
      </c>
    </row>
    <row r="2698" spans="1:8" x14ac:dyDescent="0.25">
      <c r="A2698" t="s">
        <v>25</v>
      </c>
      <c r="B2698">
        <v>58453</v>
      </c>
      <c r="C2698">
        <v>1</v>
      </c>
      <c r="D2698" t="s">
        <v>28</v>
      </c>
      <c r="E2698">
        <v>0.44</v>
      </c>
      <c r="F2698">
        <v>1.24</v>
      </c>
      <c r="G2698">
        <v>0.61</v>
      </c>
      <c r="H2698" t="s">
        <v>17</v>
      </c>
    </row>
    <row r="2699" spans="1:8" x14ac:dyDescent="0.25">
      <c r="A2699" t="s">
        <v>24</v>
      </c>
      <c r="B2699">
        <v>114815</v>
      </c>
      <c r="C2699">
        <v>15</v>
      </c>
      <c r="D2699" t="s">
        <v>12</v>
      </c>
      <c r="E2699">
        <v>0.95</v>
      </c>
      <c r="F2699">
        <v>0.72</v>
      </c>
      <c r="G2699">
        <v>0.49</v>
      </c>
      <c r="H2699" t="s">
        <v>17</v>
      </c>
    </row>
    <row r="2700" spans="1:8" x14ac:dyDescent="0.25">
      <c r="A2700" t="s">
        <v>22</v>
      </c>
      <c r="B2700">
        <v>122562</v>
      </c>
      <c r="C2700">
        <v>18</v>
      </c>
      <c r="D2700" t="s">
        <v>15</v>
      </c>
      <c r="E2700">
        <v>0.64</v>
      </c>
      <c r="F2700">
        <v>1.1399999999999999</v>
      </c>
      <c r="G2700">
        <v>0.59</v>
      </c>
      <c r="H2700" t="s">
        <v>17</v>
      </c>
    </row>
    <row r="2701" spans="1:8" x14ac:dyDescent="0.25">
      <c r="A2701" t="s">
        <v>23</v>
      </c>
      <c r="B2701">
        <v>145427</v>
      </c>
      <c r="C2701">
        <v>7</v>
      </c>
      <c r="D2701" t="s">
        <v>9</v>
      </c>
      <c r="E2701">
        <v>0.78</v>
      </c>
      <c r="F2701">
        <v>0.77</v>
      </c>
      <c r="G2701">
        <v>0.82</v>
      </c>
      <c r="H2701" t="s">
        <v>10</v>
      </c>
    </row>
    <row r="2702" spans="1:8" x14ac:dyDescent="0.25">
      <c r="A2702" t="s">
        <v>23</v>
      </c>
      <c r="B2702">
        <v>142113</v>
      </c>
      <c r="C2702">
        <v>11</v>
      </c>
      <c r="D2702" t="s">
        <v>28</v>
      </c>
      <c r="E2702">
        <v>0.43</v>
      </c>
      <c r="F2702">
        <v>0.87</v>
      </c>
      <c r="G2702">
        <v>0.85</v>
      </c>
      <c r="H2702" t="s">
        <v>10</v>
      </c>
    </row>
    <row r="2703" spans="1:8" x14ac:dyDescent="0.25">
      <c r="A2703" t="s">
        <v>31</v>
      </c>
      <c r="B2703">
        <v>111912</v>
      </c>
      <c r="C2703">
        <v>10</v>
      </c>
      <c r="D2703" t="s">
        <v>12</v>
      </c>
      <c r="E2703">
        <v>0.51</v>
      </c>
      <c r="F2703">
        <v>0.96</v>
      </c>
      <c r="G2703">
        <v>0.86</v>
      </c>
      <c r="H2703" t="s">
        <v>10</v>
      </c>
    </row>
    <row r="2704" spans="1:8" x14ac:dyDescent="0.25">
      <c r="A2704" t="s">
        <v>29</v>
      </c>
      <c r="B2704">
        <v>33390</v>
      </c>
      <c r="C2704">
        <v>14</v>
      </c>
      <c r="D2704" t="s">
        <v>28</v>
      </c>
      <c r="E2704">
        <v>0.04</v>
      </c>
      <c r="F2704">
        <v>1.32</v>
      </c>
      <c r="G2704">
        <v>0.92</v>
      </c>
      <c r="H2704" t="s">
        <v>10</v>
      </c>
    </row>
    <row r="2705" spans="1:8" x14ac:dyDescent="0.25">
      <c r="A2705" t="s">
        <v>25</v>
      </c>
      <c r="B2705">
        <v>100174</v>
      </c>
      <c r="C2705">
        <v>20</v>
      </c>
      <c r="D2705" t="s">
        <v>12</v>
      </c>
      <c r="E2705">
        <v>0.42</v>
      </c>
      <c r="F2705">
        <v>0.54</v>
      </c>
      <c r="G2705">
        <v>0.59</v>
      </c>
      <c r="H2705" t="s">
        <v>17</v>
      </c>
    </row>
    <row r="2706" spans="1:8" x14ac:dyDescent="0.25">
      <c r="A2706" t="s">
        <v>34</v>
      </c>
      <c r="B2706">
        <v>42225</v>
      </c>
      <c r="C2706">
        <v>27</v>
      </c>
      <c r="D2706" t="s">
        <v>12</v>
      </c>
      <c r="E2706">
        <v>0.1</v>
      </c>
      <c r="F2706">
        <v>1.35</v>
      </c>
      <c r="G2706">
        <v>0.42</v>
      </c>
      <c r="H2706" t="s">
        <v>17</v>
      </c>
    </row>
    <row r="2707" spans="1:8" x14ac:dyDescent="0.25">
      <c r="A2707" t="s">
        <v>31</v>
      </c>
      <c r="B2707">
        <v>62864</v>
      </c>
      <c r="C2707">
        <v>29</v>
      </c>
      <c r="D2707" t="s">
        <v>9</v>
      </c>
      <c r="E2707">
        <v>0.71</v>
      </c>
      <c r="F2707">
        <v>0.93</v>
      </c>
      <c r="G2707">
        <v>0.92</v>
      </c>
      <c r="H2707" t="s">
        <v>10</v>
      </c>
    </row>
    <row r="2708" spans="1:8" x14ac:dyDescent="0.25">
      <c r="A2708" t="s">
        <v>19</v>
      </c>
      <c r="B2708">
        <v>102135</v>
      </c>
      <c r="C2708">
        <v>15</v>
      </c>
      <c r="D2708" t="s">
        <v>9</v>
      </c>
      <c r="E2708">
        <v>0.45</v>
      </c>
      <c r="F2708">
        <v>0.65</v>
      </c>
      <c r="G2708">
        <v>0.19</v>
      </c>
      <c r="H2708" t="s">
        <v>13</v>
      </c>
    </row>
    <row r="2709" spans="1:8" x14ac:dyDescent="0.25">
      <c r="A2709" t="s">
        <v>30</v>
      </c>
      <c r="B2709">
        <v>120061</v>
      </c>
      <c r="C2709">
        <v>26</v>
      </c>
      <c r="D2709" t="s">
        <v>28</v>
      </c>
      <c r="E2709">
        <v>0.09</v>
      </c>
      <c r="F2709">
        <v>0.84</v>
      </c>
      <c r="G2709">
        <v>0.12</v>
      </c>
      <c r="H2709" t="s">
        <v>13</v>
      </c>
    </row>
    <row r="2710" spans="1:8" x14ac:dyDescent="0.25">
      <c r="A2710" t="s">
        <v>23</v>
      </c>
      <c r="B2710">
        <v>84879</v>
      </c>
      <c r="C2710">
        <v>3</v>
      </c>
      <c r="D2710" t="s">
        <v>15</v>
      </c>
      <c r="E2710">
        <v>7.0000000000000007E-2</v>
      </c>
      <c r="F2710">
        <v>1.25</v>
      </c>
      <c r="G2710">
        <v>0.81</v>
      </c>
      <c r="H2710" t="s">
        <v>10</v>
      </c>
    </row>
    <row r="2711" spans="1:8" x14ac:dyDescent="0.25">
      <c r="A2711" t="s">
        <v>32</v>
      </c>
      <c r="B2711">
        <v>105342</v>
      </c>
      <c r="C2711">
        <v>22</v>
      </c>
      <c r="D2711" t="s">
        <v>28</v>
      </c>
      <c r="E2711">
        <v>0.45</v>
      </c>
      <c r="F2711">
        <v>1.37</v>
      </c>
      <c r="G2711">
        <v>0.44</v>
      </c>
      <c r="H2711" t="s">
        <v>17</v>
      </c>
    </row>
    <row r="2712" spans="1:8" x14ac:dyDescent="0.25">
      <c r="A2712" t="s">
        <v>22</v>
      </c>
      <c r="B2712">
        <v>115424</v>
      </c>
      <c r="C2712">
        <v>27</v>
      </c>
      <c r="D2712" t="s">
        <v>12</v>
      </c>
      <c r="E2712">
        <v>0.73</v>
      </c>
      <c r="F2712">
        <v>0.51</v>
      </c>
      <c r="G2712">
        <v>0.34</v>
      </c>
      <c r="H2712" t="s">
        <v>17</v>
      </c>
    </row>
    <row r="2713" spans="1:8" x14ac:dyDescent="0.25">
      <c r="A2713" t="s">
        <v>8</v>
      </c>
      <c r="B2713">
        <v>75381</v>
      </c>
      <c r="C2713">
        <v>12</v>
      </c>
      <c r="D2713" t="s">
        <v>28</v>
      </c>
      <c r="E2713">
        <v>0.87</v>
      </c>
      <c r="F2713">
        <v>1.39</v>
      </c>
      <c r="G2713">
        <v>0.84</v>
      </c>
      <c r="H2713" t="s">
        <v>10</v>
      </c>
    </row>
    <row r="2714" spans="1:8" x14ac:dyDescent="0.25">
      <c r="A2714" t="s">
        <v>18</v>
      </c>
      <c r="B2714">
        <v>112146</v>
      </c>
      <c r="C2714">
        <v>23</v>
      </c>
      <c r="D2714" t="s">
        <v>12</v>
      </c>
      <c r="E2714">
        <v>0.75</v>
      </c>
      <c r="F2714">
        <v>1.1599999999999999</v>
      </c>
      <c r="G2714">
        <v>0.56000000000000005</v>
      </c>
      <c r="H2714" t="s">
        <v>17</v>
      </c>
    </row>
    <row r="2715" spans="1:8" x14ac:dyDescent="0.25">
      <c r="A2715" t="s">
        <v>34</v>
      </c>
      <c r="B2715">
        <v>61973</v>
      </c>
      <c r="C2715">
        <v>11</v>
      </c>
      <c r="D2715" t="s">
        <v>15</v>
      </c>
      <c r="E2715">
        <v>0.45</v>
      </c>
      <c r="F2715">
        <v>0.77</v>
      </c>
      <c r="G2715">
        <v>0.67</v>
      </c>
      <c r="H2715" t="s">
        <v>17</v>
      </c>
    </row>
    <row r="2716" spans="1:8" x14ac:dyDescent="0.25">
      <c r="A2716" t="s">
        <v>16</v>
      </c>
      <c r="B2716">
        <v>147442</v>
      </c>
      <c r="C2716">
        <v>16</v>
      </c>
      <c r="D2716" t="s">
        <v>12</v>
      </c>
      <c r="E2716">
        <v>0.8</v>
      </c>
      <c r="F2716">
        <v>1.22</v>
      </c>
      <c r="G2716">
        <v>0.39</v>
      </c>
      <c r="H2716" t="s">
        <v>17</v>
      </c>
    </row>
    <row r="2717" spans="1:8" x14ac:dyDescent="0.25">
      <c r="A2717" t="s">
        <v>30</v>
      </c>
      <c r="B2717">
        <v>73904</v>
      </c>
      <c r="C2717">
        <v>2</v>
      </c>
      <c r="D2717" t="s">
        <v>28</v>
      </c>
      <c r="E2717">
        <v>0.64</v>
      </c>
      <c r="F2717">
        <v>0.71</v>
      </c>
      <c r="G2717">
        <v>0.2</v>
      </c>
      <c r="H2717" t="s">
        <v>13</v>
      </c>
    </row>
    <row r="2718" spans="1:8" x14ac:dyDescent="0.25">
      <c r="A2718" t="s">
        <v>24</v>
      </c>
      <c r="B2718">
        <v>131937</v>
      </c>
      <c r="C2718">
        <v>24</v>
      </c>
      <c r="D2718" t="s">
        <v>28</v>
      </c>
      <c r="E2718">
        <v>0.37</v>
      </c>
      <c r="F2718">
        <v>0.7</v>
      </c>
      <c r="G2718">
        <v>0.43</v>
      </c>
      <c r="H2718" t="s">
        <v>17</v>
      </c>
    </row>
    <row r="2719" spans="1:8" x14ac:dyDescent="0.25">
      <c r="A2719" t="s">
        <v>27</v>
      </c>
      <c r="B2719">
        <v>122928</v>
      </c>
      <c r="C2719">
        <v>23</v>
      </c>
      <c r="D2719" t="s">
        <v>9</v>
      </c>
      <c r="E2719">
        <v>0.5</v>
      </c>
      <c r="F2719">
        <v>0.91</v>
      </c>
      <c r="G2719">
        <v>0.67</v>
      </c>
      <c r="H2719" t="s">
        <v>17</v>
      </c>
    </row>
    <row r="2720" spans="1:8" x14ac:dyDescent="0.25">
      <c r="A2720" t="s">
        <v>18</v>
      </c>
      <c r="B2720">
        <v>133120</v>
      </c>
      <c r="C2720">
        <v>25</v>
      </c>
      <c r="D2720" t="s">
        <v>15</v>
      </c>
      <c r="E2720">
        <v>0.04</v>
      </c>
      <c r="F2720">
        <v>1.17</v>
      </c>
      <c r="G2720">
        <v>0.42</v>
      </c>
      <c r="H2720" t="s">
        <v>17</v>
      </c>
    </row>
    <row r="2721" spans="1:8" x14ac:dyDescent="0.25">
      <c r="A2721" t="s">
        <v>26</v>
      </c>
      <c r="B2721">
        <v>33796</v>
      </c>
      <c r="C2721">
        <v>5</v>
      </c>
      <c r="D2721" t="s">
        <v>15</v>
      </c>
      <c r="E2721">
        <v>0.78</v>
      </c>
      <c r="F2721">
        <v>1.23</v>
      </c>
      <c r="G2721">
        <v>0.32</v>
      </c>
      <c r="H2721" t="s">
        <v>17</v>
      </c>
    </row>
    <row r="2722" spans="1:8" x14ac:dyDescent="0.25">
      <c r="A2722" t="s">
        <v>25</v>
      </c>
      <c r="B2722">
        <v>92058</v>
      </c>
      <c r="C2722">
        <v>1</v>
      </c>
      <c r="D2722" t="s">
        <v>12</v>
      </c>
      <c r="E2722">
        <v>0.55000000000000004</v>
      </c>
      <c r="F2722">
        <v>0.76</v>
      </c>
      <c r="G2722">
        <v>0.63</v>
      </c>
      <c r="H2722" t="s">
        <v>17</v>
      </c>
    </row>
    <row r="2723" spans="1:8" x14ac:dyDescent="0.25">
      <c r="A2723" t="s">
        <v>27</v>
      </c>
      <c r="B2723">
        <v>46005</v>
      </c>
      <c r="C2723">
        <v>28</v>
      </c>
      <c r="D2723" t="s">
        <v>28</v>
      </c>
      <c r="E2723">
        <v>0.48</v>
      </c>
      <c r="F2723">
        <v>1.31</v>
      </c>
      <c r="G2723">
        <v>0.53</v>
      </c>
      <c r="H2723" t="s">
        <v>17</v>
      </c>
    </row>
    <row r="2724" spans="1:8" x14ac:dyDescent="0.25">
      <c r="A2724" t="s">
        <v>8</v>
      </c>
      <c r="B2724">
        <v>63445</v>
      </c>
      <c r="C2724">
        <v>14</v>
      </c>
      <c r="D2724" t="s">
        <v>12</v>
      </c>
      <c r="E2724">
        <v>0.52</v>
      </c>
      <c r="F2724">
        <v>0.89</v>
      </c>
      <c r="G2724">
        <v>0.89</v>
      </c>
      <c r="H2724" t="s">
        <v>10</v>
      </c>
    </row>
    <row r="2725" spans="1:8" x14ac:dyDescent="0.25">
      <c r="A2725" t="s">
        <v>26</v>
      </c>
      <c r="B2725">
        <v>50377</v>
      </c>
      <c r="C2725">
        <v>0</v>
      </c>
      <c r="D2725" t="s">
        <v>9</v>
      </c>
      <c r="E2725">
        <v>0.87</v>
      </c>
      <c r="F2725">
        <v>1.2</v>
      </c>
      <c r="G2725">
        <v>0.42</v>
      </c>
      <c r="H2725" t="s">
        <v>17</v>
      </c>
    </row>
    <row r="2726" spans="1:8" x14ac:dyDescent="0.25">
      <c r="A2726" t="s">
        <v>29</v>
      </c>
      <c r="B2726">
        <v>88851</v>
      </c>
      <c r="C2726">
        <v>0</v>
      </c>
      <c r="D2726" t="s">
        <v>28</v>
      </c>
      <c r="E2726">
        <v>0.42</v>
      </c>
      <c r="F2726">
        <v>1</v>
      </c>
      <c r="G2726">
        <v>0.72</v>
      </c>
      <c r="H2726" t="s">
        <v>10</v>
      </c>
    </row>
    <row r="2727" spans="1:8" x14ac:dyDescent="0.25">
      <c r="A2727" t="s">
        <v>19</v>
      </c>
      <c r="B2727">
        <v>94127</v>
      </c>
      <c r="C2727">
        <v>13</v>
      </c>
      <c r="D2727" t="s">
        <v>9</v>
      </c>
      <c r="E2727">
        <v>0.18</v>
      </c>
      <c r="F2727">
        <v>0.92</v>
      </c>
      <c r="G2727">
        <v>0.23</v>
      </c>
      <c r="H2727" t="s">
        <v>13</v>
      </c>
    </row>
    <row r="2728" spans="1:8" x14ac:dyDescent="0.25">
      <c r="A2728" t="s">
        <v>27</v>
      </c>
      <c r="B2728">
        <v>36703</v>
      </c>
      <c r="C2728">
        <v>11</v>
      </c>
      <c r="D2728" t="s">
        <v>15</v>
      </c>
      <c r="E2728">
        <v>0.82</v>
      </c>
      <c r="F2728">
        <v>1.24</v>
      </c>
      <c r="G2728">
        <v>0.69</v>
      </c>
      <c r="H2728" t="s">
        <v>17</v>
      </c>
    </row>
    <row r="2729" spans="1:8" x14ac:dyDescent="0.25">
      <c r="A2729" t="s">
        <v>11</v>
      </c>
      <c r="B2729">
        <v>120027</v>
      </c>
      <c r="C2729">
        <v>21</v>
      </c>
      <c r="D2729" t="s">
        <v>9</v>
      </c>
      <c r="E2729">
        <v>0.25</v>
      </c>
      <c r="F2729">
        <v>1.07</v>
      </c>
      <c r="G2729">
        <v>0.2</v>
      </c>
      <c r="H2729" t="s">
        <v>13</v>
      </c>
    </row>
    <row r="2730" spans="1:8" x14ac:dyDescent="0.25">
      <c r="A2730" t="s">
        <v>16</v>
      </c>
      <c r="B2730">
        <v>36384</v>
      </c>
      <c r="C2730">
        <v>13</v>
      </c>
      <c r="D2730" t="s">
        <v>12</v>
      </c>
      <c r="E2730">
        <v>0.45</v>
      </c>
      <c r="F2730">
        <v>0.56999999999999995</v>
      </c>
      <c r="G2730">
        <v>0.46</v>
      </c>
      <c r="H2730" t="s">
        <v>17</v>
      </c>
    </row>
    <row r="2731" spans="1:8" x14ac:dyDescent="0.25">
      <c r="A2731" t="s">
        <v>32</v>
      </c>
      <c r="B2731">
        <v>41460</v>
      </c>
      <c r="C2731">
        <v>29</v>
      </c>
      <c r="D2731" t="s">
        <v>15</v>
      </c>
      <c r="E2731">
        <v>0.43</v>
      </c>
      <c r="F2731">
        <v>1.46</v>
      </c>
      <c r="G2731">
        <v>0.65</v>
      </c>
      <c r="H2731" t="s">
        <v>17</v>
      </c>
    </row>
    <row r="2732" spans="1:8" x14ac:dyDescent="0.25">
      <c r="A2732" t="s">
        <v>16</v>
      </c>
      <c r="B2732">
        <v>87803</v>
      </c>
      <c r="C2732">
        <v>1</v>
      </c>
      <c r="D2732" t="s">
        <v>15</v>
      </c>
      <c r="E2732">
        <v>0.65</v>
      </c>
      <c r="F2732">
        <v>0.92</v>
      </c>
      <c r="G2732">
        <v>0.57999999999999996</v>
      </c>
      <c r="H2732" t="s">
        <v>17</v>
      </c>
    </row>
    <row r="2733" spans="1:8" x14ac:dyDescent="0.25">
      <c r="A2733" t="s">
        <v>30</v>
      </c>
      <c r="B2733">
        <v>46482</v>
      </c>
      <c r="C2733">
        <v>1</v>
      </c>
      <c r="D2733" t="s">
        <v>12</v>
      </c>
      <c r="E2733">
        <v>0.42</v>
      </c>
      <c r="F2733">
        <v>1.43</v>
      </c>
      <c r="G2733">
        <v>0.09</v>
      </c>
      <c r="H2733" t="s">
        <v>13</v>
      </c>
    </row>
    <row r="2734" spans="1:8" x14ac:dyDescent="0.25">
      <c r="A2734" t="s">
        <v>23</v>
      </c>
      <c r="B2734">
        <v>73307</v>
      </c>
      <c r="C2734">
        <v>20</v>
      </c>
      <c r="D2734" t="s">
        <v>12</v>
      </c>
      <c r="E2734">
        <v>0.4</v>
      </c>
      <c r="F2734">
        <v>0.78</v>
      </c>
      <c r="G2734">
        <v>0.85</v>
      </c>
      <c r="H2734" t="s">
        <v>10</v>
      </c>
    </row>
    <row r="2735" spans="1:8" x14ac:dyDescent="0.25">
      <c r="A2735" t="s">
        <v>27</v>
      </c>
      <c r="B2735">
        <v>37505</v>
      </c>
      <c r="C2735">
        <v>27</v>
      </c>
      <c r="D2735" t="s">
        <v>12</v>
      </c>
      <c r="E2735">
        <v>0.92</v>
      </c>
      <c r="F2735">
        <v>1.34</v>
      </c>
      <c r="G2735">
        <v>0.38</v>
      </c>
      <c r="H2735" t="s">
        <v>17</v>
      </c>
    </row>
    <row r="2736" spans="1:8" x14ac:dyDescent="0.25">
      <c r="A2736" t="s">
        <v>23</v>
      </c>
      <c r="B2736">
        <v>57205</v>
      </c>
      <c r="C2736">
        <v>10</v>
      </c>
      <c r="D2736" t="s">
        <v>12</v>
      </c>
      <c r="E2736">
        <v>0.67</v>
      </c>
      <c r="F2736">
        <v>1.46</v>
      </c>
      <c r="G2736">
        <v>0.77</v>
      </c>
      <c r="H2736" t="s">
        <v>10</v>
      </c>
    </row>
    <row r="2737" spans="1:8" x14ac:dyDescent="0.25">
      <c r="A2737" t="s">
        <v>24</v>
      </c>
      <c r="B2737">
        <v>82025</v>
      </c>
      <c r="C2737">
        <v>10</v>
      </c>
      <c r="D2737" t="s">
        <v>12</v>
      </c>
      <c r="E2737">
        <v>0.66</v>
      </c>
      <c r="F2737">
        <v>0.98</v>
      </c>
      <c r="G2737">
        <v>0.68</v>
      </c>
      <c r="H2737" t="s">
        <v>17</v>
      </c>
    </row>
    <row r="2738" spans="1:8" x14ac:dyDescent="0.25">
      <c r="A2738" t="s">
        <v>25</v>
      </c>
      <c r="B2738">
        <v>121676</v>
      </c>
      <c r="C2738">
        <v>21</v>
      </c>
      <c r="D2738" t="s">
        <v>9</v>
      </c>
      <c r="E2738">
        <v>0.31</v>
      </c>
      <c r="F2738">
        <v>0.57999999999999996</v>
      </c>
      <c r="G2738">
        <v>0.52</v>
      </c>
      <c r="H2738" t="s">
        <v>17</v>
      </c>
    </row>
    <row r="2739" spans="1:8" x14ac:dyDescent="0.25">
      <c r="A2739" t="s">
        <v>8</v>
      </c>
      <c r="B2739">
        <v>145614</v>
      </c>
      <c r="C2739">
        <v>28</v>
      </c>
      <c r="D2739" t="s">
        <v>15</v>
      </c>
      <c r="E2739">
        <v>0.82</v>
      </c>
      <c r="F2739">
        <v>0.82</v>
      </c>
      <c r="G2739">
        <v>0.72</v>
      </c>
      <c r="H2739" t="s">
        <v>10</v>
      </c>
    </row>
    <row r="2740" spans="1:8" x14ac:dyDescent="0.25">
      <c r="A2740" t="s">
        <v>29</v>
      </c>
      <c r="B2740">
        <v>124362</v>
      </c>
      <c r="C2740">
        <v>1</v>
      </c>
      <c r="D2740" t="s">
        <v>15</v>
      </c>
      <c r="E2740">
        <v>0.11</v>
      </c>
      <c r="F2740">
        <v>1.33</v>
      </c>
      <c r="G2740">
        <v>0.89</v>
      </c>
      <c r="H2740" t="s">
        <v>10</v>
      </c>
    </row>
    <row r="2741" spans="1:8" x14ac:dyDescent="0.25">
      <c r="A2741" t="s">
        <v>18</v>
      </c>
      <c r="B2741">
        <v>133132</v>
      </c>
      <c r="C2741">
        <v>12</v>
      </c>
      <c r="D2741" t="s">
        <v>28</v>
      </c>
      <c r="E2741">
        <v>0.37</v>
      </c>
      <c r="F2741">
        <v>1.18</v>
      </c>
      <c r="G2741">
        <v>0.44</v>
      </c>
      <c r="H2741" t="s">
        <v>17</v>
      </c>
    </row>
    <row r="2742" spans="1:8" x14ac:dyDescent="0.25">
      <c r="A2742" t="s">
        <v>31</v>
      </c>
      <c r="B2742">
        <v>133601</v>
      </c>
      <c r="C2742">
        <v>9</v>
      </c>
      <c r="D2742" t="s">
        <v>9</v>
      </c>
      <c r="E2742">
        <v>0.3</v>
      </c>
      <c r="F2742">
        <v>0.63</v>
      </c>
      <c r="G2742">
        <v>0.93</v>
      </c>
      <c r="H2742" t="s">
        <v>10</v>
      </c>
    </row>
    <row r="2743" spans="1:8" x14ac:dyDescent="0.25">
      <c r="A2743" t="s">
        <v>18</v>
      </c>
      <c r="B2743">
        <v>32894</v>
      </c>
      <c r="C2743">
        <v>3</v>
      </c>
      <c r="D2743" t="s">
        <v>28</v>
      </c>
      <c r="E2743">
        <v>0.19</v>
      </c>
      <c r="F2743">
        <v>0.79</v>
      </c>
      <c r="G2743">
        <v>0.38</v>
      </c>
      <c r="H2743" t="s">
        <v>17</v>
      </c>
    </row>
    <row r="2744" spans="1:8" x14ac:dyDescent="0.25">
      <c r="A2744" t="s">
        <v>26</v>
      </c>
      <c r="B2744">
        <v>65714</v>
      </c>
      <c r="C2744">
        <v>11</v>
      </c>
      <c r="D2744" t="s">
        <v>15</v>
      </c>
      <c r="E2744">
        <v>0.74</v>
      </c>
      <c r="F2744">
        <v>0.69</v>
      </c>
      <c r="G2744">
        <v>0.63</v>
      </c>
      <c r="H2744" t="s">
        <v>17</v>
      </c>
    </row>
    <row r="2745" spans="1:8" x14ac:dyDescent="0.25">
      <c r="A2745" t="s">
        <v>34</v>
      </c>
      <c r="B2745">
        <v>110560</v>
      </c>
      <c r="C2745">
        <v>25</v>
      </c>
      <c r="D2745" t="s">
        <v>28</v>
      </c>
      <c r="E2745">
        <v>0.92</v>
      </c>
      <c r="F2745">
        <v>1.04</v>
      </c>
      <c r="G2745">
        <v>0.4</v>
      </c>
      <c r="H2745" t="s">
        <v>17</v>
      </c>
    </row>
    <row r="2746" spans="1:8" x14ac:dyDescent="0.25">
      <c r="A2746" t="s">
        <v>33</v>
      </c>
      <c r="B2746">
        <v>115236</v>
      </c>
      <c r="C2746">
        <v>23</v>
      </c>
      <c r="D2746" t="s">
        <v>15</v>
      </c>
      <c r="E2746">
        <v>0.81</v>
      </c>
      <c r="F2746">
        <v>0.95</v>
      </c>
      <c r="G2746">
        <v>0.05</v>
      </c>
      <c r="H2746" t="s">
        <v>13</v>
      </c>
    </row>
    <row r="2747" spans="1:8" x14ac:dyDescent="0.25">
      <c r="A2747" t="s">
        <v>31</v>
      </c>
      <c r="B2747">
        <v>36276</v>
      </c>
      <c r="C2747">
        <v>16</v>
      </c>
      <c r="D2747" t="s">
        <v>9</v>
      </c>
      <c r="E2747">
        <v>0.51</v>
      </c>
      <c r="F2747">
        <v>1.04</v>
      </c>
      <c r="G2747">
        <v>0.87</v>
      </c>
      <c r="H2747" t="s">
        <v>10</v>
      </c>
    </row>
    <row r="2748" spans="1:8" x14ac:dyDescent="0.25">
      <c r="A2748" t="s">
        <v>27</v>
      </c>
      <c r="B2748">
        <v>111779</v>
      </c>
      <c r="C2748">
        <v>22</v>
      </c>
      <c r="D2748" t="s">
        <v>28</v>
      </c>
      <c r="E2748">
        <v>0.49</v>
      </c>
      <c r="F2748">
        <v>0.94</v>
      </c>
      <c r="G2748">
        <v>0.51</v>
      </c>
      <c r="H2748" t="s">
        <v>17</v>
      </c>
    </row>
    <row r="2749" spans="1:8" x14ac:dyDescent="0.25">
      <c r="A2749" t="s">
        <v>16</v>
      </c>
      <c r="B2749">
        <v>44775</v>
      </c>
      <c r="C2749">
        <v>26</v>
      </c>
      <c r="D2749" t="s">
        <v>15</v>
      </c>
      <c r="E2749">
        <v>0.6</v>
      </c>
      <c r="F2749">
        <v>1.19</v>
      </c>
      <c r="G2749">
        <v>0.53</v>
      </c>
      <c r="H2749" t="s">
        <v>17</v>
      </c>
    </row>
    <row r="2750" spans="1:8" x14ac:dyDescent="0.25">
      <c r="A2750" t="s">
        <v>22</v>
      </c>
      <c r="B2750">
        <v>140564</v>
      </c>
      <c r="C2750">
        <v>22</v>
      </c>
      <c r="D2750" t="s">
        <v>28</v>
      </c>
      <c r="E2750">
        <v>0.48</v>
      </c>
      <c r="F2750">
        <v>0.7</v>
      </c>
      <c r="G2750">
        <v>0.34</v>
      </c>
      <c r="H2750" t="s">
        <v>17</v>
      </c>
    </row>
    <row r="2751" spans="1:8" x14ac:dyDescent="0.25">
      <c r="A2751" t="s">
        <v>14</v>
      </c>
      <c r="B2751">
        <v>108256</v>
      </c>
      <c r="C2751">
        <v>23</v>
      </c>
      <c r="D2751" t="s">
        <v>9</v>
      </c>
      <c r="E2751">
        <v>0.64</v>
      </c>
      <c r="F2751">
        <v>0.88</v>
      </c>
      <c r="G2751">
        <v>0.82</v>
      </c>
      <c r="H2751" t="s">
        <v>10</v>
      </c>
    </row>
    <row r="2752" spans="1:8" x14ac:dyDescent="0.25">
      <c r="A2752" t="s">
        <v>26</v>
      </c>
      <c r="B2752">
        <v>117377</v>
      </c>
      <c r="C2752">
        <v>1</v>
      </c>
      <c r="D2752" t="s">
        <v>28</v>
      </c>
      <c r="E2752">
        <v>0.93</v>
      </c>
      <c r="F2752">
        <v>0.9</v>
      </c>
      <c r="G2752">
        <v>0.48</v>
      </c>
      <c r="H2752" t="s">
        <v>17</v>
      </c>
    </row>
    <row r="2753" spans="1:8" x14ac:dyDescent="0.25">
      <c r="A2753" t="s">
        <v>8</v>
      </c>
      <c r="B2753">
        <v>39479</v>
      </c>
      <c r="C2753">
        <v>19</v>
      </c>
      <c r="D2753" t="s">
        <v>28</v>
      </c>
      <c r="E2753">
        <v>0.05</v>
      </c>
      <c r="F2753">
        <v>0.54</v>
      </c>
      <c r="G2753">
        <v>0.86</v>
      </c>
      <c r="H2753" t="s">
        <v>10</v>
      </c>
    </row>
    <row r="2754" spans="1:8" x14ac:dyDescent="0.25">
      <c r="A2754" t="s">
        <v>14</v>
      </c>
      <c r="B2754">
        <v>130003</v>
      </c>
      <c r="C2754">
        <v>19</v>
      </c>
      <c r="D2754" t="s">
        <v>15</v>
      </c>
      <c r="E2754">
        <v>0.92</v>
      </c>
      <c r="F2754">
        <v>0.79</v>
      </c>
      <c r="G2754">
        <v>0.71</v>
      </c>
      <c r="H2754" t="s">
        <v>10</v>
      </c>
    </row>
    <row r="2755" spans="1:8" x14ac:dyDescent="0.25">
      <c r="A2755" t="s">
        <v>16</v>
      </c>
      <c r="B2755">
        <v>128039</v>
      </c>
      <c r="C2755">
        <v>17</v>
      </c>
      <c r="D2755" t="s">
        <v>12</v>
      </c>
      <c r="E2755">
        <v>0.8</v>
      </c>
      <c r="F2755">
        <v>1.34</v>
      </c>
      <c r="G2755">
        <v>0.57999999999999996</v>
      </c>
      <c r="H2755" t="s">
        <v>17</v>
      </c>
    </row>
    <row r="2756" spans="1:8" x14ac:dyDescent="0.25">
      <c r="A2756" t="s">
        <v>34</v>
      </c>
      <c r="B2756">
        <v>55563</v>
      </c>
      <c r="C2756">
        <v>3</v>
      </c>
      <c r="D2756" t="s">
        <v>28</v>
      </c>
      <c r="E2756">
        <v>0.72</v>
      </c>
      <c r="F2756">
        <v>1.41</v>
      </c>
      <c r="G2756">
        <v>0.33</v>
      </c>
      <c r="H2756" t="s">
        <v>17</v>
      </c>
    </row>
    <row r="2757" spans="1:8" x14ac:dyDescent="0.25">
      <c r="A2757" t="s">
        <v>20</v>
      </c>
      <c r="B2757">
        <v>57287</v>
      </c>
      <c r="C2757">
        <v>28</v>
      </c>
      <c r="D2757" t="s">
        <v>9</v>
      </c>
      <c r="E2757">
        <v>0.32</v>
      </c>
      <c r="F2757">
        <v>1.07</v>
      </c>
      <c r="G2757">
        <v>0.36</v>
      </c>
      <c r="H2757" t="s">
        <v>17</v>
      </c>
    </row>
    <row r="2758" spans="1:8" x14ac:dyDescent="0.25">
      <c r="A2758" t="s">
        <v>27</v>
      </c>
      <c r="B2758">
        <v>70103</v>
      </c>
      <c r="C2758">
        <v>5</v>
      </c>
      <c r="D2758" t="s">
        <v>12</v>
      </c>
      <c r="E2758">
        <v>0.25</v>
      </c>
      <c r="F2758">
        <v>1.28</v>
      </c>
      <c r="G2758">
        <v>0.64</v>
      </c>
      <c r="H2758" t="s">
        <v>17</v>
      </c>
    </row>
    <row r="2759" spans="1:8" x14ac:dyDescent="0.25">
      <c r="A2759" t="s">
        <v>30</v>
      </c>
      <c r="B2759">
        <v>126600</v>
      </c>
      <c r="C2759">
        <v>19</v>
      </c>
      <c r="D2759" t="s">
        <v>9</v>
      </c>
      <c r="E2759">
        <v>0.54</v>
      </c>
      <c r="F2759">
        <v>1.05</v>
      </c>
      <c r="G2759">
        <v>0.21</v>
      </c>
      <c r="H2759" t="s">
        <v>13</v>
      </c>
    </row>
    <row r="2760" spans="1:8" x14ac:dyDescent="0.25">
      <c r="A2760" t="s">
        <v>18</v>
      </c>
      <c r="B2760">
        <v>57217</v>
      </c>
      <c r="C2760">
        <v>16</v>
      </c>
      <c r="D2760" t="s">
        <v>9</v>
      </c>
      <c r="E2760">
        <v>0.59</v>
      </c>
      <c r="F2760">
        <v>1.1100000000000001</v>
      </c>
      <c r="G2760">
        <v>0.51</v>
      </c>
      <c r="H2760" t="s">
        <v>17</v>
      </c>
    </row>
    <row r="2761" spans="1:8" x14ac:dyDescent="0.25">
      <c r="A2761" t="s">
        <v>26</v>
      </c>
      <c r="B2761">
        <v>82216</v>
      </c>
      <c r="C2761">
        <v>22</v>
      </c>
      <c r="D2761" t="s">
        <v>28</v>
      </c>
      <c r="E2761">
        <v>0.49</v>
      </c>
      <c r="F2761">
        <v>1.19</v>
      </c>
      <c r="G2761">
        <v>0.44</v>
      </c>
      <c r="H2761" t="s">
        <v>17</v>
      </c>
    </row>
    <row r="2762" spans="1:8" x14ac:dyDescent="0.25">
      <c r="A2762" t="s">
        <v>21</v>
      </c>
      <c r="B2762">
        <v>147063</v>
      </c>
      <c r="C2762">
        <v>28</v>
      </c>
      <c r="D2762" t="s">
        <v>15</v>
      </c>
      <c r="E2762">
        <v>0.63</v>
      </c>
      <c r="F2762">
        <v>1.35</v>
      </c>
      <c r="G2762">
        <v>0.21</v>
      </c>
      <c r="H2762" t="s">
        <v>13</v>
      </c>
    </row>
    <row r="2763" spans="1:8" x14ac:dyDescent="0.25">
      <c r="A2763" t="s">
        <v>32</v>
      </c>
      <c r="B2763">
        <v>67631</v>
      </c>
      <c r="C2763">
        <v>21</v>
      </c>
      <c r="D2763" t="s">
        <v>9</v>
      </c>
      <c r="E2763">
        <v>0.6</v>
      </c>
      <c r="F2763">
        <v>0.99</v>
      </c>
      <c r="G2763">
        <v>0.32</v>
      </c>
      <c r="H2763" t="s">
        <v>17</v>
      </c>
    </row>
    <row r="2764" spans="1:8" x14ac:dyDescent="0.25">
      <c r="A2764" t="s">
        <v>14</v>
      </c>
      <c r="B2764">
        <v>116425</v>
      </c>
      <c r="C2764">
        <v>27</v>
      </c>
      <c r="D2764" t="s">
        <v>9</v>
      </c>
      <c r="E2764">
        <v>0.34</v>
      </c>
      <c r="F2764">
        <v>0.83</v>
      </c>
      <c r="G2764">
        <v>0.94</v>
      </c>
      <c r="H2764" t="s">
        <v>10</v>
      </c>
    </row>
    <row r="2765" spans="1:8" x14ac:dyDescent="0.25">
      <c r="A2765" t="s">
        <v>34</v>
      </c>
      <c r="B2765">
        <v>146598</v>
      </c>
      <c r="C2765">
        <v>16</v>
      </c>
      <c r="D2765" t="s">
        <v>9</v>
      </c>
      <c r="E2765">
        <v>0.95</v>
      </c>
      <c r="F2765">
        <v>1.17</v>
      </c>
      <c r="G2765">
        <v>0.64</v>
      </c>
      <c r="H2765" t="s">
        <v>17</v>
      </c>
    </row>
    <row r="2766" spans="1:8" x14ac:dyDescent="0.25">
      <c r="A2766" t="s">
        <v>26</v>
      </c>
      <c r="B2766">
        <v>45597</v>
      </c>
      <c r="C2766">
        <v>28</v>
      </c>
      <c r="D2766" t="s">
        <v>9</v>
      </c>
      <c r="E2766">
        <v>0.28000000000000003</v>
      </c>
      <c r="F2766">
        <v>1.1599999999999999</v>
      </c>
      <c r="G2766">
        <v>0.64</v>
      </c>
      <c r="H2766" t="s">
        <v>17</v>
      </c>
    </row>
    <row r="2767" spans="1:8" x14ac:dyDescent="0.25">
      <c r="A2767" t="s">
        <v>16</v>
      </c>
      <c r="B2767">
        <v>119643</v>
      </c>
      <c r="C2767">
        <v>4</v>
      </c>
      <c r="D2767" t="s">
        <v>12</v>
      </c>
      <c r="E2767">
        <v>0.08</v>
      </c>
      <c r="F2767">
        <v>0.76</v>
      </c>
      <c r="G2767">
        <v>0.59</v>
      </c>
      <c r="H2767" t="s">
        <v>17</v>
      </c>
    </row>
    <row r="2768" spans="1:8" x14ac:dyDescent="0.25">
      <c r="A2768" t="s">
        <v>14</v>
      </c>
      <c r="B2768">
        <v>56108</v>
      </c>
      <c r="C2768">
        <v>28</v>
      </c>
      <c r="D2768" t="s">
        <v>15</v>
      </c>
      <c r="E2768">
        <v>0.28000000000000003</v>
      </c>
      <c r="F2768">
        <v>0.89</v>
      </c>
      <c r="G2768">
        <v>0.76</v>
      </c>
      <c r="H2768" t="s">
        <v>10</v>
      </c>
    </row>
    <row r="2769" spans="1:8" x14ac:dyDescent="0.25">
      <c r="A2769" t="s">
        <v>26</v>
      </c>
      <c r="B2769">
        <v>40130</v>
      </c>
      <c r="C2769">
        <v>23</v>
      </c>
      <c r="D2769" t="s">
        <v>12</v>
      </c>
      <c r="E2769">
        <v>0.95</v>
      </c>
      <c r="F2769">
        <v>1.33</v>
      </c>
      <c r="G2769">
        <v>0.35</v>
      </c>
      <c r="H2769" t="s">
        <v>17</v>
      </c>
    </row>
    <row r="2770" spans="1:8" x14ac:dyDescent="0.25">
      <c r="A2770" t="s">
        <v>33</v>
      </c>
      <c r="B2770">
        <v>43077</v>
      </c>
      <c r="C2770">
        <v>5</v>
      </c>
      <c r="D2770" t="s">
        <v>15</v>
      </c>
      <c r="E2770">
        <v>0.28999999999999998</v>
      </c>
      <c r="F2770">
        <v>0.78</v>
      </c>
      <c r="G2770">
        <v>0.06</v>
      </c>
      <c r="H2770" t="s">
        <v>13</v>
      </c>
    </row>
    <row r="2771" spans="1:8" x14ac:dyDescent="0.25">
      <c r="A2771" t="s">
        <v>27</v>
      </c>
      <c r="B2771">
        <v>38957</v>
      </c>
      <c r="C2771">
        <v>12</v>
      </c>
      <c r="D2771" t="s">
        <v>9</v>
      </c>
      <c r="E2771">
        <v>0.76</v>
      </c>
      <c r="F2771">
        <v>1.19</v>
      </c>
      <c r="G2771">
        <v>0.44</v>
      </c>
      <c r="H2771" t="s">
        <v>17</v>
      </c>
    </row>
    <row r="2772" spans="1:8" x14ac:dyDescent="0.25">
      <c r="A2772" t="s">
        <v>22</v>
      </c>
      <c r="B2772">
        <v>52989</v>
      </c>
      <c r="C2772">
        <v>20</v>
      </c>
      <c r="D2772" t="s">
        <v>12</v>
      </c>
      <c r="E2772">
        <v>0.62</v>
      </c>
      <c r="F2772">
        <v>0.91</v>
      </c>
      <c r="G2772">
        <v>0.56999999999999995</v>
      </c>
      <c r="H2772" t="s">
        <v>17</v>
      </c>
    </row>
    <row r="2773" spans="1:8" x14ac:dyDescent="0.25">
      <c r="A2773" t="s">
        <v>34</v>
      </c>
      <c r="B2773">
        <v>70544</v>
      </c>
      <c r="C2773">
        <v>1</v>
      </c>
      <c r="D2773" t="s">
        <v>12</v>
      </c>
      <c r="E2773">
        <v>0.01</v>
      </c>
      <c r="F2773">
        <v>1.05</v>
      </c>
      <c r="G2773">
        <v>0.5</v>
      </c>
      <c r="H2773" t="s">
        <v>17</v>
      </c>
    </row>
    <row r="2774" spans="1:8" x14ac:dyDescent="0.25">
      <c r="A2774" t="s">
        <v>14</v>
      </c>
      <c r="B2774">
        <v>45580</v>
      </c>
      <c r="C2774">
        <v>4</v>
      </c>
      <c r="D2774" t="s">
        <v>15</v>
      </c>
      <c r="E2774">
        <v>0.13</v>
      </c>
      <c r="F2774">
        <v>0.74</v>
      </c>
      <c r="G2774">
        <v>0.71</v>
      </c>
      <c r="H2774" t="s">
        <v>10</v>
      </c>
    </row>
    <row r="2775" spans="1:8" x14ac:dyDescent="0.25">
      <c r="A2775" t="s">
        <v>24</v>
      </c>
      <c r="B2775">
        <v>110614</v>
      </c>
      <c r="C2775">
        <v>2</v>
      </c>
      <c r="D2775" t="s">
        <v>9</v>
      </c>
      <c r="E2775">
        <v>0.14000000000000001</v>
      </c>
      <c r="F2775">
        <v>1.38</v>
      </c>
      <c r="G2775">
        <v>0.63</v>
      </c>
      <c r="H2775" t="s">
        <v>17</v>
      </c>
    </row>
    <row r="2776" spans="1:8" x14ac:dyDescent="0.25">
      <c r="A2776" t="s">
        <v>20</v>
      </c>
      <c r="B2776">
        <v>135953</v>
      </c>
      <c r="C2776">
        <v>15</v>
      </c>
      <c r="D2776" t="s">
        <v>15</v>
      </c>
      <c r="E2776">
        <v>0.91</v>
      </c>
      <c r="F2776">
        <v>1.1100000000000001</v>
      </c>
      <c r="G2776">
        <v>0.48</v>
      </c>
      <c r="H2776" t="s">
        <v>17</v>
      </c>
    </row>
    <row r="2777" spans="1:8" x14ac:dyDescent="0.25">
      <c r="A2777" t="s">
        <v>19</v>
      </c>
      <c r="B2777">
        <v>111687</v>
      </c>
      <c r="C2777">
        <v>21</v>
      </c>
      <c r="D2777" t="s">
        <v>15</v>
      </c>
      <c r="E2777">
        <v>0.16</v>
      </c>
      <c r="F2777">
        <v>1.17</v>
      </c>
      <c r="G2777">
        <v>0.2</v>
      </c>
      <c r="H2777" t="s">
        <v>13</v>
      </c>
    </row>
    <row r="2778" spans="1:8" x14ac:dyDescent="0.25">
      <c r="A2778" t="s">
        <v>22</v>
      </c>
      <c r="B2778">
        <v>147426</v>
      </c>
      <c r="C2778">
        <v>15</v>
      </c>
      <c r="D2778" t="s">
        <v>28</v>
      </c>
      <c r="E2778">
        <v>0.25</v>
      </c>
      <c r="F2778">
        <v>1.0900000000000001</v>
      </c>
      <c r="G2778">
        <v>0.49</v>
      </c>
      <c r="H2778" t="s">
        <v>17</v>
      </c>
    </row>
    <row r="2779" spans="1:8" x14ac:dyDescent="0.25">
      <c r="A2779" t="s">
        <v>26</v>
      </c>
      <c r="B2779">
        <v>92778</v>
      </c>
      <c r="C2779">
        <v>13</v>
      </c>
      <c r="D2779" t="s">
        <v>15</v>
      </c>
      <c r="E2779">
        <v>0.99</v>
      </c>
      <c r="F2779">
        <v>1.18</v>
      </c>
      <c r="G2779">
        <v>0.67</v>
      </c>
      <c r="H2779" t="s">
        <v>17</v>
      </c>
    </row>
    <row r="2780" spans="1:8" x14ac:dyDescent="0.25">
      <c r="A2780" t="s">
        <v>33</v>
      </c>
      <c r="B2780">
        <v>107863</v>
      </c>
      <c r="C2780">
        <v>15</v>
      </c>
      <c r="D2780" t="s">
        <v>12</v>
      </c>
      <c r="E2780">
        <v>0.87</v>
      </c>
      <c r="F2780">
        <v>0.98</v>
      </c>
      <c r="G2780">
        <v>0.28999999999999998</v>
      </c>
      <c r="H2780" t="s">
        <v>13</v>
      </c>
    </row>
    <row r="2781" spans="1:8" x14ac:dyDescent="0.25">
      <c r="A2781" t="s">
        <v>22</v>
      </c>
      <c r="B2781">
        <v>73622</v>
      </c>
      <c r="C2781">
        <v>14</v>
      </c>
      <c r="D2781" t="s">
        <v>15</v>
      </c>
      <c r="E2781">
        <v>0.28000000000000003</v>
      </c>
      <c r="F2781">
        <v>0.55000000000000004</v>
      </c>
      <c r="G2781">
        <v>0.48</v>
      </c>
      <c r="H2781" t="s">
        <v>17</v>
      </c>
    </row>
    <row r="2782" spans="1:8" x14ac:dyDescent="0.25">
      <c r="A2782" t="s">
        <v>14</v>
      </c>
      <c r="B2782">
        <v>119565</v>
      </c>
      <c r="C2782">
        <v>9</v>
      </c>
      <c r="D2782" t="s">
        <v>9</v>
      </c>
      <c r="E2782">
        <v>0.21</v>
      </c>
      <c r="F2782">
        <v>1.27</v>
      </c>
      <c r="G2782">
        <v>0.76</v>
      </c>
      <c r="H2782" t="s">
        <v>10</v>
      </c>
    </row>
    <row r="2783" spans="1:8" x14ac:dyDescent="0.25">
      <c r="A2783" t="s">
        <v>25</v>
      </c>
      <c r="B2783">
        <v>36944</v>
      </c>
      <c r="C2783">
        <v>29</v>
      </c>
      <c r="D2783" t="s">
        <v>9</v>
      </c>
      <c r="E2783">
        <v>0.87</v>
      </c>
      <c r="F2783">
        <v>0.52</v>
      </c>
      <c r="G2783">
        <v>0.52</v>
      </c>
      <c r="H2783" t="s">
        <v>17</v>
      </c>
    </row>
    <row r="2784" spans="1:8" x14ac:dyDescent="0.25">
      <c r="A2784" t="s">
        <v>19</v>
      </c>
      <c r="B2784">
        <v>36357</v>
      </c>
      <c r="C2784">
        <v>27</v>
      </c>
      <c r="D2784" t="s">
        <v>28</v>
      </c>
      <c r="E2784">
        <v>0.06</v>
      </c>
      <c r="F2784">
        <v>0.56999999999999995</v>
      </c>
      <c r="G2784">
        <v>0.2</v>
      </c>
      <c r="H2784" t="s">
        <v>13</v>
      </c>
    </row>
    <row r="2785" spans="1:8" x14ac:dyDescent="0.25">
      <c r="A2785" t="s">
        <v>8</v>
      </c>
      <c r="B2785">
        <v>130709</v>
      </c>
      <c r="C2785">
        <v>29</v>
      </c>
      <c r="D2785" t="s">
        <v>28</v>
      </c>
      <c r="E2785">
        <v>0.32</v>
      </c>
      <c r="F2785">
        <v>0.73</v>
      </c>
      <c r="G2785">
        <v>0.94</v>
      </c>
      <c r="H2785" t="s">
        <v>10</v>
      </c>
    </row>
    <row r="2786" spans="1:8" x14ac:dyDescent="0.25">
      <c r="A2786" t="s">
        <v>16</v>
      </c>
      <c r="B2786">
        <v>133134</v>
      </c>
      <c r="C2786">
        <v>3</v>
      </c>
      <c r="D2786" t="s">
        <v>15</v>
      </c>
      <c r="E2786">
        <v>0.44</v>
      </c>
      <c r="F2786">
        <v>1.1499999999999999</v>
      </c>
      <c r="G2786">
        <v>0.43</v>
      </c>
      <c r="H2786" t="s">
        <v>17</v>
      </c>
    </row>
    <row r="2787" spans="1:8" x14ac:dyDescent="0.25">
      <c r="A2787" t="s">
        <v>18</v>
      </c>
      <c r="B2787">
        <v>135383</v>
      </c>
      <c r="C2787">
        <v>29</v>
      </c>
      <c r="D2787" t="s">
        <v>9</v>
      </c>
      <c r="E2787">
        <v>0.39</v>
      </c>
      <c r="F2787">
        <v>0.54</v>
      </c>
      <c r="G2787">
        <v>0.51</v>
      </c>
      <c r="H2787" t="s">
        <v>17</v>
      </c>
    </row>
    <row r="2788" spans="1:8" x14ac:dyDescent="0.25">
      <c r="A2788" t="s">
        <v>31</v>
      </c>
      <c r="B2788">
        <v>58212</v>
      </c>
      <c r="C2788">
        <v>13</v>
      </c>
      <c r="D2788" t="s">
        <v>9</v>
      </c>
      <c r="E2788">
        <v>0.2</v>
      </c>
      <c r="F2788">
        <v>0.79</v>
      </c>
      <c r="G2788">
        <v>0.76</v>
      </c>
      <c r="H2788" t="s">
        <v>10</v>
      </c>
    </row>
    <row r="2789" spans="1:8" x14ac:dyDescent="0.25">
      <c r="A2789" t="s">
        <v>34</v>
      </c>
      <c r="B2789">
        <v>59210</v>
      </c>
      <c r="C2789">
        <v>25</v>
      </c>
      <c r="D2789" t="s">
        <v>28</v>
      </c>
      <c r="E2789">
        <v>0.18</v>
      </c>
      <c r="F2789">
        <v>1.1000000000000001</v>
      </c>
      <c r="G2789">
        <v>0.57999999999999996</v>
      </c>
      <c r="H2789" t="s">
        <v>17</v>
      </c>
    </row>
    <row r="2790" spans="1:8" x14ac:dyDescent="0.25">
      <c r="A2790" t="s">
        <v>20</v>
      </c>
      <c r="B2790">
        <v>65630</v>
      </c>
      <c r="C2790">
        <v>6</v>
      </c>
      <c r="D2790" t="s">
        <v>9</v>
      </c>
      <c r="E2790">
        <v>0.48</v>
      </c>
      <c r="F2790">
        <v>0.89</v>
      </c>
      <c r="G2790">
        <v>0.6</v>
      </c>
      <c r="H2790" t="s">
        <v>17</v>
      </c>
    </row>
    <row r="2791" spans="1:8" x14ac:dyDescent="0.25">
      <c r="A2791" t="s">
        <v>22</v>
      </c>
      <c r="B2791">
        <v>127942</v>
      </c>
      <c r="C2791">
        <v>20</v>
      </c>
      <c r="D2791" t="s">
        <v>15</v>
      </c>
      <c r="E2791">
        <v>0.87</v>
      </c>
      <c r="F2791">
        <v>1.33</v>
      </c>
      <c r="G2791">
        <v>0.5</v>
      </c>
      <c r="H2791" t="s">
        <v>17</v>
      </c>
    </row>
    <row r="2792" spans="1:8" x14ac:dyDescent="0.25">
      <c r="A2792" t="s">
        <v>27</v>
      </c>
      <c r="B2792">
        <v>147050</v>
      </c>
      <c r="C2792">
        <v>16</v>
      </c>
      <c r="D2792" t="s">
        <v>15</v>
      </c>
      <c r="E2792">
        <v>0.47</v>
      </c>
      <c r="F2792">
        <v>1.24</v>
      </c>
      <c r="G2792">
        <v>0.41</v>
      </c>
      <c r="H2792" t="s">
        <v>17</v>
      </c>
    </row>
    <row r="2793" spans="1:8" x14ac:dyDescent="0.25">
      <c r="A2793" t="s">
        <v>16</v>
      </c>
      <c r="B2793">
        <v>100655</v>
      </c>
      <c r="C2793">
        <v>3</v>
      </c>
      <c r="D2793" t="s">
        <v>28</v>
      </c>
      <c r="E2793">
        <v>0.79</v>
      </c>
      <c r="F2793">
        <v>1.1499999999999999</v>
      </c>
      <c r="G2793">
        <v>0.41</v>
      </c>
      <c r="H2793" t="s">
        <v>17</v>
      </c>
    </row>
    <row r="2794" spans="1:8" x14ac:dyDescent="0.25">
      <c r="A2794" t="s">
        <v>16</v>
      </c>
      <c r="B2794">
        <v>52901</v>
      </c>
      <c r="C2794">
        <v>8</v>
      </c>
      <c r="D2794" t="s">
        <v>9</v>
      </c>
      <c r="E2794">
        <v>0.74</v>
      </c>
      <c r="F2794">
        <v>1.02</v>
      </c>
      <c r="G2794">
        <v>0.67</v>
      </c>
      <c r="H2794" t="s">
        <v>17</v>
      </c>
    </row>
    <row r="2795" spans="1:8" x14ac:dyDescent="0.25">
      <c r="A2795" t="s">
        <v>34</v>
      </c>
      <c r="B2795">
        <v>63144</v>
      </c>
      <c r="C2795">
        <v>24</v>
      </c>
      <c r="D2795" t="s">
        <v>12</v>
      </c>
      <c r="E2795">
        <v>0.41</v>
      </c>
      <c r="F2795">
        <v>0.81</v>
      </c>
      <c r="G2795">
        <v>0.45</v>
      </c>
      <c r="H2795" t="s">
        <v>17</v>
      </c>
    </row>
    <row r="2796" spans="1:8" x14ac:dyDescent="0.25">
      <c r="A2796" t="s">
        <v>16</v>
      </c>
      <c r="B2796">
        <v>44410</v>
      </c>
      <c r="C2796">
        <v>7</v>
      </c>
      <c r="D2796" t="s">
        <v>28</v>
      </c>
      <c r="E2796">
        <v>0.54</v>
      </c>
      <c r="F2796">
        <v>1.1499999999999999</v>
      </c>
      <c r="G2796">
        <v>0.51</v>
      </c>
      <c r="H2796" t="s">
        <v>17</v>
      </c>
    </row>
    <row r="2797" spans="1:8" x14ac:dyDescent="0.25">
      <c r="A2797" t="s">
        <v>20</v>
      </c>
      <c r="B2797">
        <v>43785</v>
      </c>
      <c r="C2797">
        <v>27</v>
      </c>
      <c r="D2797" t="s">
        <v>9</v>
      </c>
      <c r="E2797">
        <v>0.99</v>
      </c>
      <c r="F2797">
        <v>0.5</v>
      </c>
      <c r="G2797">
        <v>0.69</v>
      </c>
      <c r="H2797" t="s">
        <v>17</v>
      </c>
    </row>
    <row r="2798" spans="1:8" x14ac:dyDescent="0.25">
      <c r="A2798" t="s">
        <v>8</v>
      </c>
      <c r="B2798">
        <v>90037</v>
      </c>
      <c r="C2798">
        <v>11</v>
      </c>
      <c r="D2798" t="s">
        <v>28</v>
      </c>
      <c r="E2798">
        <v>0.67</v>
      </c>
      <c r="F2798">
        <v>1.48</v>
      </c>
      <c r="G2798">
        <v>0.79</v>
      </c>
      <c r="H2798" t="s">
        <v>10</v>
      </c>
    </row>
    <row r="2799" spans="1:8" x14ac:dyDescent="0.25">
      <c r="A2799" t="s">
        <v>25</v>
      </c>
      <c r="B2799">
        <v>132424</v>
      </c>
      <c r="C2799">
        <v>5</v>
      </c>
      <c r="D2799" t="s">
        <v>12</v>
      </c>
      <c r="E2799">
        <v>0.64</v>
      </c>
      <c r="F2799">
        <v>1.0900000000000001</v>
      </c>
      <c r="G2799">
        <v>0.6</v>
      </c>
      <c r="H2799" t="s">
        <v>17</v>
      </c>
    </row>
    <row r="2800" spans="1:8" x14ac:dyDescent="0.25">
      <c r="A2800" t="s">
        <v>29</v>
      </c>
      <c r="B2800">
        <v>118400</v>
      </c>
      <c r="C2800">
        <v>12</v>
      </c>
      <c r="D2800" t="s">
        <v>15</v>
      </c>
      <c r="E2800">
        <v>0.82</v>
      </c>
      <c r="F2800">
        <v>1.35</v>
      </c>
      <c r="G2800">
        <v>0.8</v>
      </c>
      <c r="H2800" t="s">
        <v>10</v>
      </c>
    </row>
    <row r="2801" spans="1:8" x14ac:dyDescent="0.25">
      <c r="A2801" t="s">
        <v>11</v>
      </c>
      <c r="B2801">
        <v>41151</v>
      </c>
      <c r="C2801">
        <v>22</v>
      </c>
      <c r="D2801" t="s">
        <v>15</v>
      </c>
      <c r="E2801">
        <v>0.56999999999999995</v>
      </c>
      <c r="F2801">
        <v>0.98</v>
      </c>
      <c r="G2801">
        <v>0.13</v>
      </c>
      <c r="H2801" t="s">
        <v>13</v>
      </c>
    </row>
    <row r="2802" spans="1:8" x14ac:dyDescent="0.25">
      <c r="A2802" t="s">
        <v>20</v>
      </c>
      <c r="B2802">
        <v>56257</v>
      </c>
      <c r="C2802">
        <v>4</v>
      </c>
      <c r="D2802" t="s">
        <v>28</v>
      </c>
      <c r="E2802">
        <v>0.65</v>
      </c>
      <c r="F2802">
        <v>1.04</v>
      </c>
      <c r="G2802">
        <v>0.56999999999999995</v>
      </c>
      <c r="H2802" t="s">
        <v>17</v>
      </c>
    </row>
    <row r="2803" spans="1:8" x14ac:dyDescent="0.25">
      <c r="A2803" t="s">
        <v>33</v>
      </c>
      <c r="B2803">
        <v>136933</v>
      </c>
      <c r="C2803">
        <v>16</v>
      </c>
      <c r="D2803" t="s">
        <v>28</v>
      </c>
      <c r="E2803">
        <v>0.21</v>
      </c>
      <c r="F2803">
        <v>0.97</v>
      </c>
      <c r="G2803">
        <v>0.28999999999999998</v>
      </c>
      <c r="H2803" t="s">
        <v>13</v>
      </c>
    </row>
    <row r="2804" spans="1:8" x14ac:dyDescent="0.25">
      <c r="A2804" t="s">
        <v>25</v>
      </c>
      <c r="B2804">
        <v>50705</v>
      </c>
      <c r="C2804">
        <v>29</v>
      </c>
      <c r="D2804" t="s">
        <v>12</v>
      </c>
      <c r="E2804">
        <v>0.37</v>
      </c>
      <c r="F2804">
        <v>1.32</v>
      </c>
      <c r="G2804">
        <v>0.65</v>
      </c>
      <c r="H2804" t="s">
        <v>17</v>
      </c>
    </row>
    <row r="2805" spans="1:8" x14ac:dyDescent="0.25">
      <c r="A2805" t="s">
        <v>27</v>
      </c>
      <c r="B2805">
        <v>123064</v>
      </c>
      <c r="C2805">
        <v>9</v>
      </c>
      <c r="D2805" t="s">
        <v>12</v>
      </c>
      <c r="E2805">
        <v>0.49</v>
      </c>
      <c r="F2805">
        <v>1.33</v>
      </c>
      <c r="G2805">
        <v>0.51</v>
      </c>
      <c r="H2805" t="s">
        <v>17</v>
      </c>
    </row>
    <row r="2806" spans="1:8" x14ac:dyDescent="0.25">
      <c r="A2806" t="s">
        <v>25</v>
      </c>
      <c r="B2806">
        <v>77089</v>
      </c>
      <c r="C2806">
        <v>24</v>
      </c>
      <c r="D2806" t="s">
        <v>28</v>
      </c>
      <c r="E2806">
        <v>0.45</v>
      </c>
      <c r="F2806">
        <v>1.07</v>
      </c>
      <c r="G2806">
        <v>0.35</v>
      </c>
      <c r="H2806" t="s">
        <v>17</v>
      </c>
    </row>
    <row r="2807" spans="1:8" x14ac:dyDescent="0.25">
      <c r="A2807" t="s">
        <v>18</v>
      </c>
      <c r="B2807">
        <v>76978</v>
      </c>
      <c r="C2807">
        <v>7</v>
      </c>
      <c r="D2807" t="s">
        <v>15</v>
      </c>
      <c r="E2807">
        <v>0.4</v>
      </c>
      <c r="F2807">
        <v>1.34</v>
      </c>
      <c r="G2807">
        <v>0.57999999999999996</v>
      </c>
      <c r="H2807" t="s">
        <v>17</v>
      </c>
    </row>
    <row r="2808" spans="1:8" x14ac:dyDescent="0.25">
      <c r="A2808" t="s">
        <v>27</v>
      </c>
      <c r="B2808">
        <v>62235</v>
      </c>
      <c r="C2808">
        <v>5</v>
      </c>
      <c r="D2808" t="s">
        <v>28</v>
      </c>
      <c r="E2808">
        <v>0.02</v>
      </c>
      <c r="F2808">
        <v>1.1299999999999999</v>
      </c>
      <c r="G2808">
        <v>0.54</v>
      </c>
      <c r="H2808" t="s">
        <v>17</v>
      </c>
    </row>
    <row r="2809" spans="1:8" x14ac:dyDescent="0.25">
      <c r="A2809" t="s">
        <v>30</v>
      </c>
      <c r="B2809">
        <v>43739</v>
      </c>
      <c r="C2809">
        <v>17</v>
      </c>
      <c r="D2809" t="s">
        <v>12</v>
      </c>
      <c r="E2809">
        <v>0.75</v>
      </c>
      <c r="F2809">
        <v>0.69</v>
      </c>
      <c r="G2809">
        <v>0.14000000000000001</v>
      </c>
      <c r="H2809" t="s">
        <v>13</v>
      </c>
    </row>
    <row r="2810" spans="1:8" x14ac:dyDescent="0.25">
      <c r="A2810" t="s">
        <v>27</v>
      </c>
      <c r="B2810">
        <v>96321</v>
      </c>
      <c r="C2810">
        <v>2</v>
      </c>
      <c r="D2810" t="s">
        <v>28</v>
      </c>
      <c r="E2810">
        <v>0.11</v>
      </c>
      <c r="F2810">
        <v>0.71</v>
      </c>
      <c r="G2810">
        <v>0.64</v>
      </c>
      <c r="H2810" t="s">
        <v>17</v>
      </c>
    </row>
    <row r="2811" spans="1:8" x14ac:dyDescent="0.25">
      <c r="A2811" t="s">
        <v>16</v>
      </c>
      <c r="B2811">
        <v>94314</v>
      </c>
      <c r="C2811">
        <v>10</v>
      </c>
      <c r="D2811" t="s">
        <v>28</v>
      </c>
      <c r="E2811">
        <v>0.06</v>
      </c>
      <c r="F2811">
        <v>0.92</v>
      </c>
      <c r="G2811">
        <v>0.38</v>
      </c>
      <c r="H2811" t="s">
        <v>17</v>
      </c>
    </row>
    <row r="2812" spans="1:8" x14ac:dyDescent="0.25">
      <c r="A2812" t="s">
        <v>31</v>
      </c>
      <c r="B2812">
        <v>72229</v>
      </c>
      <c r="C2812">
        <v>12</v>
      </c>
      <c r="D2812" t="s">
        <v>15</v>
      </c>
      <c r="E2812">
        <v>0.38</v>
      </c>
      <c r="F2812">
        <v>1.47</v>
      </c>
      <c r="G2812">
        <v>0.88</v>
      </c>
      <c r="H2812" t="s">
        <v>10</v>
      </c>
    </row>
    <row r="2813" spans="1:8" x14ac:dyDescent="0.25">
      <c r="A2813" t="s">
        <v>32</v>
      </c>
      <c r="B2813">
        <v>121842</v>
      </c>
      <c r="C2813">
        <v>3</v>
      </c>
      <c r="D2813" t="s">
        <v>9</v>
      </c>
      <c r="E2813">
        <v>0.65</v>
      </c>
      <c r="F2813">
        <v>1.42</v>
      </c>
      <c r="G2813">
        <v>0.63</v>
      </c>
      <c r="H2813" t="s">
        <v>17</v>
      </c>
    </row>
    <row r="2814" spans="1:8" x14ac:dyDescent="0.25">
      <c r="A2814" t="s">
        <v>8</v>
      </c>
      <c r="B2814">
        <v>55564</v>
      </c>
      <c r="C2814">
        <v>25</v>
      </c>
      <c r="D2814" t="s">
        <v>15</v>
      </c>
      <c r="E2814">
        <v>0.87</v>
      </c>
      <c r="F2814">
        <v>1.02</v>
      </c>
      <c r="G2814">
        <v>0.88</v>
      </c>
      <c r="H2814" t="s">
        <v>10</v>
      </c>
    </row>
    <row r="2815" spans="1:8" x14ac:dyDescent="0.25">
      <c r="A2815" t="s">
        <v>25</v>
      </c>
      <c r="B2815">
        <v>35555</v>
      </c>
      <c r="C2815">
        <v>4</v>
      </c>
      <c r="D2815" t="s">
        <v>28</v>
      </c>
      <c r="E2815">
        <v>0.89</v>
      </c>
      <c r="F2815">
        <v>0.88</v>
      </c>
      <c r="G2815">
        <v>0.45</v>
      </c>
      <c r="H2815" t="s">
        <v>17</v>
      </c>
    </row>
    <row r="2816" spans="1:8" x14ac:dyDescent="0.25">
      <c r="A2816" t="s">
        <v>27</v>
      </c>
      <c r="B2816">
        <v>116134</v>
      </c>
      <c r="C2816">
        <v>9</v>
      </c>
      <c r="D2816" t="s">
        <v>12</v>
      </c>
      <c r="E2816">
        <v>0.19</v>
      </c>
      <c r="F2816">
        <v>1.25</v>
      </c>
      <c r="G2816">
        <v>0.6</v>
      </c>
      <c r="H2816" t="s">
        <v>17</v>
      </c>
    </row>
    <row r="2817" spans="1:8" x14ac:dyDescent="0.25">
      <c r="A2817" t="s">
        <v>8</v>
      </c>
      <c r="B2817">
        <v>79326</v>
      </c>
      <c r="C2817">
        <v>16</v>
      </c>
      <c r="D2817" t="s">
        <v>12</v>
      </c>
      <c r="E2817">
        <v>0.24</v>
      </c>
      <c r="F2817">
        <v>0.62</v>
      </c>
      <c r="G2817">
        <v>0.71</v>
      </c>
      <c r="H2817" t="s">
        <v>10</v>
      </c>
    </row>
    <row r="2818" spans="1:8" x14ac:dyDescent="0.25">
      <c r="A2818" t="s">
        <v>18</v>
      </c>
      <c r="B2818">
        <v>114141</v>
      </c>
      <c r="C2818">
        <v>22</v>
      </c>
      <c r="D2818" t="s">
        <v>9</v>
      </c>
      <c r="E2818">
        <v>0.03</v>
      </c>
      <c r="F2818">
        <v>0.79</v>
      </c>
      <c r="G2818">
        <v>0.44</v>
      </c>
      <c r="H2818" t="s">
        <v>17</v>
      </c>
    </row>
    <row r="2819" spans="1:8" x14ac:dyDescent="0.25">
      <c r="A2819" t="s">
        <v>32</v>
      </c>
      <c r="B2819">
        <v>65120</v>
      </c>
      <c r="C2819">
        <v>7</v>
      </c>
      <c r="D2819" t="s">
        <v>28</v>
      </c>
      <c r="E2819">
        <v>0.18</v>
      </c>
      <c r="F2819">
        <v>0.98</v>
      </c>
      <c r="G2819">
        <v>0.38</v>
      </c>
      <c r="H2819" t="s">
        <v>17</v>
      </c>
    </row>
    <row r="2820" spans="1:8" x14ac:dyDescent="0.25">
      <c r="A2820" t="s">
        <v>19</v>
      </c>
      <c r="B2820">
        <v>115317</v>
      </c>
      <c r="C2820">
        <v>0</v>
      </c>
      <c r="D2820" t="s">
        <v>9</v>
      </c>
      <c r="E2820">
        <v>0.19</v>
      </c>
      <c r="F2820">
        <v>1.33</v>
      </c>
      <c r="G2820">
        <v>0.1</v>
      </c>
      <c r="H2820" t="s">
        <v>13</v>
      </c>
    </row>
    <row r="2821" spans="1:8" x14ac:dyDescent="0.25">
      <c r="A2821" t="s">
        <v>30</v>
      </c>
      <c r="B2821">
        <v>115564</v>
      </c>
      <c r="C2821">
        <v>7</v>
      </c>
      <c r="D2821" t="s">
        <v>12</v>
      </c>
      <c r="E2821">
        <v>0.89</v>
      </c>
      <c r="F2821">
        <v>1.3</v>
      </c>
      <c r="G2821">
        <v>0.17</v>
      </c>
      <c r="H2821" t="s">
        <v>13</v>
      </c>
    </row>
    <row r="2822" spans="1:8" x14ac:dyDescent="0.25">
      <c r="A2822" t="s">
        <v>24</v>
      </c>
      <c r="B2822">
        <v>35504</v>
      </c>
      <c r="C2822">
        <v>14</v>
      </c>
      <c r="D2822" t="s">
        <v>28</v>
      </c>
      <c r="E2822">
        <v>0.12</v>
      </c>
      <c r="F2822">
        <v>1.29</v>
      </c>
      <c r="G2822">
        <v>0.57999999999999996</v>
      </c>
      <c r="H2822" t="s">
        <v>17</v>
      </c>
    </row>
    <row r="2823" spans="1:8" x14ac:dyDescent="0.25">
      <c r="A2823" t="s">
        <v>25</v>
      </c>
      <c r="B2823">
        <v>63489</v>
      </c>
      <c r="C2823">
        <v>20</v>
      </c>
      <c r="D2823" t="s">
        <v>12</v>
      </c>
      <c r="E2823">
        <v>0.33</v>
      </c>
      <c r="F2823">
        <v>1.1100000000000001</v>
      </c>
      <c r="G2823">
        <v>0.66</v>
      </c>
      <c r="H2823" t="s">
        <v>17</v>
      </c>
    </row>
    <row r="2824" spans="1:8" x14ac:dyDescent="0.25">
      <c r="A2824" t="s">
        <v>21</v>
      </c>
      <c r="B2824">
        <v>135390</v>
      </c>
      <c r="C2824">
        <v>18</v>
      </c>
      <c r="D2824" t="s">
        <v>12</v>
      </c>
      <c r="E2824">
        <v>0.97</v>
      </c>
      <c r="F2824">
        <v>1.39</v>
      </c>
      <c r="G2824">
        <v>0.1</v>
      </c>
      <c r="H2824" t="s">
        <v>13</v>
      </c>
    </row>
    <row r="2825" spans="1:8" x14ac:dyDescent="0.25">
      <c r="A2825" t="s">
        <v>21</v>
      </c>
      <c r="B2825">
        <v>36902</v>
      </c>
      <c r="C2825">
        <v>13</v>
      </c>
      <c r="D2825" t="s">
        <v>9</v>
      </c>
      <c r="E2825">
        <v>0.85</v>
      </c>
      <c r="F2825">
        <v>0.82</v>
      </c>
      <c r="G2825">
        <v>0.06</v>
      </c>
      <c r="H2825" t="s">
        <v>13</v>
      </c>
    </row>
    <row r="2826" spans="1:8" x14ac:dyDescent="0.25">
      <c r="A2826" t="s">
        <v>31</v>
      </c>
      <c r="B2826">
        <v>77373</v>
      </c>
      <c r="C2826">
        <v>29</v>
      </c>
      <c r="D2826" t="s">
        <v>15</v>
      </c>
      <c r="E2826">
        <v>0.56999999999999995</v>
      </c>
      <c r="F2826">
        <v>0.64</v>
      </c>
      <c r="G2826">
        <v>0.76</v>
      </c>
      <c r="H2826" t="s">
        <v>10</v>
      </c>
    </row>
    <row r="2827" spans="1:8" x14ac:dyDescent="0.25">
      <c r="A2827" t="s">
        <v>21</v>
      </c>
      <c r="B2827">
        <v>57309</v>
      </c>
      <c r="C2827">
        <v>16</v>
      </c>
      <c r="D2827" t="s">
        <v>12</v>
      </c>
      <c r="E2827">
        <v>0.7</v>
      </c>
      <c r="F2827">
        <v>0.63</v>
      </c>
      <c r="G2827">
        <v>0.21</v>
      </c>
      <c r="H2827" t="s">
        <v>13</v>
      </c>
    </row>
    <row r="2828" spans="1:8" x14ac:dyDescent="0.25">
      <c r="A2828" t="s">
        <v>19</v>
      </c>
      <c r="B2828">
        <v>104010</v>
      </c>
      <c r="C2828">
        <v>16</v>
      </c>
      <c r="D2828" t="s">
        <v>9</v>
      </c>
      <c r="E2828">
        <v>0.35</v>
      </c>
      <c r="F2828">
        <v>0.98</v>
      </c>
      <c r="G2828">
        <v>0.12</v>
      </c>
      <c r="H2828" t="s">
        <v>13</v>
      </c>
    </row>
    <row r="2829" spans="1:8" x14ac:dyDescent="0.25">
      <c r="A2829" t="s">
        <v>26</v>
      </c>
      <c r="B2829">
        <v>68011</v>
      </c>
      <c r="C2829">
        <v>25</v>
      </c>
      <c r="D2829" t="s">
        <v>9</v>
      </c>
      <c r="E2829">
        <v>0.2</v>
      </c>
      <c r="F2829">
        <v>1.08</v>
      </c>
      <c r="G2829">
        <v>0.57999999999999996</v>
      </c>
      <c r="H2829" t="s">
        <v>17</v>
      </c>
    </row>
    <row r="2830" spans="1:8" x14ac:dyDescent="0.25">
      <c r="A2830" t="s">
        <v>32</v>
      </c>
      <c r="B2830">
        <v>51460</v>
      </c>
      <c r="C2830">
        <v>8</v>
      </c>
      <c r="D2830" t="s">
        <v>15</v>
      </c>
      <c r="E2830">
        <v>0.48</v>
      </c>
      <c r="F2830">
        <v>1.46</v>
      </c>
      <c r="G2830">
        <v>0.69</v>
      </c>
      <c r="H2830" t="s">
        <v>17</v>
      </c>
    </row>
    <row r="2831" spans="1:8" x14ac:dyDescent="0.25">
      <c r="A2831" t="s">
        <v>27</v>
      </c>
      <c r="B2831">
        <v>125076</v>
      </c>
      <c r="C2831">
        <v>26</v>
      </c>
      <c r="D2831" t="s">
        <v>15</v>
      </c>
      <c r="E2831">
        <v>0.49</v>
      </c>
      <c r="F2831">
        <v>0.52</v>
      </c>
      <c r="G2831">
        <v>0.66</v>
      </c>
      <c r="H2831" t="s">
        <v>17</v>
      </c>
    </row>
    <row r="2832" spans="1:8" x14ac:dyDescent="0.25">
      <c r="A2832" t="s">
        <v>23</v>
      </c>
      <c r="B2832">
        <v>45281</v>
      </c>
      <c r="C2832">
        <v>15</v>
      </c>
      <c r="D2832" t="s">
        <v>15</v>
      </c>
      <c r="E2832">
        <v>0.06</v>
      </c>
      <c r="F2832">
        <v>0.77</v>
      </c>
      <c r="G2832">
        <v>0.92</v>
      </c>
      <c r="H2832" t="s">
        <v>10</v>
      </c>
    </row>
    <row r="2833" spans="1:8" x14ac:dyDescent="0.25">
      <c r="A2833" t="s">
        <v>23</v>
      </c>
      <c r="B2833">
        <v>67038</v>
      </c>
      <c r="C2833">
        <v>21</v>
      </c>
      <c r="D2833" t="s">
        <v>12</v>
      </c>
      <c r="E2833">
        <v>0.46</v>
      </c>
      <c r="F2833">
        <v>1.36</v>
      </c>
      <c r="G2833">
        <v>0.77</v>
      </c>
      <c r="H2833" t="s">
        <v>10</v>
      </c>
    </row>
    <row r="2834" spans="1:8" x14ac:dyDescent="0.25">
      <c r="A2834" t="s">
        <v>14</v>
      </c>
      <c r="B2834">
        <v>143472</v>
      </c>
      <c r="C2834">
        <v>12</v>
      </c>
      <c r="D2834" t="s">
        <v>28</v>
      </c>
      <c r="E2834">
        <v>0.15</v>
      </c>
      <c r="F2834">
        <v>1.3</v>
      </c>
      <c r="G2834">
        <v>0.81</v>
      </c>
      <c r="H2834" t="s">
        <v>10</v>
      </c>
    </row>
    <row r="2835" spans="1:8" x14ac:dyDescent="0.25">
      <c r="A2835" t="s">
        <v>16</v>
      </c>
      <c r="B2835">
        <v>54192</v>
      </c>
      <c r="C2835">
        <v>5</v>
      </c>
      <c r="D2835" t="s">
        <v>15</v>
      </c>
      <c r="E2835">
        <v>0.93</v>
      </c>
      <c r="F2835">
        <v>0.64</v>
      </c>
      <c r="G2835">
        <v>0.57999999999999996</v>
      </c>
      <c r="H2835" t="s">
        <v>17</v>
      </c>
    </row>
    <row r="2836" spans="1:8" x14ac:dyDescent="0.25">
      <c r="A2836" t="s">
        <v>16</v>
      </c>
      <c r="B2836">
        <v>138614</v>
      </c>
      <c r="C2836">
        <v>29</v>
      </c>
      <c r="D2836" t="s">
        <v>9</v>
      </c>
      <c r="E2836">
        <v>0.77</v>
      </c>
      <c r="F2836">
        <v>1.07</v>
      </c>
      <c r="G2836">
        <v>0.59</v>
      </c>
      <c r="H2836" t="s">
        <v>17</v>
      </c>
    </row>
    <row r="2837" spans="1:8" x14ac:dyDescent="0.25">
      <c r="A2837" t="s">
        <v>20</v>
      </c>
      <c r="B2837">
        <v>124500</v>
      </c>
      <c r="C2837">
        <v>27</v>
      </c>
      <c r="D2837" t="s">
        <v>9</v>
      </c>
      <c r="E2837">
        <v>0.51</v>
      </c>
      <c r="F2837">
        <v>1.18</v>
      </c>
      <c r="G2837">
        <v>0.31</v>
      </c>
      <c r="H2837" t="s">
        <v>17</v>
      </c>
    </row>
    <row r="2838" spans="1:8" x14ac:dyDescent="0.25">
      <c r="A2838" t="s">
        <v>19</v>
      </c>
      <c r="B2838">
        <v>90486</v>
      </c>
      <c r="C2838">
        <v>8</v>
      </c>
      <c r="D2838" t="s">
        <v>9</v>
      </c>
      <c r="E2838">
        <v>0.62</v>
      </c>
      <c r="F2838">
        <v>0.99</v>
      </c>
      <c r="G2838">
        <v>0.05</v>
      </c>
      <c r="H2838" t="s">
        <v>13</v>
      </c>
    </row>
    <row r="2839" spans="1:8" x14ac:dyDescent="0.25">
      <c r="A2839" t="s">
        <v>29</v>
      </c>
      <c r="B2839">
        <v>44142</v>
      </c>
      <c r="C2839">
        <v>17</v>
      </c>
      <c r="D2839" t="s">
        <v>9</v>
      </c>
      <c r="E2839">
        <v>0.49</v>
      </c>
      <c r="F2839">
        <v>1.27</v>
      </c>
      <c r="G2839">
        <v>0.74</v>
      </c>
      <c r="H2839" t="s">
        <v>10</v>
      </c>
    </row>
    <row r="2840" spans="1:8" x14ac:dyDescent="0.25">
      <c r="A2840" t="s">
        <v>31</v>
      </c>
      <c r="B2840">
        <v>121168</v>
      </c>
      <c r="C2840">
        <v>18</v>
      </c>
      <c r="D2840" t="s">
        <v>12</v>
      </c>
      <c r="E2840">
        <v>0.55000000000000004</v>
      </c>
      <c r="F2840">
        <v>1.1599999999999999</v>
      </c>
      <c r="G2840">
        <v>0.89</v>
      </c>
      <c r="H2840" t="s">
        <v>10</v>
      </c>
    </row>
    <row r="2841" spans="1:8" x14ac:dyDescent="0.25">
      <c r="A2841" t="s">
        <v>16</v>
      </c>
      <c r="B2841">
        <v>34461</v>
      </c>
      <c r="C2841">
        <v>24</v>
      </c>
      <c r="D2841" t="s">
        <v>9</v>
      </c>
      <c r="E2841">
        <v>0.54</v>
      </c>
      <c r="F2841">
        <v>1.27</v>
      </c>
      <c r="G2841">
        <v>0.39</v>
      </c>
      <c r="H2841" t="s">
        <v>17</v>
      </c>
    </row>
    <row r="2842" spans="1:8" x14ac:dyDescent="0.25">
      <c r="A2842" t="s">
        <v>32</v>
      </c>
      <c r="B2842">
        <v>41591</v>
      </c>
      <c r="C2842">
        <v>8</v>
      </c>
      <c r="D2842" t="s">
        <v>12</v>
      </c>
      <c r="E2842">
        <v>0.59</v>
      </c>
      <c r="F2842">
        <v>1.39</v>
      </c>
      <c r="G2842">
        <v>0.5</v>
      </c>
      <c r="H2842" t="s">
        <v>17</v>
      </c>
    </row>
    <row r="2843" spans="1:8" x14ac:dyDescent="0.25">
      <c r="A2843" t="s">
        <v>30</v>
      </c>
      <c r="B2843">
        <v>58465</v>
      </c>
      <c r="C2843">
        <v>0</v>
      </c>
      <c r="D2843" t="s">
        <v>15</v>
      </c>
      <c r="E2843">
        <v>0.53</v>
      </c>
      <c r="F2843">
        <v>0.87</v>
      </c>
      <c r="G2843">
        <v>0.17</v>
      </c>
      <c r="H2843" t="s">
        <v>13</v>
      </c>
    </row>
    <row r="2844" spans="1:8" x14ac:dyDescent="0.25">
      <c r="A2844" t="s">
        <v>25</v>
      </c>
      <c r="B2844">
        <v>89973</v>
      </c>
      <c r="C2844">
        <v>1</v>
      </c>
      <c r="D2844" t="s">
        <v>15</v>
      </c>
      <c r="E2844">
        <v>0.61</v>
      </c>
      <c r="F2844">
        <v>1.18</v>
      </c>
      <c r="G2844">
        <v>0.5</v>
      </c>
      <c r="H2844" t="s">
        <v>17</v>
      </c>
    </row>
    <row r="2845" spans="1:8" x14ac:dyDescent="0.25">
      <c r="A2845" t="s">
        <v>23</v>
      </c>
      <c r="B2845">
        <v>134615</v>
      </c>
      <c r="C2845">
        <v>19</v>
      </c>
      <c r="D2845" t="s">
        <v>9</v>
      </c>
      <c r="E2845">
        <v>0.42</v>
      </c>
      <c r="F2845">
        <v>1.18</v>
      </c>
      <c r="G2845">
        <v>0.73</v>
      </c>
      <c r="H2845" t="s">
        <v>10</v>
      </c>
    </row>
    <row r="2846" spans="1:8" x14ac:dyDescent="0.25">
      <c r="A2846" t="s">
        <v>8</v>
      </c>
      <c r="B2846">
        <v>81469</v>
      </c>
      <c r="C2846">
        <v>14</v>
      </c>
      <c r="D2846" t="s">
        <v>9</v>
      </c>
      <c r="E2846">
        <v>0.27</v>
      </c>
      <c r="F2846">
        <v>0.55000000000000004</v>
      </c>
      <c r="G2846">
        <v>0.8</v>
      </c>
      <c r="H2846" t="s">
        <v>10</v>
      </c>
    </row>
    <row r="2847" spans="1:8" x14ac:dyDescent="0.25">
      <c r="A2847" t="s">
        <v>34</v>
      </c>
      <c r="B2847">
        <v>105764</v>
      </c>
      <c r="C2847">
        <v>13</v>
      </c>
      <c r="D2847" t="s">
        <v>9</v>
      </c>
      <c r="E2847">
        <v>0.13</v>
      </c>
      <c r="F2847">
        <v>1.02</v>
      </c>
      <c r="G2847">
        <v>0.39</v>
      </c>
      <c r="H2847" t="s">
        <v>17</v>
      </c>
    </row>
    <row r="2848" spans="1:8" x14ac:dyDescent="0.25">
      <c r="A2848" t="s">
        <v>22</v>
      </c>
      <c r="B2848">
        <v>50543</v>
      </c>
      <c r="C2848">
        <v>14</v>
      </c>
      <c r="D2848" t="s">
        <v>9</v>
      </c>
      <c r="E2848">
        <v>0.69</v>
      </c>
      <c r="F2848">
        <v>1.1299999999999999</v>
      </c>
      <c r="G2848">
        <v>0.47</v>
      </c>
      <c r="H2848" t="s">
        <v>17</v>
      </c>
    </row>
    <row r="2849" spans="1:8" x14ac:dyDescent="0.25">
      <c r="A2849" t="s">
        <v>25</v>
      </c>
      <c r="B2849">
        <v>36086</v>
      </c>
      <c r="C2849">
        <v>22</v>
      </c>
      <c r="D2849" t="s">
        <v>12</v>
      </c>
      <c r="E2849">
        <v>0.7</v>
      </c>
      <c r="F2849">
        <v>0.62</v>
      </c>
      <c r="G2849">
        <v>0.46</v>
      </c>
      <c r="H2849" t="s">
        <v>17</v>
      </c>
    </row>
    <row r="2850" spans="1:8" x14ac:dyDescent="0.25">
      <c r="A2850" t="s">
        <v>33</v>
      </c>
      <c r="B2850">
        <v>65906</v>
      </c>
      <c r="C2850">
        <v>18</v>
      </c>
      <c r="D2850" t="s">
        <v>28</v>
      </c>
      <c r="E2850">
        <v>0.7</v>
      </c>
      <c r="F2850">
        <v>0.7</v>
      </c>
      <c r="G2850">
        <v>0.14000000000000001</v>
      </c>
      <c r="H2850" t="s">
        <v>13</v>
      </c>
    </row>
    <row r="2851" spans="1:8" x14ac:dyDescent="0.25">
      <c r="A2851" t="s">
        <v>31</v>
      </c>
      <c r="B2851">
        <v>70527</v>
      </c>
      <c r="C2851">
        <v>20</v>
      </c>
      <c r="D2851" t="s">
        <v>28</v>
      </c>
      <c r="E2851">
        <v>0.69</v>
      </c>
      <c r="F2851">
        <v>1.3</v>
      </c>
      <c r="G2851">
        <v>0.92</v>
      </c>
      <c r="H2851" t="s">
        <v>10</v>
      </c>
    </row>
    <row r="2852" spans="1:8" x14ac:dyDescent="0.25">
      <c r="A2852" t="s">
        <v>32</v>
      </c>
      <c r="B2852">
        <v>91894</v>
      </c>
      <c r="C2852">
        <v>22</v>
      </c>
      <c r="D2852" t="s">
        <v>12</v>
      </c>
      <c r="E2852">
        <v>0.94</v>
      </c>
      <c r="F2852">
        <v>0.72</v>
      </c>
      <c r="G2852">
        <v>0.34</v>
      </c>
      <c r="H2852" t="s">
        <v>17</v>
      </c>
    </row>
    <row r="2853" spans="1:8" x14ac:dyDescent="0.25">
      <c r="A2853" t="s">
        <v>34</v>
      </c>
      <c r="B2853">
        <v>78145</v>
      </c>
      <c r="C2853">
        <v>11</v>
      </c>
      <c r="D2853" t="s">
        <v>28</v>
      </c>
      <c r="E2853">
        <v>0.91</v>
      </c>
      <c r="F2853">
        <v>1.23</v>
      </c>
      <c r="G2853">
        <v>0.69</v>
      </c>
      <c r="H2853" t="s">
        <v>17</v>
      </c>
    </row>
    <row r="2854" spans="1:8" x14ac:dyDescent="0.25">
      <c r="A2854" t="s">
        <v>16</v>
      </c>
      <c r="B2854">
        <v>95056</v>
      </c>
      <c r="C2854">
        <v>9</v>
      </c>
      <c r="D2854" t="s">
        <v>28</v>
      </c>
      <c r="E2854">
        <v>0.88</v>
      </c>
      <c r="F2854">
        <v>1.31</v>
      </c>
      <c r="G2854">
        <v>0.69</v>
      </c>
      <c r="H2854" t="s">
        <v>17</v>
      </c>
    </row>
    <row r="2855" spans="1:8" x14ac:dyDescent="0.25">
      <c r="A2855" t="s">
        <v>8</v>
      </c>
      <c r="B2855">
        <v>135949</v>
      </c>
      <c r="C2855">
        <v>14</v>
      </c>
      <c r="D2855" t="s">
        <v>28</v>
      </c>
      <c r="E2855">
        <v>0.44</v>
      </c>
      <c r="F2855">
        <v>1.41</v>
      </c>
      <c r="G2855">
        <v>0.82</v>
      </c>
      <c r="H2855" t="s">
        <v>10</v>
      </c>
    </row>
    <row r="2856" spans="1:8" x14ac:dyDescent="0.25">
      <c r="A2856" t="s">
        <v>23</v>
      </c>
      <c r="B2856">
        <v>78793</v>
      </c>
      <c r="C2856">
        <v>17</v>
      </c>
      <c r="D2856" t="s">
        <v>12</v>
      </c>
      <c r="E2856">
        <v>0.14000000000000001</v>
      </c>
      <c r="F2856">
        <v>1.44</v>
      </c>
      <c r="G2856">
        <v>0.9</v>
      </c>
      <c r="H2856" t="s">
        <v>10</v>
      </c>
    </row>
    <row r="2857" spans="1:8" x14ac:dyDescent="0.25">
      <c r="A2857" t="s">
        <v>24</v>
      </c>
      <c r="B2857">
        <v>81380</v>
      </c>
      <c r="C2857">
        <v>26</v>
      </c>
      <c r="D2857" t="s">
        <v>15</v>
      </c>
      <c r="E2857">
        <v>0.42</v>
      </c>
      <c r="F2857">
        <v>1.31</v>
      </c>
      <c r="G2857">
        <v>0.53</v>
      </c>
      <c r="H2857" t="s">
        <v>17</v>
      </c>
    </row>
    <row r="2858" spans="1:8" x14ac:dyDescent="0.25">
      <c r="A2858" t="s">
        <v>8</v>
      </c>
      <c r="B2858">
        <v>33827</v>
      </c>
      <c r="C2858">
        <v>10</v>
      </c>
      <c r="D2858" t="s">
        <v>15</v>
      </c>
      <c r="E2858">
        <v>0.37</v>
      </c>
      <c r="F2858">
        <v>0.75</v>
      </c>
      <c r="G2858">
        <v>0.95</v>
      </c>
      <c r="H2858" t="s">
        <v>10</v>
      </c>
    </row>
    <row r="2859" spans="1:8" x14ac:dyDescent="0.25">
      <c r="A2859" t="s">
        <v>25</v>
      </c>
      <c r="B2859">
        <v>103038</v>
      </c>
      <c r="C2859">
        <v>28</v>
      </c>
      <c r="D2859" t="s">
        <v>15</v>
      </c>
      <c r="E2859">
        <v>0.51</v>
      </c>
      <c r="F2859">
        <v>0.61</v>
      </c>
      <c r="G2859">
        <v>0.33</v>
      </c>
      <c r="H2859" t="s">
        <v>17</v>
      </c>
    </row>
    <row r="2860" spans="1:8" x14ac:dyDescent="0.25">
      <c r="A2860" t="s">
        <v>32</v>
      </c>
      <c r="B2860">
        <v>122276</v>
      </c>
      <c r="C2860">
        <v>7</v>
      </c>
      <c r="D2860" t="s">
        <v>12</v>
      </c>
      <c r="E2860">
        <v>0.92</v>
      </c>
      <c r="F2860">
        <v>1.1200000000000001</v>
      </c>
      <c r="G2860">
        <v>0.35</v>
      </c>
      <c r="H2860" t="s">
        <v>17</v>
      </c>
    </row>
    <row r="2861" spans="1:8" x14ac:dyDescent="0.25">
      <c r="A2861" t="s">
        <v>31</v>
      </c>
      <c r="B2861">
        <v>89309</v>
      </c>
      <c r="C2861">
        <v>28</v>
      </c>
      <c r="D2861" t="s">
        <v>28</v>
      </c>
      <c r="E2861">
        <v>0.59</v>
      </c>
      <c r="F2861">
        <v>1.33</v>
      </c>
      <c r="G2861">
        <v>0.81</v>
      </c>
      <c r="H2861" t="s">
        <v>10</v>
      </c>
    </row>
    <row r="2862" spans="1:8" x14ac:dyDescent="0.25">
      <c r="A2862" t="s">
        <v>18</v>
      </c>
      <c r="B2862">
        <v>57891</v>
      </c>
      <c r="C2862">
        <v>27</v>
      </c>
      <c r="D2862" t="s">
        <v>15</v>
      </c>
      <c r="E2862">
        <v>0.99</v>
      </c>
      <c r="F2862">
        <v>1.34</v>
      </c>
      <c r="G2862">
        <v>0.33</v>
      </c>
      <c r="H2862" t="s">
        <v>17</v>
      </c>
    </row>
    <row r="2863" spans="1:8" x14ac:dyDescent="0.25">
      <c r="A2863" t="s">
        <v>30</v>
      </c>
      <c r="B2863">
        <v>61766</v>
      </c>
      <c r="C2863">
        <v>29</v>
      </c>
      <c r="D2863" t="s">
        <v>28</v>
      </c>
      <c r="E2863">
        <v>0.91</v>
      </c>
      <c r="F2863">
        <v>1.23</v>
      </c>
      <c r="G2863">
        <v>0.26</v>
      </c>
      <c r="H2863" t="s">
        <v>13</v>
      </c>
    </row>
    <row r="2864" spans="1:8" x14ac:dyDescent="0.25">
      <c r="A2864" t="s">
        <v>34</v>
      </c>
      <c r="B2864">
        <v>87657</v>
      </c>
      <c r="C2864">
        <v>18</v>
      </c>
      <c r="D2864" t="s">
        <v>9</v>
      </c>
      <c r="E2864">
        <v>0.95</v>
      </c>
      <c r="F2864">
        <v>0.77</v>
      </c>
      <c r="G2864">
        <v>0.56999999999999995</v>
      </c>
      <c r="H2864" t="s">
        <v>17</v>
      </c>
    </row>
    <row r="2865" spans="1:8" x14ac:dyDescent="0.25">
      <c r="A2865" t="s">
        <v>14</v>
      </c>
      <c r="B2865">
        <v>48476</v>
      </c>
      <c r="C2865">
        <v>6</v>
      </c>
      <c r="D2865" t="s">
        <v>15</v>
      </c>
      <c r="E2865">
        <v>0.55000000000000004</v>
      </c>
      <c r="F2865">
        <v>1.1200000000000001</v>
      </c>
      <c r="G2865">
        <v>0.77</v>
      </c>
      <c r="H2865" t="s">
        <v>10</v>
      </c>
    </row>
    <row r="2866" spans="1:8" x14ac:dyDescent="0.25">
      <c r="A2866" t="s">
        <v>29</v>
      </c>
      <c r="B2866">
        <v>121860</v>
      </c>
      <c r="C2866">
        <v>21</v>
      </c>
      <c r="D2866" t="s">
        <v>12</v>
      </c>
      <c r="E2866">
        <v>0.24</v>
      </c>
      <c r="F2866">
        <v>0.56000000000000005</v>
      </c>
      <c r="G2866">
        <v>0.82</v>
      </c>
      <c r="H2866" t="s">
        <v>10</v>
      </c>
    </row>
    <row r="2867" spans="1:8" x14ac:dyDescent="0.25">
      <c r="A2867" t="s">
        <v>26</v>
      </c>
      <c r="B2867">
        <v>125798</v>
      </c>
      <c r="C2867">
        <v>4</v>
      </c>
      <c r="D2867" t="s">
        <v>28</v>
      </c>
      <c r="E2867">
        <v>0.31</v>
      </c>
      <c r="F2867">
        <v>0.81</v>
      </c>
      <c r="G2867">
        <v>0.4</v>
      </c>
      <c r="H2867" t="s">
        <v>17</v>
      </c>
    </row>
    <row r="2868" spans="1:8" x14ac:dyDescent="0.25">
      <c r="A2868" t="s">
        <v>18</v>
      </c>
      <c r="B2868">
        <v>138695</v>
      </c>
      <c r="C2868">
        <v>23</v>
      </c>
      <c r="D2868" t="s">
        <v>9</v>
      </c>
      <c r="E2868">
        <v>0.93</v>
      </c>
      <c r="F2868">
        <v>1.41</v>
      </c>
      <c r="G2868">
        <v>0.52</v>
      </c>
      <c r="H2868" t="s">
        <v>17</v>
      </c>
    </row>
    <row r="2869" spans="1:8" x14ac:dyDescent="0.25">
      <c r="A2869" t="s">
        <v>11</v>
      </c>
      <c r="B2869">
        <v>69802</v>
      </c>
      <c r="C2869">
        <v>9</v>
      </c>
      <c r="D2869" t="s">
        <v>28</v>
      </c>
      <c r="E2869">
        <v>0.57999999999999996</v>
      </c>
      <c r="F2869">
        <v>0.85</v>
      </c>
      <c r="G2869">
        <v>0.19</v>
      </c>
      <c r="H2869" t="s">
        <v>13</v>
      </c>
    </row>
    <row r="2870" spans="1:8" x14ac:dyDescent="0.25">
      <c r="A2870" t="s">
        <v>22</v>
      </c>
      <c r="B2870">
        <v>86832</v>
      </c>
      <c r="C2870">
        <v>18</v>
      </c>
      <c r="D2870" t="s">
        <v>9</v>
      </c>
      <c r="E2870">
        <v>0.6</v>
      </c>
      <c r="F2870">
        <v>0.77</v>
      </c>
      <c r="G2870">
        <v>0.38</v>
      </c>
      <c r="H2870" t="s">
        <v>17</v>
      </c>
    </row>
    <row r="2871" spans="1:8" x14ac:dyDescent="0.25">
      <c r="A2871" t="s">
        <v>22</v>
      </c>
      <c r="B2871">
        <v>143959</v>
      </c>
      <c r="C2871">
        <v>27</v>
      </c>
      <c r="D2871" t="s">
        <v>12</v>
      </c>
      <c r="E2871">
        <v>0.86</v>
      </c>
      <c r="F2871">
        <v>1</v>
      </c>
      <c r="G2871">
        <v>0.38</v>
      </c>
      <c r="H2871" t="s">
        <v>17</v>
      </c>
    </row>
    <row r="2872" spans="1:8" x14ac:dyDescent="0.25">
      <c r="A2872" t="s">
        <v>14</v>
      </c>
      <c r="B2872">
        <v>61709</v>
      </c>
      <c r="C2872">
        <v>22</v>
      </c>
      <c r="D2872" t="s">
        <v>15</v>
      </c>
      <c r="E2872">
        <v>0.62</v>
      </c>
      <c r="F2872">
        <v>1.39</v>
      </c>
      <c r="G2872">
        <v>0.71</v>
      </c>
      <c r="H2872" t="s">
        <v>10</v>
      </c>
    </row>
    <row r="2873" spans="1:8" x14ac:dyDescent="0.25">
      <c r="A2873" t="s">
        <v>26</v>
      </c>
      <c r="B2873">
        <v>43669</v>
      </c>
      <c r="C2873">
        <v>12</v>
      </c>
      <c r="D2873" t="s">
        <v>28</v>
      </c>
      <c r="E2873">
        <v>0.9</v>
      </c>
      <c r="F2873">
        <v>1.07</v>
      </c>
      <c r="G2873">
        <v>0.61</v>
      </c>
      <c r="H2873" t="s">
        <v>17</v>
      </c>
    </row>
    <row r="2874" spans="1:8" x14ac:dyDescent="0.25">
      <c r="A2874" t="s">
        <v>34</v>
      </c>
      <c r="B2874">
        <v>61142</v>
      </c>
      <c r="C2874">
        <v>18</v>
      </c>
      <c r="D2874" t="s">
        <v>28</v>
      </c>
      <c r="E2874">
        <v>0.03</v>
      </c>
      <c r="F2874">
        <v>1.03</v>
      </c>
      <c r="G2874">
        <v>0.56999999999999995</v>
      </c>
      <c r="H2874" t="s">
        <v>17</v>
      </c>
    </row>
    <row r="2875" spans="1:8" x14ac:dyDescent="0.25">
      <c r="A2875" t="s">
        <v>31</v>
      </c>
      <c r="B2875">
        <v>111396</v>
      </c>
      <c r="C2875">
        <v>9</v>
      </c>
      <c r="D2875" t="s">
        <v>28</v>
      </c>
      <c r="E2875">
        <v>0.63</v>
      </c>
      <c r="F2875">
        <v>1.35</v>
      </c>
      <c r="G2875">
        <v>0.91</v>
      </c>
      <c r="H2875" t="s">
        <v>10</v>
      </c>
    </row>
    <row r="2876" spans="1:8" x14ac:dyDescent="0.25">
      <c r="A2876" t="s">
        <v>16</v>
      </c>
      <c r="B2876">
        <v>50852</v>
      </c>
      <c r="C2876">
        <v>24</v>
      </c>
      <c r="D2876" t="s">
        <v>12</v>
      </c>
      <c r="E2876">
        <v>0.65</v>
      </c>
      <c r="F2876">
        <v>0.67</v>
      </c>
      <c r="G2876">
        <v>0.31</v>
      </c>
      <c r="H2876" t="s">
        <v>17</v>
      </c>
    </row>
    <row r="2877" spans="1:8" x14ac:dyDescent="0.25">
      <c r="A2877" t="s">
        <v>20</v>
      </c>
      <c r="B2877">
        <v>99191</v>
      </c>
      <c r="C2877">
        <v>17</v>
      </c>
      <c r="D2877" t="s">
        <v>9</v>
      </c>
      <c r="E2877">
        <v>0.28999999999999998</v>
      </c>
      <c r="F2877">
        <v>0.89</v>
      </c>
      <c r="G2877">
        <v>0.69</v>
      </c>
      <c r="H2877" t="s">
        <v>17</v>
      </c>
    </row>
    <row r="2878" spans="1:8" x14ac:dyDescent="0.25">
      <c r="A2878" t="s">
        <v>16</v>
      </c>
      <c r="B2878">
        <v>69537</v>
      </c>
      <c r="C2878">
        <v>25</v>
      </c>
      <c r="D2878" t="s">
        <v>9</v>
      </c>
      <c r="E2878">
        <v>0.96</v>
      </c>
      <c r="F2878">
        <v>0.87</v>
      </c>
      <c r="G2878">
        <v>0.4</v>
      </c>
      <c r="H2878" t="s">
        <v>17</v>
      </c>
    </row>
    <row r="2879" spans="1:8" x14ac:dyDescent="0.25">
      <c r="A2879" t="s">
        <v>31</v>
      </c>
      <c r="B2879">
        <v>65629</v>
      </c>
      <c r="C2879">
        <v>3</v>
      </c>
      <c r="D2879" t="s">
        <v>9</v>
      </c>
      <c r="E2879">
        <v>0.9</v>
      </c>
      <c r="F2879">
        <v>1.18</v>
      </c>
      <c r="G2879">
        <v>0.79</v>
      </c>
      <c r="H2879" t="s">
        <v>10</v>
      </c>
    </row>
    <row r="2880" spans="1:8" x14ac:dyDescent="0.25">
      <c r="A2880" t="s">
        <v>16</v>
      </c>
      <c r="B2880">
        <v>39597</v>
      </c>
      <c r="C2880">
        <v>29</v>
      </c>
      <c r="D2880" t="s">
        <v>9</v>
      </c>
      <c r="E2880">
        <v>0.53</v>
      </c>
      <c r="F2880">
        <v>1.1299999999999999</v>
      </c>
      <c r="G2880">
        <v>0.45</v>
      </c>
      <c r="H2880" t="s">
        <v>17</v>
      </c>
    </row>
    <row r="2881" spans="1:8" x14ac:dyDescent="0.25">
      <c r="A2881" t="s">
        <v>23</v>
      </c>
      <c r="B2881">
        <v>34096</v>
      </c>
      <c r="C2881">
        <v>4</v>
      </c>
      <c r="D2881" t="s">
        <v>9</v>
      </c>
      <c r="E2881">
        <v>0.64</v>
      </c>
      <c r="F2881">
        <v>0.83</v>
      </c>
      <c r="G2881">
        <v>0.76</v>
      </c>
      <c r="H2881" t="s">
        <v>10</v>
      </c>
    </row>
    <row r="2882" spans="1:8" x14ac:dyDescent="0.25">
      <c r="A2882" t="s">
        <v>31</v>
      </c>
      <c r="B2882">
        <v>63434</v>
      </c>
      <c r="C2882">
        <v>27</v>
      </c>
      <c r="D2882" t="s">
        <v>9</v>
      </c>
      <c r="E2882">
        <v>0.54</v>
      </c>
      <c r="F2882">
        <v>0.96</v>
      </c>
      <c r="G2882">
        <v>0.78</v>
      </c>
      <c r="H2882" t="s">
        <v>10</v>
      </c>
    </row>
    <row r="2883" spans="1:8" x14ac:dyDescent="0.25">
      <c r="A2883" t="s">
        <v>24</v>
      </c>
      <c r="B2883">
        <v>81358</v>
      </c>
      <c r="C2883">
        <v>29</v>
      </c>
      <c r="D2883" t="s">
        <v>28</v>
      </c>
      <c r="E2883">
        <v>0.53</v>
      </c>
      <c r="F2883">
        <v>0.73</v>
      </c>
      <c r="G2883">
        <v>0.35</v>
      </c>
      <c r="H2883" t="s">
        <v>17</v>
      </c>
    </row>
    <row r="2884" spans="1:8" x14ac:dyDescent="0.25">
      <c r="A2884" t="s">
        <v>34</v>
      </c>
      <c r="B2884">
        <v>80626</v>
      </c>
      <c r="C2884">
        <v>29</v>
      </c>
      <c r="D2884" t="s">
        <v>9</v>
      </c>
      <c r="E2884">
        <v>0.59</v>
      </c>
      <c r="F2884">
        <v>0.92</v>
      </c>
      <c r="G2884">
        <v>0.33</v>
      </c>
      <c r="H2884" t="s">
        <v>17</v>
      </c>
    </row>
    <row r="2885" spans="1:8" x14ac:dyDescent="0.25">
      <c r="A2885" t="s">
        <v>29</v>
      </c>
      <c r="B2885">
        <v>59638</v>
      </c>
      <c r="C2885">
        <v>22</v>
      </c>
      <c r="D2885" t="s">
        <v>12</v>
      </c>
      <c r="E2885">
        <v>0.62</v>
      </c>
      <c r="F2885">
        <v>0.9</v>
      </c>
      <c r="G2885">
        <v>0.74</v>
      </c>
      <c r="H2885" t="s">
        <v>10</v>
      </c>
    </row>
    <row r="2886" spans="1:8" x14ac:dyDescent="0.25">
      <c r="A2886" t="s">
        <v>22</v>
      </c>
      <c r="B2886">
        <v>30030</v>
      </c>
      <c r="C2886">
        <v>9</v>
      </c>
      <c r="D2886" t="s">
        <v>28</v>
      </c>
      <c r="E2886">
        <v>0.25</v>
      </c>
      <c r="F2886">
        <v>0.88</v>
      </c>
      <c r="G2886">
        <v>0.37</v>
      </c>
      <c r="H2886" t="s">
        <v>17</v>
      </c>
    </row>
    <row r="2887" spans="1:8" x14ac:dyDescent="0.25">
      <c r="A2887" t="s">
        <v>24</v>
      </c>
      <c r="B2887">
        <v>145156</v>
      </c>
      <c r="C2887">
        <v>27</v>
      </c>
      <c r="D2887" t="s">
        <v>28</v>
      </c>
      <c r="E2887">
        <v>0.15</v>
      </c>
      <c r="F2887">
        <v>0.54</v>
      </c>
      <c r="G2887">
        <v>0.47</v>
      </c>
      <c r="H2887" t="s">
        <v>17</v>
      </c>
    </row>
    <row r="2888" spans="1:8" x14ac:dyDescent="0.25">
      <c r="A2888" t="s">
        <v>19</v>
      </c>
      <c r="B2888">
        <v>88717</v>
      </c>
      <c r="C2888">
        <v>7</v>
      </c>
      <c r="D2888" t="s">
        <v>9</v>
      </c>
      <c r="E2888">
        <v>0.33</v>
      </c>
      <c r="F2888">
        <v>1.39</v>
      </c>
      <c r="G2888">
        <v>7.0000000000000007E-2</v>
      </c>
      <c r="H2888" t="s">
        <v>13</v>
      </c>
    </row>
    <row r="2889" spans="1:8" x14ac:dyDescent="0.25">
      <c r="A2889" t="s">
        <v>14</v>
      </c>
      <c r="B2889">
        <v>68746</v>
      </c>
      <c r="C2889">
        <v>1</v>
      </c>
      <c r="D2889" t="s">
        <v>12</v>
      </c>
      <c r="E2889">
        <v>0.24</v>
      </c>
      <c r="F2889">
        <v>1.18</v>
      </c>
      <c r="G2889">
        <v>0.72</v>
      </c>
      <c r="H2889" t="s">
        <v>10</v>
      </c>
    </row>
    <row r="2890" spans="1:8" x14ac:dyDescent="0.25">
      <c r="A2890" t="s">
        <v>24</v>
      </c>
      <c r="B2890">
        <v>83207</v>
      </c>
      <c r="C2890">
        <v>3</v>
      </c>
      <c r="D2890" t="s">
        <v>9</v>
      </c>
      <c r="E2890">
        <v>0.51</v>
      </c>
      <c r="F2890">
        <v>0.62</v>
      </c>
      <c r="G2890">
        <v>0.46</v>
      </c>
      <c r="H2890" t="s">
        <v>17</v>
      </c>
    </row>
    <row r="2891" spans="1:8" x14ac:dyDescent="0.25">
      <c r="A2891" t="s">
        <v>21</v>
      </c>
      <c r="B2891">
        <v>138109</v>
      </c>
      <c r="C2891">
        <v>18</v>
      </c>
      <c r="D2891" t="s">
        <v>9</v>
      </c>
      <c r="E2891">
        <v>0.37</v>
      </c>
      <c r="F2891">
        <v>1.02</v>
      </c>
      <c r="G2891">
        <v>0.09</v>
      </c>
      <c r="H2891" t="s">
        <v>13</v>
      </c>
    </row>
    <row r="2892" spans="1:8" x14ac:dyDescent="0.25">
      <c r="A2892" t="s">
        <v>11</v>
      </c>
      <c r="B2892">
        <v>86834</v>
      </c>
      <c r="C2892">
        <v>15</v>
      </c>
      <c r="D2892" t="s">
        <v>12</v>
      </c>
      <c r="E2892">
        <v>0.99</v>
      </c>
      <c r="F2892">
        <v>0.67</v>
      </c>
      <c r="G2892">
        <v>0.11</v>
      </c>
      <c r="H2892" t="s">
        <v>13</v>
      </c>
    </row>
    <row r="2893" spans="1:8" x14ac:dyDescent="0.25">
      <c r="A2893" t="s">
        <v>34</v>
      </c>
      <c r="B2893">
        <v>133988</v>
      </c>
      <c r="C2893">
        <v>7</v>
      </c>
      <c r="D2893" t="s">
        <v>9</v>
      </c>
      <c r="E2893">
        <v>0.18</v>
      </c>
      <c r="F2893">
        <v>0.84</v>
      </c>
      <c r="G2893">
        <v>0.37</v>
      </c>
      <c r="H2893" t="s">
        <v>17</v>
      </c>
    </row>
    <row r="2894" spans="1:8" x14ac:dyDescent="0.25">
      <c r="A2894" t="s">
        <v>8</v>
      </c>
      <c r="B2894">
        <v>145064</v>
      </c>
      <c r="C2894">
        <v>2</v>
      </c>
      <c r="D2894" t="s">
        <v>15</v>
      </c>
      <c r="E2894">
        <v>0.28000000000000003</v>
      </c>
      <c r="F2894">
        <v>1.28</v>
      </c>
      <c r="G2894">
        <v>0.78</v>
      </c>
      <c r="H2894" t="s">
        <v>10</v>
      </c>
    </row>
    <row r="2895" spans="1:8" x14ac:dyDescent="0.25">
      <c r="A2895" t="s">
        <v>8</v>
      </c>
      <c r="B2895">
        <v>106620</v>
      </c>
      <c r="C2895">
        <v>10</v>
      </c>
      <c r="D2895" t="s">
        <v>28</v>
      </c>
      <c r="E2895">
        <v>0.79</v>
      </c>
      <c r="F2895">
        <v>1.07</v>
      </c>
      <c r="G2895">
        <v>0.94</v>
      </c>
      <c r="H2895" t="s">
        <v>10</v>
      </c>
    </row>
    <row r="2896" spans="1:8" x14ac:dyDescent="0.25">
      <c r="A2896" t="s">
        <v>29</v>
      </c>
      <c r="B2896">
        <v>80942</v>
      </c>
      <c r="C2896">
        <v>18</v>
      </c>
      <c r="D2896" t="s">
        <v>9</v>
      </c>
      <c r="E2896">
        <v>0.36</v>
      </c>
      <c r="F2896">
        <v>0.72</v>
      </c>
      <c r="G2896">
        <v>0.75</v>
      </c>
      <c r="H2896" t="s">
        <v>10</v>
      </c>
    </row>
    <row r="2897" spans="1:8" x14ac:dyDescent="0.25">
      <c r="A2897" t="s">
        <v>23</v>
      </c>
      <c r="B2897">
        <v>133274</v>
      </c>
      <c r="C2897">
        <v>27</v>
      </c>
      <c r="D2897" t="s">
        <v>12</v>
      </c>
      <c r="E2897">
        <v>0.15</v>
      </c>
      <c r="F2897">
        <v>1</v>
      </c>
      <c r="G2897">
        <v>0.8</v>
      </c>
      <c r="H2897" t="s">
        <v>10</v>
      </c>
    </row>
    <row r="2898" spans="1:8" x14ac:dyDescent="0.25">
      <c r="A2898" t="s">
        <v>29</v>
      </c>
      <c r="B2898">
        <v>49826</v>
      </c>
      <c r="C2898">
        <v>9</v>
      </c>
      <c r="D2898" t="s">
        <v>9</v>
      </c>
      <c r="E2898">
        <v>0.35</v>
      </c>
      <c r="F2898">
        <v>0.99</v>
      </c>
      <c r="G2898">
        <v>0.85</v>
      </c>
      <c r="H2898" t="s">
        <v>10</v>
      </c>
    </row>
    <row r="2899" spans="1:8" x14ac:dyDescent="0.25">
      <c r="A2899" t="s">
        <v>29</v>
      </c>
      <c r="B2899">
        <v>97116</v>
      </c>
      <c r="C2899">
        <v>26</v>
      </c>
      <c r="D2899" t="s">
        <v>12</v>
      </c>
      <c r="E2899">
        <v>0.8</v>
      </c>
      <c r="F2899">
        <v>0.56000000000000005</v>
      </c>
      <c r="G2899">
        <v>0.8</v>
      </c>
      <c r="H2899" t="s">
        <v>10</v>
      </c>
    </row>
    <row r="2900" spans="1:8" x14ac:dyDescent="0.25">
      <c r="A2900" t="s">
        <v>26</v>
      </c>
      <c r="B2900">
        <v>136030</v>
      </c>
      <c r="C2900">
        <v>16</v>
      </c>
      <c r="D2900" t="s">
        <v>28</v>
      </c>
      <c r="E2900">
        <v>0.68</v>
      </c>
      <c r="F2900">
        <v>1.38</v>
      </c>
      <c r="G2900">
        <v>0.59</v>
      </c>
      <c r="H2900" t="s">
        <v>17</v>
      </c>
    </row>
    <row r="2901" spans="1:8" x14ac:dyDescent="0.25">
      <c r="A2901" t="s">
        <v>14</v>
      </c>
      <c r="B2901">
        <v>33388</v>
      </c>
      <c r="C2901">
        <v>3</v>
      </c>
      <c r="D2901" t="s">
        <v>12</v>
      </c>
      <c r="E2901">
        <v>0.48</v>
      </c>
      <c r="F2901">
        <v>0.79</v>
      </c>
      <c r="G2901">
        <v>0.89</v>
      </c>
      <c r="H2901" t="s">
        <v>10</v>
      </c>
    </row>
    <row r="2902" spans="1:8" x14ac:dyDescent="0.25">
      <c r="A2902" t="s">
        <v>16</v>
      </c>
      <c r="B2902">
        <v>58797</v>
      </c>
      <c r="C2902">
        <v>18</v>
      </c>
      <c r="D2902" t="s">
        <v>9</v>
      </c>
      <c r="E2902">
        <v>0.83</v>
      </c>
      <c r="F2902">
        <v>0.64</v>
      </c>
      <c r="G2902">
        <v>0.44</v>
      </c>
      <c r="H2902" t="s">
        <v>17</v>
      </c>
    </row>
    <row r="2903" spans="1:8" x14ac:dyDescent="0.25">
      <c r="A2903" t="s">
        <v>19</v>
      </c>
      <c r="B2903">
        <v>129508</v>
      </c>
      <c r="C2903">
        <v>7</v>
      </c>
      <c r="D2903" t="s">
        <v>15</v>
      </c>
      <c r="E2903">
        <v>0.26</v>
      </c>
      <c r="F2903">
        <v>1.1599999999999999</v>
      </c>
      <c r="G2903">
        <v>0.28999999999999998</v>
      </c>
      <c r="H2903" t="s">
        <v>13</v>
      </c>
    </row>
    <row r="2904" spans="1:8" x14ac:dyDescent="0.25">
      <c r="A2904" t="s">
        <v>32</v>
      </c>
      <c r="B2904">
        <v>54996</v>
      </c>
      <c r="C2904">
        <v>12</v>
      </c>
      <c r="D2904" t="s">
        <v>28</v>
      </c>
      <c r="E2904">
        <v>0.59</v>
      </c>
      <c r="F2904">
        <v>0.96</v>
      </c>
      <c r="G2904">
        <v>0.41</v>
      </c>
      <c r="H2904" t="s">
        <v>17</v>
      </c>
    </row>
    <row r="2905" spans="1:8" x14ac:dyDescent="0.25">
      <c r="A2905" t="s">
        <v>24</v>
      </c>
      <c r="B2905">
        <v>136165</v>
      </c>
      <c r="C2905">
        <v>26</v>
      </c>
      <c r="D2905" t="s">
        <v>12</v>
      </c>
      <c r="E2905">
        <v>0.15</v>
      </c>
      <c r="F2905">
        <v>0.62</v>
      </c>
      <c r="G2905">
        <v>0.64</v>
      </c>
      <c r="H2905" t="s">
        <v>17</v>
      </c>
    </row>
    <row r="2906" spans="1:8" x14ac:dyDescent="0.25">
      <c r="A2906" t="s">
        <v>33</v>
      </c>
      <c r="B2906">
        <v>83986</v>
      </c>
      <c r="C2906">
        <v>15</v>
      </c>
      <c r="D2906" t="s">
        <v>15</v>
      </c>
      <c r="E2906">
        <v>0.82</v>
      </c>
      <c r="F2906">
        <v>1.43</v>
      </c>
      <c r="G2906">
        <v>0.2</v>
      </c>
      <c r="H2906" t="s">
        <v>13</v>
      </c>
    </row>
    <row r="2907" spans="1:8" x14ac:dyDescent="0.25">
      <c r="A2907" t="s">
        <v>19</v>
      </c>
      <c r="B2907">
        <v>126681</v>
      </c>
      <c r="C2907">
        <v>18</v>
      </c>
      <c r="D2907" t="s">
        <v>15</v>
      </c>
      <c r="E2907">
        <v>0.32</v>
      </c>
      <c r="F2907">
        <v>0.96</v>
      </c>
      <c r="G2907">
        <v>0.21</v>
      </c>
      <c r="H2907" t="s">
        <v>13</v>
      </c>
    </row>
    <row r="2908" spans="1:8" x14ac:dyDescent="0.25">
      <c r="A2908" t="s">
        <v>34</v>
      </c>
      <c r="B2908">
        <v>148083</v>
      </c>
      <c r="C2908">
        <v>14</v>
      </c>
      <c r="D2908" t="s">
        <v>15</v>
      </c>
      <c r="E2908">
        <v>0.89</v>
      </c>
      <c r="F2908">
        <v>0.51</v>
      </c>
      <c r="G2908">
        <v>0.48</v>
      </c>
      <c r="H2908" t="s">
        <v>17</v>
      </c>
    </row>
    <row r="2909" spans="1:8" x14ac:dyDescent="0.25">
      <c r="A2909" t="s">
        <v>21</v>
      </c>
      <c r="B2909">
        <v>145915</v>
      </c>
      <c r="C2909">
        <v>13</v>
      </c>
      <c r="D2909" t="s">
        <v>28</v>
      </c>
      <c r="E2909">
        <v>0.84</v>
      </c>
      <c r="F2909">
        <v>0.59</v>
      </c>
      <c r="G2909">
        <v>7.0000000000000007E-2</v>
      </c>
      <c r="H2909" t="s">
        <v>13</v>
      </c>
    </row>
    <row r="2910" spans="1:8" x14ac:dyDescent="0.25">
      <c r="A2910" t="s">
        <v>31</v>
      </c>
      <c r="B2910">
        <v>45002</v>
      </c>
      <c r="C2910">
        <v>5</v>
      </c>
      <c r="D2910" t="s">
        <v>12</v>
      </c>
      <c r="E2910">
        <v>0.35</v>
      </c>
      <c r="F2910">
        <v>0.75</v>
      </c>
      <c r="G2910">
        <v>0.8</v>
      </c>
      <c r="H2910" t="s">
        <v>10</v>
      </c>
    </row>
    <row r="2911" spans="1:8" x14ac:dyDescent="0.25">
      <c r="A2911" t="s">
        <v>34</v>
      </c>
      <c r="B2911">
        <v>90587</v>
      </c>
      <c r="C2911">
        <v>6</v>
      </c>
      <c r="D2911" t="s">
        <v>15</v>
      </c>
      <c r="E2911">
        <v>0.33</v>
      </c>
      <c r="F2911">
        <v>1.2</v>
      </c>
      <c r="G2911">
        <v>0.35</v>
      </c>
      <c r="H2911" t="s">
        <v>17</v>
      </c>
    </row>
    <row r="2912" spans="1:8" x14ac:dyDescent="0.25">
      <c r="A2912" t="s">
        <v>14</v>
      </c>
      <c r="B2912">
        <v>117927</v>
      </c>
      <c r="C2912">
        <v>23</v>
      </c>
      <c r="D2912" t="s">
        <v>9</v>
      </c>
      <c r="E2912">
        <v>0.57999999999999996</v>
      </c>
      <c r="F2912">
        <v>0.67</v>
      </c>
      <c r="G2912">
        <v>0.87</v>
      </c>
      <c r="H2912" t="s">
        <v>10</v>
      </c>
    </row>
    <row r="2913" spans="1:8" x14ac:dyDescent="0.25">
      <c r="A2913" t="s">
        <v>27</v>
      </c>
      <c r="B2913">
        <v>111301</v>
      </c>
      <c r="C2913">
        <v>1</v>
      </c>
      <c r="D2913" t="s">
        <v>28</v>
      </c>
      <c r="E2913">
        <v>0.85</v>
      </c>
      <c r="F2913">
        <v>0.55000000000000004</v>
      </c>
      <c r="G2913">
        <v>0.49</v>
      </c>
      <c r="H2913" t="s">
        <v>17</v>
      </c>
    </row>
    <row r="2914" spans="1:8" x14ac:dyDescent="0.25">
      <c r="A2914" t="s">
        <v>11</v>
      </c>
      <c r="B2914">
        <v>138560</v>
      </c>
      <c r="C2914">
        <v>16</v>
      </c>
      <c r="D2914" t="s">
        <v>9</v>
      </c>
      <c r="E2914">
        <v>0.24</v>
      </c>
      <c r="F2914">
        <v>0.66</v>
      </c>
      <c r="G2914">
        <v>0.11</v>
      </c>
      <c r="H2914" t="s">
        <v>13</v>
      </c>
    </row>
    <row r="2915" spans="1:8" x14ac:dyDescent="0.25">
      <c r="A2915" t="s">
        <v>19</v>
      </c>
      <c r="B2915">
        <v>113092</v>
      </c>
      <c r="C2915">
        <v>23</v>
      </c>
      <c r="D2915" t="s">
        <v>15</v>
      </c>
      <c r="E2915">
        <v>0.41</v>
      </c>
      <c r="F2915">
        <v>1.01</v>
      </c>
      <c r="G2915">
        <v>0.26</v>
      </c>
      <c r="H2915" t="s">
        <v>13</v>
      </c>
    </row>
    <row r="2916" spans="1:8" x14ac:dyDescent="0.25">
      <c r="A2916" t="s">
        <v>30</v>
      </c>
      <c r="B2916">
        <v>41430</v>
      </c>
      <c r="C2916">
        <v>13</v>
      </c>
      <c r="D2916" t="s">
        <v>12</v>
      </c>
      <c r="E2916">
        <v>0.28000000000000003</v>
      </c>
      <c r="F2916">
        <v>0.69</v>
      </c>
      <c r="G2916">
        <v>0.16</v>
      </c>
      <c r="H2916" t="s">
        <v>13</v>
      </c>
    </row>
    <row r="2917" spans="1:8" x14ac:dyDescent="0.25">
      <c r="A2917" t="s">
        <v>23</v>
      </c>
      <c r="B2917">
        <v>39349</v>
      </c>
      <c r="C2917">
        <v>5</v>
      </c>
      <c r="D2917" t="s">
        <v>15</v>
      </c>
      <c r="E2917">
        <v>0.71</v>
      </c>
      <c r="F2917">
        <v>1.33</v>
      </c>
      <c r="G2917">
        <v>0.79</v>
      </c>
      <c r="H2917" t="s">
        <v>10</v>
      </c>
    </row>
    <row r="2918" spans="1:8" x14ac:dyDescent="0.25">
      <c r="A2918" t="s">
        <v>23</v>
      </c>
      <c r="B2918">
        <v>61658</v>
      </c>
      <c r="C2918">
        <v>10</v>
      </c>
      <c r="D2918" t="s">
        <v>9</v>
      </c>
      <c r="E2918">
        <v>0.41</v>
      </c>
      <c r="F2918">
        <v>0.54</v>
      </c>
      <c r="G2918">
        <v>0.71</v>
      </c>
      <c r="H2918" t="s">
        <v>10</v>
      </c>
    </row>
    <row r="2919" spans="1:8" x14ac:dyDescent="0.25">
      <c r="A2919" t="s">
        <v>24</v>
      </c>
      <c r="B2919">
        <v>39106</v>
      </c>
      <c r="C2919">
        <v>22</v>
      </c>
      <c r="D2919" t="s">
        <v>12</v>
      </c>
      <c r="E2919">
        <v>0.44</v>
      </c>
      <c r="F2919">
        <v>1.45</v>
      </c>
      <c r="G2919">
        <v>0.31</v>
      </c>
      <c r="H2919" t="s">
        <v>17</v>
      </c>
    </row>
    <row r="2920" spans="1:8" x14ac:dyDescent="0.25">
      <c r="A2920" t="s">
        <v>29</v>
      </c>
      <c r="B2920">
        <v>97792</v>
      </c>
      <c r="C2920">
        <v>16</v>
      </c>
      <c r="D2920" t="s">
        <v>12</v>
      </c>
      <c r="E2920">
        <v>0.1</v>
      </c>
      <c r="F2920">
        <v>1.28</v>
      </c>
      <c r="G2920">
        <v>0.81</v>
      </c>
      <c r="H2920" t="s">
        <v>10</v>
      </c>
    </row>
    <row r="2921" spans="1:8" x14ac:dyDescent="0.25">
      <c r="A2921" t="s">
        <v>11</v>
      </c>
      <c r="B2921">
        <v>39788</v>
      </c>
      <c r="C2921">
        <v>6</v>
      </c>
      <c r="D2921" t="s">
        <v>12</v>
      </c>
      <c r="E2921">
        <v>0.03</v>
      </c>
      <c r="F2921">
        <v>0.72</v>
      </c>
      <c r="G2921">
        <v>0.23</v>
      </c>
      <c r="H2921" t="s">
        <v>13</v>
      </c>
    </row>
    <row r="2922" spans="1:8" x14ac:dyDescent="0.25">
      <c r="A2922" t="s">
        <v>8</v>
      </c>
      <c r="B2922">
        <v>88215</v>
      </c>
      <c r="C2922">
        <v>5</v>
      </c>
      <c r="D2922" t="s">
        <v>12</v>
      </c>
      <c r="E2922">
        <v>0.04</v>
      </c>
      <c r="F2922">
        <v>0.78</v>
      </c>
      <c r="G2922">
        <v>0.74</v>
      </c>
      <c r="H2922" t="s">
        <v>10</v>
      </c>
    </row>
    <row r="2923" spans="1:8" x14ac:dyDescent="0.25">
      <c r="A2923" t="s">
        <v>16</v>
      </c>
      <c r="B2923">
        <v>87487</v>
      </c>
      <c r="C2923">
        <v>3</v>
      </c>
      <c r="D2923" t="s">
        <v>12</v>
      </c>
      <c r="E2923">
        <v>0.68</v>
      </c>
      <c r="F2923">
        <v>1.1200000000000001</v>
      </c>
      <c r="G2923">
        <v>0.34</v>
      </c>
      <c r="H2923" t="s">
        <v>17</v>
      </c>
    </row>
    <row r="2924" spans="1:8" x14ac:dyDescent="0.25">
      <c r="A2924" t="s">
        <v>20</v>
      </c>
      <c r="B2924">
        <v>85016</v>
      </c>
      <c r="C2924">
        <v>6</v>
      </c>
      <c r="D2924" t="s">
        <v>15</v>
      </c>
      <c r="E2924">
        <v>0.82</v>
      </c>
      <c r="F2924">
        <v>1.49</v>
      </c>
      <c r="G2924">
        <v>0.45</v>
      </c>
      <c r="H2924" t="s">
        <v>17</v>
      </c>
    </row>
    <row r="2925" spans="1:8" x14ac:dyDescent="0.25">
      <c r="A2925" t="s">
        <v>32</v>
      </c>
      <c r="B2925">
        <v>38701</v>
      </c>
      <c r="C2925">
        <v>3</v>
      </c>
      <c r="D2925" t="s">
        <v>15</v>
      </c>
      <c r="E2925">
        <v>0.9</v>
      </c>
      <c r="F2925">
        <v>1.0900000000000001</v>
      </c>
      <c r="G2925">
        <v>0.6</v>
      </c>
      <c r="H2925" t="s">
        <v>17</v>
      </c>
    </row>
    <row r="2926" spans="1:8" x14ac:dyDescent="0.25">
      <c r="A2926" t="s">
        <v>33</v>
      </c>
      <c r="B2926">
        <v>145571</v>
      </c>
      <c r="C2926">
        <v>4</v>
      </c>
      <c r="D2926" t="s">
        <v>15</v>
      </c>
      <c r="E2926">
        <v>0.23</v>
      </c>
      <c r="F2926">
        <v>0.56999999999999995</v>
      </c>
      <c r="G2926">
        <v>0.23</v>
      </c>
      <c r="H2926" t="s">
        <v>13</v>
      </c>
    </row>
    <row r="2927" spans="1:8" x14ac:dyDescent="0.25">
      <c r="A2927" t="s">
        <v>16</v>
      </c>
      <c r="B2927">
        <v>106733</v>
      </c>
      <c r="C2927">
        <v>4</v>
      </c>
      <c r="D2927" t="s">
        <v>15</v>
      </c>
      <c r="E2927">
        <v>0.21</v>
      </c>
      <c r="F2927">
        <v>0.6</v>
      </c>
      <c r="G2927">
        <v>0.41</v>
      </c>
      <c r="H2927" t="s">
        <v>17</v>
      </c>
    </row>
    <row r="2928" spans="1:8" x14ac:dyDescent="0.25">
      <c r="A2928" t="s">
        <v>19</v>
      </c>
      <c r="B2928">
        <v>128725</v>
      </c>
      <c r="C2928">
        <v>7</v>
      </c>
      <c r="D2928" t="s">
        <v>9</v>
      </c>
      <c r="E2928">
        <v>0.05</v>
      </c>
      <c r="F2928">
        <v>0.96</v>
      </c>
      <c r="G2928">
        <v>0.21</v>
      </c>
      <c r="H2928" t="s">
        <v>13</v>
      </c>
    </row>
    <row r="2929" spans="1:8" x14ac:dyDescent="0.25">
      <c r="A2929" t="s">
        <v>16</v>
      </c>
      <c r="B2929">
        <v>112669</v>
      </c>
      <c r="C2929">
        <v>29</v>
      </c>
      <c r="D2929" t="s">
        <v>15</v>
      </c>
      <c r="E2929">
        <v>0.64</v>
      </c>
      <c r="F2929">
        <v>0.63</v>
      </c>
      <c r="G2929">
        <v>0.31</v>
      </c>
      <c r="H2929" t="s">
        <v>17</v>
      </c>
    </row>
    <row r="2930" spans="1:8" x14ac:dyDescent="0.25">
      <c r="A2930" t="s">
        <v>20</v>
      </c>
      <c r="B2930">
        <v>79755</v>
      </c>
      <c r="C2930">
        <v>11</v>
      </c>
      <c r="D2930" t="s">
        <v>15</v>
      </c>
      <c r="E2930">
        <v>0.18</v>
      </c>
      <c r="F2930">
        <v>1.1399999999999999</v>
      </c>
      <c r="G2930">
        <v>0.38</v>
      </c>
      <c r="H2930" t="s">
        <v>17</v>
      </c>
    </row>
    <row r="2931" spans="1:8" x14ac:dyDescent="0.25">
      <c r="A2931" t="s">
        <v>22</v>
      </c>
      <c r="B2931">
        <v>80636</v>
      </c>
      <c r="C2931">
        <v>3</v>
      </c>
      <c r="D2931" t="s">
        <v>12</v>
      </c>
      <c r="E2931">
        <v>0.04</v>
      </c>
      <c r="F2931">
        <v>1.42</v>
      </c>
      <c r="G2931">
        <v>0.45</v>
      </c>
      <c r="H2931" t="s">
        <v>17</v>
      </c>
    </row>
    <row r="2932" spans="1:8" x14ac:dyDescent="0.25">
      <c r="A2932" t="s">
        <v>18</v>
      </c>
      <c r="B2932">
        <v>52437</v>
      </c>
      <c r="C2932">
        <v>22</v>
      </c>
      <c r="D2932" t="s">
        <v>9</v>
      </c>
      <c r="E2932">
        <v>0.67</v>
      </c>
      <c r="F2932">
        <v>1.18</v>
      </c>
      <c r="G2932">
        <v>0.56000000000000005</v>
      </c>
      <c r="H2932" t="s">
        <v>17</v>
      </c>
    </row>
    <row r="2933" spans="1:8" x14ac:dyDescent="0.25">
      <c r="A2933" t="s">
        <v>31</v>
      </c>
      <c r="B2933">
        <v>119128</v>
      </c>
      <c r="C2933">
        <v>25</v>
      </c>
      <c r="D2933" t="s">
        <v>9</v>
      </c>
      <c r="E2933">
        <v>0.61</v>
      </c>
      <c r="F2933">
        <v>1.5</v>
      </c>
      <c r="G2933">
        <v>0.74</v>
      </c>
      <c r="H2933" t="s">
        <v>10</v>
      </c>
    </row>
    <row r="2934" spans="1:8" x14ac:dyDescent="0.25">
      <c r="A2934" t="s">
        <v>24</v>
      </c>
      <c r="B2934">
        <v>36210</v>
      </c>
      <c r="C2934">
        <v>4</v>
      </c>
      <c r="D2934" t="s">
        <v>15</v>
      </c>
      <c r="E2934">
        <v>0.6</v>
      </c>
      <c r="F2934">
        <v>1.04</v>
      </c>
      <c r="G2934">
        <v>0.54</v>
      </c>
      <c r="H2934" t="s">
        <v>17</v>
      </c>
    </row>
    <row r="2935" spans="1:8" x14ac:dyDescent="0.25">
      <c r="A2935" t="s">
        <v>23</v>
      </c>
      <c r="B2935">
        <v>88880</v>
      </c>
      <c r="C2935">
        <v>10</v>
      </c>
      <c r="D2935" t="s">
        <v>12</v>
      </c>
      <c r="E2935">
        <v>0.73</v>
      </c>
      <c r="F2935">
        <v>1.18</v>
      </c>
      <c r="G2935">
        <v>0.95</v>
      </c>
      <c r="H2935" t="s">
        <v>10</v>
      </c>
    </row>
    <row r="2936" spans="1:8" x14ac:dyDescent="0.25">
      <c r="A2936" t="s">
        <v>20</v>
      </c>
      <c r="B2936">
        <v>72428</v>
      </c>
      <c r="C2936">
        <v>9</v>
      </c>
      <c r="D2936" t="s">
        <v>28</v>
      </c>
      <c r="E2936">
        <v>0.23</v>
      </c>
      <c r="F2936">
        <v>0.99</v>
      </c>
      <c r="G2936">
        <v>0.47</v>
      </c>
      <c r="H2936" t="s">
        <v>17</v>
      </c>
    </row>
    <row r="2937" spans="1:8" x14ac:dyDescent="0.25">
      <c r="A2937" t="s">
        <v>33</v>
      </c>
      <c r="B2937">
        <v>42199</v>
      </c>
      <c r="C2937">
        <v>0</v>
      </c>
      <c r="D2937" t="s">
        <v>28</v>
      </c>
      <c r="E2937">
        <v>0.84</v>
      </c>
      <c r="F2937">
        <v>0.99</v>
      </c>
      <c r="G2937">
        <v>0.26</v>
      </c>
      <c r="H2937" t="s">
        <v>13</v>
      </c>
    </row>
    <row r="2938" spans="1:8" x14ac:dyDescent="0.25">
      <c r="A2938" t="s">
        <v>16</v>
      </c>
      <c r="B2938">
        <v>95109</v>
      </c>
      <c r="C2938">
        <v>4</v>
      </c>
      <c r="D2938" t="s">
        <v>15</v>
      </c>
      <c r="E2938">
        <v>0.06</v>
      </c>
      <c r="F2938">
        <v>1.1599999999999999</v>
      </c>
      <c r="G2938">
        <v>0.61</v>
      </c>
      <c r="H2938" t="s">
        <v>17</v>
      </c>
    </row>
    <row r="2939" spans="1:8" x14ac:dyDescent="0.25">
      <c r="A2939" t="s">
        <v>34</v>
      </c>
      <c r="B2939">
        <v>30448</v>
      </c>
      <c r="C2939">
        <v>4</v>
      </c>
      <c r="D2939" t="s">
        <v>12</v>
      </c>
      <c r="E2939">
        <v>0.94</v>
      </c>
      <c r="F2939">
        <v>1.24</v>
      </c>
      <c r="G2939">
        <v>0.36</v>
      </c>
      <c r="H2939" t="s">
        <v>17</v>
      </c>
    </row>
    <row r="2940" spans="1:8" x14ac:dyDescent="0.25">
      <c r="A2940" t="s">
        <v>31</v>
      </c>
      <c r="B2940">
        <v>91638</v>
      </c>
      <c r="C2940">
        <v>28</v>
      </c>
      <c r="D2940" t="s">
        <v>12</v>
      </c>
      <c r="E2940">
        <v>0.89</v>
      </c>
      <c r="F2940">
        <v>0.61</v>
      </c>
      <c r="G2940">
        <v>0.77</v>
      </c>
      <c r="H2940" t="s">
        <v>10</v>
      </c>
    </row>
    <row r="2941" spans="1:8" x14ac:dyDescent="0.25">
      <c r="A2941" t="s">
        <v>23</v>
      </c>
      <c r="B2941">
        <v>79584</v>
      </c>
      <c r="C2941">
        <v>15</v>
      </c>
      <c r="D2941" t="s">
        <v>28</v>
      </c>
      <c r="E2941">
        <v>0.55000000000000004</v>
      </c>
      <c r="F2941">
        <v>0.84</v>
      </c>
      <c r="G2941">
        <v>0.71</v>
      </c>
      <c r="H2941" t="s">
        <v>10</v>
      </c>
    </row>
    <row r="2942" spans="1:8" x14ac:dyDescent="0.25">
      <c r="A2942" t="s">
        <v>14</v>
      </c>
      <c r="B2942">
        <v>134065</v>
      </c>
      <c r="C2942">
        <v>29</v>
      </c>
      <c r="D2942" t="s">
        <v>12</v>
      </c>
      <c r="E2942">
        <v>0.33</v>
      </c>
      <c r="F2942">
        <v>0.93</v>
      </c>
      <c r="G2942">
        <v>0.76</v>
      </c>
      <c r="H2942" t="s">
        <v>10</v>
      </c>
    </row>
    <row r="2943" spans="1:8" x14ac:dyDescent="0.25">
      <c r="A2943" t="s">
        <v>32</v>
      </c>
      <c r="B2943">
        <v>61474</v>
      </c>
      <c r="C2943">
        <v>23</v>
      </c>
      <c r="D2943" t="s">
        <v>15</v>
      </c>
      <c r="E2943">
        <v>0.7</v>
      </c>
      <c r="F2943">
        <v>0.56000000000000005</v>
      </c>
      <c r="G2943">
        <v>0.42</v>
      </c>
      <c r="H2943" t="s">
        <v>17</v>
      </c>
    </row>
    <row r="2944" spans="1:8" x14ac:dyDescent="0.25">
      <c r="A2944" t="s">
        <v>14</v>
      </c>
      <c r="B2944">
        <v>101864</v>
      </c>
      <c r="C2944">
        <v>14</v>
      </c>
      <c r="D2944" t="s">
        <v>15</v>
      </c>
      <c r="E2944">
        <v>0.87</v>
      </c>
      <c r="F2944">
        <v>1.41</v>
      </c>
      <c r="G2944">
        <v>0.83</v>
      </c>
      <c r="H2944" t="s">
        <v>10</v>
      </c>
    </row>
    <row r="2945" spans="1:8" x14ac:dyDescent="0.25">
      <c r="A2945" t="s">
        <v>31</v>
      </c>
      <c r="B2945">
        <v>40496</v>
      </c>
      <c r="C2945">
        <v>28</v>
      </c>
      <c r="D2945" t="s">
        <v>12</v>
      </c>
      <c r="E2945">
        <v>0.86</v>
      </c>
      <c r="F2945">
        <v>1.19</v>
      </c>
      <c r="G2945">
        <v>0.75</v>
      </c>
      <c r="H2945" t="s">
        <v>10</v>
      </c>
    </row>
    <row r="2946" spans="1:8" x14ac:dyDescent="0.25">
      <c r="A2946" t="s">
        <v>11</v>
      </c>
      <c r="B2946">
        <v>45285</v>
      </c>
      <c r="C2946">
        <v>9</v>
      </c>
      <c r="D2946" t="s">
        <v>15</v>
      </c>
      <c r="E2946">
        <v>0.65</v>
      </c>
      <c r="F2946">
        <v>0.99</v>
      </c>
      <c r="G2946">
        <v>0.26</v>
      </c>
      <c r="H2946" t="s">
        <v>13</v>
      </c>
    </row>
    <row r="2947" spans="1:8" x14ac:dyDescent="0.25">
      <c r="A2947" t="s">
        <v>29</v>
      </c>
      <c r="B2947">
        <v>53929</v>
      </c>
      <c r="C2947">
        <v>23</v>
      </c>
      <c r="D2947" t="s">
        <v>12</v>
      </c>
      <c r="E2947">
        <v>0.97</v>
      </c>
      <c r="F2947">
        <v>1.47</v>
      </c>
      <c r="G2947">
        <v>0.93</v>
      </c>
      <c r="H2947" t="s">
        <v>10</v>
      </c>
    </row>
    <row r="2948" spans="1:8" x14ac:dyDescent="0.25">
      <c r="A2948" t="s">
        <v>20</v>
      </c>
      <c r="B2948">
        <v>90993</v>
      </c>
      <c r="C2948">
        <v>17</v>
      </c>
      <c r="D2948" t="s">
        <v>9</v>
      </c>
      <c r="E2948">
        <v>0.65</v>
      </c>
      <c r="F2948">
        <v>0.97</v>
      </c>
      <c r="G2948">
        <v>0.54</v>
      </c>
      <c r="H2948" t="s">
        <v>17</v>
      </c>
    </row>
    <row r="2949" spans="1:8" x14ac:dyDescent="0.25">
      <c r="A2949" t="s">
        <v>29</v>
      </c>
      <c r="B2949">
        <v>115059</v>
      </c>
      <c r="C2949">
        <v>3</v>
      </c>
      <c r="D2949" t="s">
        <v>9</v>
      </c>
      <c r="E2949">
        <v>0.76</v>
      </c>
      <c r="F2949">
        <v>0.51</v>
      </c>
      <c r="G2949">
        <v>0.94</v>
      </c>
      <c r="H2949" t="s">
        <v>10</v>
      </c>
    </row>
    <row r="2950" spans="1:8" x14ac:dyDescent="0.25">
      <c r="A2950" t="s">
        <v>31</v>
      </c>
      <c r="B2950">
        <v>84853</v>
      </c>
      <c r="C2950">
        <v>25</v>
      </c>
      <c r="D2950" t="s">
        <v>28</v>
      </c>
      <c r="E2950">
        <v>0.47</v>
      </c>
      <c r="F2950">
        <v>0.73</v>
      </c>
      <c r="G2950">
        <v>0.78</v>
      </c>
      <c r="H2950" t="s">
        <v>10</v>
      </c>
    </row>
    <row r="2951" spans="1:8" x14ac:dyDescent="0.25">
      <c r="A2951" t="s">
        <v>24</v>
      </c>
      <c r="B2951">
        <v>84566</v>
      </c>
      <c r="C2951">
        <v>25</v>
      </c>
      <c r="D2951" t="s">
        <v>28</v>
      </c>
      <c r="E2951">
        <v>0.68</v>
      </c>
      <c r="F2951">
        <v>1.04</v>
      </c>
      <c r="G2951">
        <v>0.31</v>
      </c>
      <c r="H2951" t="s">
        <v>17</v>
      </c>
    </row>
    <row r="2952" spans="1:8" x14ac:dyDescent="0.25">
      <c r="A2952" t="s">
        <v>24</v>
      </c>
      <c r="B2952">
        <v>89930</v>
      </c>
      <c r="C2952">
        <v>19</v>
      </c>
      <c r="D2952" t="s">
        <v>28</v>
      </c>
      <c r="E2952">
        <v>0.12</v>
      </c>
      <c r="F2952">
        <v>1.35</v>
      </c>
      <c r="G2952">
        <v>0.64</v>
      </c>
      <c r="H2952" t="s">
        <v>17</v>
      </c>
    </row>
    <row r="2953" spans="1:8" x14ac:dyDescent="0.25">
      <c r="A2953" t="s">
        <v>11</v>
      </c>
      <c r="B2953">
        <v>75357</v>
      </c>
      <c r="C2953">
        <v>9</v>
      </c>
      <c r="D2953" t="s">
        <v>12</v>
      </c>
      <c r="E2953">
        <v>0.33</v>
      </c>
      <c r="F2953">
        <v>0.95</v>
      </c>
      <c r="G2953">
        <v>0.3</v>
      </c>
      <c r="H2953" t="s">
        <v>13</v>
      </c>
    </row>
    <row r="2954" spans="1:8" x14ac:dyDescent="0.25">
      <c r="A2954" t="s">
        <v>14</v>
      </c>
      <c r="B2954">
        <v>102730</v>
      </c>
      <c r="C2954">
        <v>21</v>
      </c>
      <c r="D2954" t="s">
        <v>12</v>
      </c>
      <c r="E2954">
        <v>0.38</v>
      </c>
      <c r="F2954">
        <v>0.74</v>
      </c>
      <c r="G2954">
        <v>0.7</v>
      </c>
      <c r="H2954" t="s">
        <v>17</v>
      </c>
    </row>
    <row r="2955" spans="1:8" x14ac:dyDescent="0.25">
      <c r="A2955" t="s">
        <v>23</v>
      </c>
      <c r="B2955">
        <v>73200</v>
      </c>
      <c r="C2955">
        <v>1</v>
      </c>
      <c r="D2955" t="s">
        <v>9</v>
      </c>
      <c r="E2955">
        <v>0.64</v>
      </c>
      <c r="F2955">
        <v>1.2</v>
      </c>
      <c r="G2955">
        <v>0.93</v>
      </c>
      <c r="H2955" t="s">
        <v>10</v>
      </c>
    </row>
    <row r="2956" spans="1:8" x14ac:dyDescent="0.25">
      <c r="A2956" t="s">
        <v>24</v>
      </c>
      <c r="B2956">
        <v>84887</v>
      </c>
      <c r="C2956">
        <v>26</v>
      </c>
      <c r="D2956" t="s">
        <v>28</v>
      </c>
      <c r="E2956">
        <v>0.32</v>
      </c>
      <c r="F2956">
        <v>0.92</v>
      </c>
      <c r="G2956">
        <v>0.67</v>
      </c>
      <c r="H2956" t="s">
        <v>17</v>
      </c>
    </row>
    <row r="2957" spans="1:8" x14ac:dyDescent="0.25">
      <c r="A2957" t="s">
        <v>33</v>
      </c>
      <c r="B2957">
        <v>34008</v>
      </c>
      <c r="C2957">
        <v>18</v>
      </c>
      <c r="D2957" t="s">
        <v>15</v>
      </c>
      <c r="E2957">
        <v>0.85</v>
      </c>
      <c r="F2957">
        <v>0.91</v>
      </c>
      <c r="G2957">
        <v>0.25</v>
      </c>
      <c r="H2957" t="s">
        <v>13</v>
      </c>
    </row>
    <row r="2958" spans="1:8" x14ac:dyDescent="0.25">
      <c r="A2958" t="s">
        <v>27</v>
      </c>
      <c r="B2958">
        <v>138321</v>
      </c>
      <c r="C2958">
        <v>8</v>
      </c>
      <c r="D2958" t="s">
        <v>12</v>
      </c>
      <c r="E2958">
        <v>0.54</v>
      </c>
      <c r="F2958">
        <v>1.04</v>
      </c>
      <c r="G2958">
        <v>0.39</v>
      </c>
      <c r="H2958" t="s">
        <v>17</v>
      </c>
    </row>
    <row r="2959" spans="1:8" x14ac:dyDescent="0.25">
      <c r="A2959" t="s">
        <v>27</v>
      </c>
      <c r="B2959">
        <v>105328</v>
      </c>
      <c r="C2959">
        <v>5</v>
      </c>
      <c r="D2959" t="s">
        <v>15</v>
      </c>
      <c r="E2959">
        <v>0.86</v>
      </c>
      <c r="F2959">
        <v>0.9</v>
      </c>
      <c r="G2959">
        <v>0.55000000000000004</v>
      </c>
      <c r="H2959" t="s">
        <v>17</v>
      </c>
    </row>
    <row r="2960" spans="1:8" x14ac:dyDescent="0.25">
      <c r="A2960" t="s">
        <v>21</v>
      </c>
      <c r="B2960">
        <v>105755</v>
      </c>
      <c r="C2960">
        <v>27</v>
      </c>
      <c r="D2960" t="s">
        <v>15</v>
      </c>
      <c r="E2960">
        <v>0.37</v>
      </c>
      <c r="F2960">
        <v>0.84</v>
      </c>
      <c r="G2960">
        <v>0.3</v>
      </c>
      <c r="H2960" t="s">
        <v>13</v>
      </c>
    </row>
    <row r="2961" spans="1:8" x14ac:dyDescent="0.25">
      <c r="A2961" t="s">
        <v>22</v>
      </c>
      <c r="B2961">
        <v>42430</v>
      </c>
      <c r="C2961">
        <v>28</v>
      </c>
      <c r="D2961" t="s">
        <v>9</v>
      </c>
      <c r="E2961">
        <v>0.77</v>
      </c>
      <c r="F2961">
        <v>0.65</v>
      </c>
      <c r="G2961">
        <v>0.69</v>
      </c>
      <c r="H2961" t="s">
        <v>17</v>
      </c>
    </row>
    <row r="2962" spans="1:8" x14ac:dyDescent="0.25">
      <c r="A2962" t="s">
        <v>20</v>
      </c>
      <c r="B2962">
        <v>67088</v>
      </c>
      <c r="C2962">
        <v>22</v>
      </c>
      <c r="D2962" t="s">
        <v>9</v>
      </c>
      <c r="E2962">
        <v>0.39</v>
      </c>
      <c r="F2962">
        <v>0.91</v>
      </c>
      <c r="G2962">
        <v>0.56999999999999995</v>
      </c>
      <c r="H2962" t="s">
        <v>17</v>
      </c>
    </row>
    <row r="2963" spans="1:8" x14ac:dyDescent="0.25">
      <c r="A2963" t="s">
        <v>20</v>
      </c>
      <c r="B2963">
        <v>31312</v>
      </c>
      <c r="C2963">
        <v>9</v>
      </c>
      <c r="D2963" t="s">
        <v>9</v>
      </c>
      <c r="E2963">
        <v>0.91</v>
      </c>
      <c r="F2963">
        <v>1.29</v>
      </c>
      <c r="G2963">
        <v>0.31</v>
      </c>
      <c r="H2963" t="s">
        <v>17</v>
      </c>
    </row>
    <row r="2964" spans="1:8" x14ac:dyDescent="0.25">
      <c r="A2964" t="s">
        <v>23</v>
      </c>
      <c r="B2964">
        <v>33914</v>
      </c>
      <c r="C2964">
        <v>10</v>
      </c>
      <c r="D2964" t="s">
        <v>28</v>
      </c>
      <c r="E2964">
        <v>0.87</v>
      </c>
      <c r="F2964">
        <v>1.48</v>
      </c>
      <c r="G2964">
        <v>0.82</v>
      </c>
      <c r="H2964" t="s">
        <v>10</v>
      </c>
    </row>
    <row r="2965" spans="1:8" x14ac:dyDescent="0.25">
      <c r="A2965" t="s">
        <v>26</v>
      </c>
      <c r="B2965">
        <v>74181</v>
      </c>
      <c r="C2965">
        <v>21</v>
      </c>
      <c r="D2965" t="s">
        <v>9</v>
      </c>
      <c r="E2965">
        <v>0.76</v>
      </c>
      <c r="F2965">
        <v>0.52</v>
      </c>
      <c r="G2965">
        <v>0.45</v>
      </c>
      <c r="H2965" t="s">
        <v>17</v>
      </c>
    </row>
    <row r="2966" spans="1:8" x14ac:dyDescent="0.25">
      <c r="A2966" t="s">
        <v>26</v>
      </c>
      <c r="B2966">
        <v>72734</v>
      </c>
      <c r="C2966">
        <v>1</v>
      </c>
      <c r="D2966" t="s">
        <v>12</v>
      </c>
      <c r="E2966">
        <v>0.31</v>
      </c>
      <c r="F2966">
        <v>0.5</v>
      </c>
      <c r="G2966">
        <v>0.43</v>
      </c>
      <c r="H2966" t="s">
        <v>17</v>
      </c>
    </row>
    <row r="2967" spans="1:8" x14ac:dyDescent="0.25">
      <c r="A2967" t="s">
        <v>24</v>
      </c>
      <c r="B2967">
        <v>59319</v>
      </c>
      <c r="C2967">
        <v>26</v>
      </c>
      <c r="D2967" t="s">
        <v>9</v>
      </c>
      <c r="E2967">
        <v>0.13</v>
      </c>
      <c r="F2967">
        <v>1.1000000000000001</v>
      </c>
      <c r="G2967">
        <v>0.68</v>
      </c>
      <c r="H2967" t="s">
        <v>17</v>
      </c>
    </row>
    <row r="2968" spans="1:8" x14ac:dyDescent="0.25">
      <c r="A2968" t="s">
        <v>30</v>
      </c>
      <c r="B2968">
        <v>108806</v>
      </c>
      <c r="C2968">
        <v>16</v>
      </c>
      <c r="D2968" t="s">
        <v>15</v>
      </c>
      <c r="E2968">
        <v>0.36</v>
      </c>
      <c r="F2968">
        <v>0.54</v>
      </c>
      <c r="G2968">
        <v>0.1</v>
      </c>
      <c r="H2968" t="s">
        <v>13</v>
      </c>
    </row>
    <row r="2969" spans="1:8" x14ac:dyDescent="0.25">
      <c r="A2969" t="s">
        <v>27</v>
      </c>
      <c r="B2969">
        <v>110296</v>
      </c>
      <c r="C2969">
        <v>28</v>
      </c>
      <c r="D2969" t="s">
        <v>28</v>
      </c>
      <c r="E2969">
        <v>0.94</v>
      </c>
      <c r="F2969">
        <v>0.52</v>
      </c>
      <c r="G2969">
        <v>0.6</v>
      </c>
      <c r="H2969" t="s">
        <v>17</v>
      </c>
    </row>
    <row r="2970" spans="1:8" x14ac:dyDescent="0.25">
      <c r="A2970" t="s">
        <v>14</v>
      </c>
      <c r="B2970">
        <v>140979</v>
      </c>
      <c r="C2970">
        <v>22</v>
      </c>
      <c r="D2970" t="s">
        <v>12</v>
      </c>
      <c r="E2970">
        <v>0.31</v>
      </c>
      <c r="F2970">
        <v>1.04</v>
      </c>
      <c r="G2970">
        <v>0.75</v>
      </c>
      <c r="H2970" t="s">
        <v>10</v>
      </c>
    </row>
    <row r="2971" spans="1:8" x14ac:dyDescent="0.25">
      <c r="A2971" t="s">
        <v>11</v>
      </c>
      <c r="B2971">
        <v>147083</v>
      </c>
      <c r="C2971">
        <v>9</v>
      </c>
      <c r="D2971" t="s">
        <v>12</v>
      </c>
      <c r="E2971">
        <v>0.54</v>
      </c>
      <c r="F2971">
        <v>1.4</v>
      </c>
      <c r="G2971">
        <v>0.2</v>
      </c>
      <c r="H2971" t="s">
        <v>13</v>
      </c>
    </row>
    <row r="2972" spans="1:8" x14ac:dyDescent="0.25">
      <c r="A2972" t="s">
        <v>16</v>
      </c>
      <c r="B2972">
        <v>120236</v>
      </c>
      <c r="C2972">
        <v>7</v>
      </c>
      <c r="D2972" t="s">
        <v>9</v>
      </c>
      <c r="E2972">
        <v>0.89</v>
      </c>
      <c r="F2972">
        <v>0.83</v>
      </c>
      <c r="G2972">
        <v>0.55000000000000004</v>
      </c>
      <c r="H2972" t="s">
        <v>17</v>
      </c>
    </row>
    <row r="2973" spans="1:8" x14ac:dyDescent="0.25">
      <c r="A2973" t="s">
        <v>26</v>
      </c>
      <c r="B2973">
        <v>89550</v>
      </c>
      <c r="C2973">
        <v>7</v>
      </c>
      <c r="D2973" t="s">
        <v>28</v>
      </c>
      <c r="E2973">
        <v>0.45</v>
      </c>
      <c r="F2973">
        <v>0.75</v>
      </c>
      <c r="G2973">
        <v>0.32</v>
      </c>
      <c r="H2973" t="s">
        <v>17</v>
      </c>
    </row>
    <row r="2974" spans="1:8" x14ac:dyDescent="0.25">
      <c r="A2974" t="s">
        <v>29</v>
      </c>
      <c r="B2974">
        <v>63867</v>
      </c>
      <c r="C2974">
        <v>27</v>
      </c>
      <c r="D2974" t="s">
        <v>28</v>
      </c>
      <c r="E2974">
        <v>0.75</v>
      </c>
      <c r="F2974">
        <v>1.1499999999999999</v>
      </c>
      <c r="G2974">
        <v>0.91</v>
      </c>
      <c r="H2974" t="s">
        <v>10</v>
      </c>
    </row>
    <row r="2975" spans="1:8" x14ac:dyDescent="0.25">
      <c r="A2975" t="s">
        <v>30</v>
      </c>
      <c r="B2975">
        <v>132922</v>
      </c>
      <c r="C2975">
        <v>3</v>
      </c>
      <c r="D2975" t="s">
        <v>28</v>
      </c>
      <c r="E2975">
        <v>0.81</v>
      </c>
      <c r="F2975">
        <v>1.39</v>
      </c>
      <c r="G2975">
        <v>0.28000000000000003</v>
      </c>
      <c r="H2975" t="s">
        <v>13</v>
      </c>
    </row>
    <row r="2976" spans="1:8" x14ac:dyDescent="0.25">
      <c r="A2976" t="s">
        <v>18</v>
      </c>
      <c r="B2976">
        <v>134242</v>
      </c>
      <c r="C2976">
        <v>0</v>
      </c>
      <c r="D2976" t="s">
        <v>15</v>
      </c>
      <c r="E2976">
        <v>0.89</v>
      </c>
      <c r="F2976">
        <v>0.65</v>
      </c>
      <c r="G2976">
        <v>0.6</v>
      </c>
      <c r="H2976" t="s">
        <v>17</v>
      </c>
    </row>
    <row r="2977" spans="1:8" x14ac:dyDescent="0.25">
      <c r="A2977" t="s">
        <v>24</v>
      </c>
      <c r="B2977">
        <v>72408</v>
      </c>
      <c r="C2977">
        <v>29</v>
      </c>
      <c r="D2977" t="s">
        <v>28</v>
      </c>
      <c r="E2977">
        <v>0.21</v>
      </c>
      <c r="F2977">
        <v>0.99</v>
      </c>
      <c r="G2977">
        <v>0.33</v>
      </c>
      <c r="H2977" t="s">
        <v>17</v>
      </c>
    </row>
    <row r="2978" spans="1:8" x14ac:dyDescent="0.25">
      <c r="A2978" t="s">
        <v>21</v>
      </c>
      <c r="B2978">
        <v>146199</v>
      </c>
      <c r="C2978">
        <v>26</v>
      </c>
      <c r="D2978" t="s">
        <v>9</v>
      </c>
      <c r="E2978">
        <v>0.28000000000000003</v>
      </c>
      <c r="F2978">
        <v>1.1599999999999999</v>
      </c>
      <c r="G2978">
        <v>0.2</v>
      </c>
      <c r="H2978" t="s">
        <v>13</v>
      </c>
    </row>
    <row r="2979" spans="1:8" x14ac:dyDescent="0.25">
      <c r="A2979" t="s">
        <v>32</v>
      </c>
      <c r="B2979">
        <v>122864</v>
      </c>
      <c r="C2979">
        <v>23</v>
      </c>
      <c r="D2979" t="s">
        <v>12</v>
      </c>
      <c r="E2979">
        <v>0.62</v>
      </c>
      <c r="F2979">
        <v>1.38</v>
      </c>
      <c r="G2979">
        <v>0.37</v>
      </c>
      <c r="H2979" t="s">
        <v>17</v>
      </c>
    </row>
    <row r="2980" spans="1:8" x14ac:dyDescent="0.25">
      <c r="A2980" t="s">
        <v>21</v>
      </c>
      <c r="B2980">
        <v>63791</v>
      </c>
      <c r="C2980">
        <v>21</v>
      </c>
      <c r="D2980" t="s">
        <v>28</v>
      </c>
      <c r="E2980">
        <v>0.19</v>
      </c>
      <c r="F2980">
        <v>0.65</v>
      </c>
      <c r="G2980">
        <v>0.1</v>
      </c>
      <c r="H2980" t="s">
        <v>13</v>
      </c>
    </row>
    <row r="2981" spans="1:8" x14ac:dyDescent="0.25">
      <c r="A2981" t="s">
        <v>23</v>
      </c>
      <c r="B2981">
        <v>70840</v>
      </c>
      <c r="C2981">
        <v>17</v>
      </c>
      <c r="D2981" t="s">
        <v>9</v>
      </c>
      <c r="E2981">
        <v>0.6</v>
      </c>
      <c r="F2981">
        <v>0.93</v>
      </c>
      <c r="G2981">
        <v>0.72</v>
      </c>
      <c r="H2981" t="s">
        <v>10</v>
      </c>
    </row>
    <row r="2982" spans="1:8" x14ac:dyDescent="0.25">
      <c r="A2982" t="s">
        <v>30</v>
      </c>
      <c r="B2982">
        <v>87796</v>
      </c>
      <c r="C2982">
        <v>27</v>
      </c>
      <c r="D2982" t="s">
        <v>15</v>
      </c>
      <c r="E2982">
        <v>0.7</v>
      </c>
      <c r="F2982">
        <v>1.0900000000000001</v>
      </c>
      <c r="G2982">
        <v>0.15</v>
      </c>
      <c r="H2982" t="s">
        <v>13</v>
      </c>
    </row>
    <row r="2983" spans="1:8" x14ac:dyDescent="0.25">
      <c r="A2983" t="s">
        <v>19</v>
      </c>
      <c r="B2983">
        <v>126747</v>
      </c>
      <c r="C2983">
        <v>12</v>
      </c>
      <c r="D2983" t="s">
        <v>28</v>
      </c>
      <c r="E2983">
        <v>0.11</v>
      </c>
      <c r="F2983">
        <v>1.32</v>
      </c>
      <c r="G2983">
        <v>0.12</v>
      </c>
      <c r="H2983" t="s">
        <v>13</v>
      </c>
    </row>
    <row r="2984" spans="1:8" x14ac:dyDescent="0.25">
      <c r="A2984" t="s">
        <v>31</v>
      </c>
      <c r="B2984">
        <v>126409</v>
      </c>
      <c r="C2984">
        <v>17</v>
      </c>
      <c r="D2984" t="s">
        <v>9</v>
      </c>
      <c r="E2984">
        <v>0.16</v>
      </c>
      <c r="F2984">
        <v>1.22</v>
      </c>
      <c r="G2984">
        <v>0.75</v>
      </c>
      <c r="H2984" t="s">
        <v>10</v>
      </c>
    </row>
    <row r="2985" spans="1:8" x14ac:dyDescent="0.25">
      <c r="A2985" t="s">
        <v>22</v>
      </c>
      <c r="B2985">
        <v>60740</v>
      </c>
      <c r="C2985">
        <v>16</v>
      </c>
      <c r="D2985" t="s">
        <v>12</v>
      </c>
      <c r="E2985">
        <v>0.53</v>
      </c>
      <c r="F2985">
        <v>1.43</v>
      </c>
      <c r="G2985">
        <v>0.32</v>
      </c>
      <c r="H2985" t="s">
        <v>17</v>
      </c>
    </row>
    <row r="2986" spans="1:8" x14ac:dyDescent="0.25">
      <c r="A2986" t="s">
        <v>11</v>
      </c>
      <c r="B2986">
        <v>108275</v>
      </c>
      <c r="C2986">
        <v>22</v>
      </c>
      <c r="D2986" t="s">
        <v>15</v>
      </c>
      <c r="E2986">
        <v>0.56000000000000005</v>
      </c>
      <c r="F2986">
        <v>0.87</v>
      </c>
      <c r="G2986">
        <v>0.1</v>
      </c>
      <c r="H2986" t="s">
        <v>13</v>
      </c>
    </row>
    <row r="2987" spans="1:8" x14ac:dyDescent="0.25">
      <c r="A2987" t="s">
        <v>29</v>
      </c>
      <c r="B2987">
        <v>32570</v>
      </c>
      <c r="C2987">
        <v>7</v>
      </c>
      <c r="D2987" t="s">
        <v>28</v>
      </c>
      <c r="E2987">
        <v>0.38</v>
      </c>
      <c r="F2987">
        <v>0.67</v>
      </c>
      <c r="G2987">
        <v>0.76</v>
      </c>
      <c r="H2987" t="s">
        <v>10</v>
      </c>
    </row>
    <row r="2988" spans="1:8" x14ac:dyDescent="0.25">
      <c r="A2988" t="s">
        <v>29</v>
      </c>
      <c r="B2988">
        <v>80258</v>
      </c>
      <c r="C2988">
        <v>12</v>
      </c>
      <c r="D2988" t="s">
        <v>28</v>
      </c>
      <c r="E2988">
        <v>0.2</v>
      </c>
      <c r="F2988">
        <v>0.91</v>
      </c>
      <c r="G2988">
        <v>0.88</v>
      </c>
      <c r="H2988" t="s">
        <v>10</v>
      </c>
    </row>
    <row r="2989" spans="1:8" x14ac:dyDescent="0.25">
      <c r="A2989" t="s">
        <v>26</v>
      </c>
      <c r="B2989">
        <v>34970</v>
      </c>
      <c r="C2989">
        <v>6</v>
      </c>
      <c r="D2989" t="s">
        <v>28</v>
      </c>
      <c r="E2989">
        <v>0.91</v>
      </c>
      <c r="F2989">
        <v>0.99</v>
      </c>
      <c r="G2989">
        <v>0.67</v>
      </c>
      <c r="H2989" t="s">
        <v>17</v>
      </c>
    </row>
    <row r="2990" spans="1:8" x14ac:dyDescent="0.25">
      <c r="A2990" t="s">
        <v>8</v>
      </c>
      <c r="B2990">
        <v>35973</v>
      </c>
      <c r="C2990">
        <v>3</v>
      </c>
      <c r="D2990" t="s">
        <v>15</v>
      </c>
      <c r="E2990">
        <v>0.5</v>
      </c>
      <c r="F2990">
        <v>1.45</v>
      </c>
      <c r="G2990">
        <v>0.84</v>
      </c>
      <c r="H2990" t="s">
        <v>10</v>
      </c>
    </row>
    <row r="2991" spans="1:8" x14ac:dyDescent="0.25">
      <c r="A2991" t="s">
        <v>22</v>
      </c>
      <c r="B2991">
        <v>101126</v>
      </c>
      <c r="C2991">
        <v>5</v>
      </c>
      <c r="D2991" t="s">
        <v>15</v>
      </c>
      <c r="E2991">
        <v>0.68</v>
      </c>
      <c r="F2991">
        <v>0.55000000000000004</v>
      </c>
      <c r="G2991">
        <v>0.4</v>
      </c>
      <c r="H2991" t="s">
        <v>17</v>
      </c>
    </row>
    <row r="2992" spans="1:8" x14ac:dyDescent="0.25">
      <c r="A2992" t="s">
        <v>26</v>
      </c>
      <c r="B2992">
        <v>123686</v>
      </c>
      <c r="C2992">
        <v>7</v>
      </c>
      <c r="D2992" t="s">
        <v>28</v>
      </c>
      <c r="E2992">
        <v>0.85</v>
      </c>
      <c r="F2992">
        <v>0.9</v>
      </c>
      <c r="G2992">
        <v>0.7</v>
      </c>
      <c r="H2992" t="s">
        <v>17</v>
      </c>
    </row>
    <row r="2993" spans="1:8" x14ac:dyDescent="0.25">
      <c r="A2993" t="s">
        <v>18</v>
      </c>
      <c r="B2993">
        <v>39421</v>
      </c>
      <c r="C2993">
        <v>10</v>
      </c>
      <c r="D2993" t="s">
        <v>9</v>
      </c>
      <c r="E2993">
        <v>0.85</v>
      </c>
      <c r="F2993">
        <v>0.91</v>
      </c>
      <c r="G2993">
        <v>0.52</v>
      </c>
      <c r="H2993" t="s">
        <v>17</v>
      </c>
    </row>
    <row r="2994" spans="1:8" x14ac:dyDescent="0.25">
      <c r="A2994" t="s">
        <v>31</v>
      </c>
      <c r="B2994">
        <v>119894</v>
      </c>
      <c r="C2994">
        <v>13</v>
      </c>
      <c r="D2994" t="s">
        <v>28</v>
      </c>
      <c r="E2994">
        <v>0.26</v>
      </c>
      <c r="F2994">
        <v>1.17</v>
      </c>
      <c r="G2994">
        <v>0.73</v>
      </c>
      <c r="H2994" t="s">
        <v>10</v>
      </c>
    </row>
    <row r="2995" spans="1:8" x14ac:dyDescent="0.25">
      <c r="A2995" t="s">
        <v>19</v>
      </c>
      <c r="B2995">
        <v>78448</v>
      </c>
      <c r="C2995">
        <v>25</v>
      </c>
      <c r="D2995" t="s">
        <v>15</v>
      </c>
      <c r="E2995">
        <v>0.27</v>
      </c>
      <c r="F2995">
        <v>0.57999999999999996</v>
      </c>
      <c r="G2995">
        <v>0.28000000000000003</v>
      </c>
      <c r="H2995" t="s">
        <v>13</v>
      </c>
    </row>
    <row r="2996" spans="1:8" x14ac:dyDescent="0.25">
      <c r="A2996" t="s">
        <v>20</v>
      </c>
      <c r="B2996">
        <v>86686</v>
      </c>
      <c r="C2996">
        <v>18</v>
      </c>
      <c r="D2996" t="s">
        <v>15</v>
      </c>
      <c r="E2996">
        <v>0.91</v>
      </c>
      <c r="F2996">
        <v>0.83</v>
      </c>
      <c r="G2996">
        <v>0.47</v>
      </c>
      <c r="H2996" t="s">
        <v>17</v>
      </c>
    </row>
    <row r="2997" spans="1:8" x14ac:dyDescent="0.25">
      <c r="A2997" t="s">
        <v>30</v>
      </c>
      <c r="B2997">
        <v>111319</v>
      </c>
      <c r="C2997">
        <v>6</v>
      </c>
      <c r="D2997" t="s">
        <v>28</v>
      </c>
      <c r="E2997">
        <v>0.24</v>
      </c>
      <c r="F2997">
        <v>1.18</v>
      </c>
      <c r="G2997">
        <v>0.2</v>
      </c>
      <c r="H2997" t="s">
        <v>13</v>
      </c>
    </row>
    <row r="2998" spans="1:8" x14ac:dyDescent="0.25">
      <c r="A2998" t="s">
        <v>24</v>
      </c>
      <c r="B2998">
        <v>44363</v>
      </c>
      <c r="C2998">
        <v>29</v>
      </c>
      <c r="D2998" t="s">
        <v>12</v>
      </c>
      <c r="E2998">
        <v>0.65</v>
      </c>
      <c r="F2998">
        <v>0.74</v>
      </c>
      <c r="G2998">
        <v>0.35</v>
      </c>
      <c r="H2998" t="s">
        <v>17</v>
      </c>
    </row>
    <row r="2999" spans="1:8" x14ac:dyDescent="0.25">
      <c r="A2999" t="s">
        <v>26</v>
      </c>
      <c r="B2999">
        <v>61325</v>
      </c>
      <c r="C2999">
        <v>23</v>
      </c>
      <c r="D2999" t="s">
        <v>9</v>
      </c>
      <c r="E2999">
        <v>0.64</v>
      </c>
      <c r="F2999">
        <v>0.94</v>
      </c>
      <c r="G2999">
        <v>0.39</v>
      </c>
      <c r="H2999" t="s">
        <v>17</v>
      </c>
    </row>
    <row r="3000" spans="1:8" x14ac:dyDescent="0.25">
      <c r="A3000" t="s">
        <v>27</v>
      </c>
      <c r="B3000">
        <v>110296</v>
      </c>
      <c r="C3000">
        <v>7</v>
      </c>
      <c r="D3000" t="s">
        <v>12</v>
      </c>
      <c r="E3000">
        <v>0.95</v>
      </c>
      <c r="F3000">
        <v>1.23</v>
      </c>
      <c r="G3000">
        <v>0.46</v>
      </c>
      <c r="H3000" t="s">
        <v>17</v>
      </c>
    </row>
    <row r="3001" spans="1:8" x14ac:dyDescent="0.25">
      <c r="A3001" t="s">
        <v>27</v>
      </c>
      <c r="B3001">
        <v>123909</v>
      </c>
      <c r="C3001">
        <v>25</v>
      </c>
      <c r="D3001" t="s">
        <v>12</v>
      </c>
      <c r="E3001">
        <v>0.69</v>
      </c>
      <c r="F3001">
        <v>0.56000000000000005</v>
      </c>
      <c r="G3001">
        <v>0.49</v>
      </c>
      <c r="H3001" t="s">
        <v>17</v>
      </c>
    </row>
  </sheetData>
  <phoneticPr fontId="1" type="noConversion"/>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44A69-A509-4664-9447-82E82D3C3E20}">
  <dimension ref="A1"/>
  <sheetViews>
    <sheetView showGridLines="0" tabSelected="1" zoomScale="69" zoomScaleNormal="50" workbookViewId="0">
      <selection activeCell="P14" sqref="P14"/>
    </sheetView>
  </sheetViews>
  <sheetFormatPr defaultRowHeight="14.3" x14ac:dyDescent="0.25"/>
  <sheetData/>
  <pageMargins left="0.7" right="0.7" top="0.75" bottom="0.75" header="0.3" footer="0.3"/>
  <pageSetup paperSize="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5D728F-5847-4C4A-AD0C-30416A8F46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AI_Impact_on_Jobs_2030</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 CRYPTED</dc:creator>
  <cp:lastModifiedBy>SREE CRYPTED</cp:lastModifiedBy>
  <cp:lastPrinted>2026-02-22T17:32:19Z</cp:lastPrinted>
  <dcterms:created xsi:type="dcterms:W3CDTF">2026-02-22T13:47:04Z</dcterms:created>
  <dcterms:modified xsi:type="dcterms:W3CDTF">2026-02-22T17:33:24Z</dcterms:modified>
</cp:coreProperties>
</file>